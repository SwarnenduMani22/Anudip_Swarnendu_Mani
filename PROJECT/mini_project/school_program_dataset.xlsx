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WARNENDU\Desktop\"/>
    </mc:Choice>
  </mc:AlternateContent>
  <xr:revisionPtr revIDLastSave="0" documentId="13_ncr:1_{0034E26F-0427-4D94-9853-75B93DE04FBB}" xr6:coauthVersionLast="47" xr6:coauthVersionMax="47" xr10:uidLastSave="{00000000-0000-0000-0000-000000000000}"/>
  <bookViews>
    <workbookView xWindow="-108" yWindow="-108" windowWidth="23256" windowHeight="12456" activeTab="2" xr2:uid="{F4101F60-631B-4733-ACA1-9BC4F1F3535E}"/>
  </bookViews>
  <sheets>
    <sheet name="Dataset" sheetId="1" r:id="rId1"/>
    <sheet name="Questions" sheetId="6" r:id="rId2"/>
    <sheet name="Answers" sheetId="2" r:id="rId3"/>
    <sheet name="Dashboard" sheetId="10" r:id="rId4"/>
  </sheets>
  <definedNames>
    <definedName name="_xlnm._FilterDatabase" localSheetId="2" hidden="1">Answers!$A$2:$N$602</definedName>
    <definedName name="_xlnm._FilterDatabase" localSheetId="0" hidden="1">Dataset!$H$1:$H$601</definedName>
    <definedName name="_xlnm.Extract" localSheetId="2">Answers!$A$2:$I$2</definedName>
    <definedName name="Slicer_Class">#N/A</definedName>
    <definedName name="Slicer_Class1">#N/A</definedName>
    <definedName name="Slicer_Class2">#N/A</definedName>
  </definedNames>
  <calcPr calcId="191029"/>
  <pivotCaches>
    <pivotCache cacheId="0" r:id="rId5"/>
    <pivotCache cacheId="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4" i="2" l="1"/>
  <c r="AA11" i="2"/>
  <c r="AA12" i="2"/>
  <c r="AA13" i="2"/>
  <c r="AA10" i="2"/>
  <c r="Y20" i="2"/>
  <c r="Y21" i="2"/>
  <c r="Y22" i="2"/>
  <c r="Y23" i="2"/>
  <c r="Y19" i="2"/>
  <c r="R18" i="2"/>
  <c r="T7" i="2"/>
  <c r="R11" i="2"/>
  <c r="R5" i="2"/>
  <c r="C19" i="10"/>
  <c r="C1" i="10"/>
  <c r="C23" i="10"/>
  <c r="C24" i="10"/>
  <c r="C25" i="10"/>
  <c r="C26" i="10"/>
  <c r="C22" i="10"/>
  <c r="C5" i="10"/>
  <c r="C6" i="10"/>
  <c r="C7" i="10"/>
  <c r="C4" i="10"/>
  <c r="X20" i="2"/>
  <c r="X21" i="2"/>
  <c r="X22" i="2"/>
  <c r="X23" i="2"/>
  <c r="W20" i="2"/>
  <c r="W21" i="2"/>
  <c r="W22" i="2"/>
  <c r="W23" i="2"/>
  <c r="X19" i="2"/>
  <c r="W19" i="2"/>
  <c r="X11" i="2"/>
  <c r="X12" i="2"/>
  <c r="X13" i="2"/>
  <c r="X10" i="2"/>
  <c r="S2" i="2"/>
  <c r="S11" i="2"/>
  <c r="R20" i="2"/>
  <c r="R22" i="2"/>
  <c r="S26" i="2"/>
  <c r="S27" i="2"/>
  <c r="S28" i="2"/>
  <c r="R33" i="2"/>
  <c r="S33" i="2"/>
  <c r="X6" i="2"/>
  <c r="X5" i="2"/>
  <c r="X4"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3"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3" i="2"/>
  <c r="S13" i="2" l="1"/>
  <c r="S29" i="2"/>
  <c r="S14" i="2"/>
  <c r="X7" i="2"/>
</calcChain>
</file>

<file path=xl/sharedStrings.xml><?xml version="1.0" encoding="utf-8"?>
<sst xmlns="http://schemas.openxmlformats.org/spreadsheetml/2006/main" count="9727" uniqueCount="670">
  <si>
    <t>Student Name</t>
  </si>
  <si>
    <t>Class</t>
  </si>
  <si>
    <t>Section</t>
  </si>
  <si>
    <t>Roll Number</t>
  </si>
  <si>
    <t>Phone Number</t>
  </si>
  <si>
    <t>Gender</t>
  </si>
  <si>
    <t>Age</t>
  </si>
  <si>
    <t>Fee Status</t>
  </si>
  <si>
    <t>Entry Pass Collected</t>
  </si>
  <si>
    <t>Food Preference</t>
  </si>
  <si>
    <t>Academic Event Participation</t>
  </si>
  <si>
    <t>Cultural Event Participation</t>
  </si>
  <si>
    <t>Parth Bansal</t>
  </si>
  <si>
    <t>A</t>
  </si>
  <si>
    <t>Male</t>
  </si>
  <si>
    <t>Paid</t>
  </si>
  <si>
    <t>No</t>
  </si>
  <si>
    <t>Non-Veg</t>
  </si>
  <si>
    <t>Quiz</t>
  </si>
  <si>
    <t>Singing</t>
  </si>
  <si>
    <t>Kunal Mukherjee</t>
  </si>
  <si>
    <t>D</t>
  </si>
  <si>
    <t>Yes</t>
  </si>
  <si>
    <t>Veg</t>
  </si>
  <si>
    <t>Science Fair</t>
  </si>
  <si>
    <t>Nikita Malhotra</t>
  </si>
  <si>
    <t>C</t>
  </si>
  <si>
    <t>Female</t>
  </si>
  <si>
    <t>None</t>
  </si>
  <si>
    <t>Jyoti Tiwari</t>
  </si>
  <si>
    <t>Drawing</t>
  </si>
  <si>
    <t>Dance</t>
  </si>
  <si>
    <t>Madhuri Ghosh</t>
  </si>
  <si>
    <t>Due</t>
  </si>
  <si>
    <t>Riya Joshi</t>
  </si>
  <si>
    <t>Veer Malhotra</t>
  </si>
  <si>
    <t>Amrita Mondal</t>
  </si>
  <si>
    <t>B</t>
  </si>
  <si>
    <t>Shikha Bajaj</t>
  </si>
  <si>
    <t>Vanya Kapoor</t>
  </si>
  <si>
    <t>Ishan Arora</t>
  </si>
  <si>
    <t>Vishal Bansal</t>
  </si>
  <si>
    <t>Drama</t>
  </si>
  <si>
    <t>Ayush Malhotra</t>
  </si>
  <si>
    <t>Tarini Sen</t>
  </si>
  <si>
    <t>Jigyasa Joshi</t>
  </si>
  <si>
    <t>Saloni Khanna</t>
  </si>
  <si>
    <t>Oviya Tiwari</t>
  </si>
  <si>
    <t>Simran Choudhary</t>
  </si>
  <si>
    <t>Olympiad</t>
  </si>
  <si>
    <t>Bhavesh Tiwari</t>
  </si>
  <si>
    <t>Ankit Shukla</t>
  </si>
  <si>
    <t>Eesha Das</t>
  </si>
  <si>
    <t>Anushka Singh</t>
  </si>
  <si>
    <t>Rishabh Paul</t>
  </si>
  <si>
    <t>Garima Rajput</t>
  </si>
  <si>
    <t>Kavya Naidu</t>
  </si>
  <si>
    <t>Yamini Shukla</t>
  </si>
  <si>
    <t>Rajat Mukherjee</t>
  </si>
  <si>
    <t>Zoya Srivastava</t>
  </si>
  <si>
    <t>Yamini Chatterjee</t>
  </si>
  <si>
    <t>Vidya Singh</t>
  </si>
  <si>
    <t>Sejal Arora</t>
  </si>
  <si>
    <t>Ananya Singh</t>
  </si>
  <si>
    <t>Madhav Agarwal</t>
  </si>
  <si>
    <t>Ayush Sharma</t>
  </si>
  <si>
    <t>Yuvraj Yadav</t>
  </si>
  <si>
    <t>Akanksha Roy</t>
  </si>
  <si>
    <t>Pragya Das</t>
  </si>
  <si>
    <t>Bhavna Nair</t>
  </si>
  <si>
    <t>Sandhya Sethi</t>
  </si>
  <si>
    <t>Sandhya Sen</t>
  </si>
  <si>
    <t>Lakshay Mehta</t>
  </si>
  <si>
    <t>Shubham Choudhary</t>
  </si>
  <si>
    <t>Rudra Arora</t>
  </si>
  <si>
    <t>Ridhi Mehta</t>
  </si>
  <si>
    <t>Shubham Mondal</t>
  </si>
  <si>
    <t>Riya Verma</t>
  </si>
  <si>
    <t>Tarini Khanna</t>
  </si>
  <si>
    <t>Sumit Verma</t>
  </si>
  <si>
    <t>Sakshi Reddy</t>
  </si>
  <si>
    <t>Prachi Chauhan</t>
  </si>
  <si>
    <t>Varun Tiwari</t>
  </si>
  <si>
    <t>Kartik Joshi</t>
  </si>
  <si>
    <t>Sandhya Bajaj</t>
  </si>
  <si>
    <t>Raj Joshi</t>
  </si>
  <si>
    <t>Ansh Joshi</t>
  </si>
  <si>
    <t>Dev Gupta</t>
  </si>
  <si>
    <t>Dhruv Jain</t>
  </si>
  <si>
    <t>Dev Rajput</t>
  </si>
  <si>
    <t>Saurabh Mukherjee</t>
  </si>
  <si>
    <t>Prachi Dubey</t>
  </si>
  <si>
    <t>Akhil Menon</t>
  </si>
  <si>
    <t>Naman Tripathi</t>
  </si>
  <si>
    <t>Uday Roy</t>
  </si>
  <si>
    <t>Zoya Dwivedi</t>
  </si>
  <si>
    <t>Poonam Bhatia</t>
  </si>
  <si>
    <t>Prachi Bajaj</t>
  </si>
  <si>
    <t>Nisha Dubey</t>
  </si>
  <si>
    <t>Mahi Nair</t>
  </si>
  <si>
    <t>Farhan Mukherjee</t>
  </si>
  <si>
    <t>Suraj Ahuja</t>
  </si>
  <si>
    <t>Jay Choudhary</t>
  </si>
  <si>
    <t>Aditi Joshi</t>
  </si>
  <si>
    <t>Ishaan Tiwari</t>
  </si>
  <si>
    <t>Zoya Iyer</t>
  </si>
  <si>
    <t>Riya Naidu</t>
  </si>
  <si>
    <t>Palak Sharma</t>
  </si>
  <si>
    <t>Shreya Singh</t>
  </si>
  <si>
    <t>Ankita Saxena</t>
  </si>
  <si>
    <t>Amit Roy</t>
  </si>
  <si>
    <t>Pooja Pandey</t>
  </si>
  <si>
    <t>Om Sen</t>
  </si>
  <si>
    <t>Harshita Iyer</t>
  </si>
  <si>
    <t>Rahul Naidu</t>
  </si>
  <si>
    <t>Om Chopra</t>
  </si>
  <si>
    <t>Lakshay Reddy</t>
  </si>
  <si>
    <t>Abhinav Bhatia</t>
  </si>
  <si>
    <t>Aparna Sharma</t>
  </si>
  <si>
    <t>Hrithik Arora</t>
  </si>
  <si>
    <t>Tanya Sen</t>
  </si>
  <si>
    <t>Devraj Rajput</t>
  </si>
  <si>
    <t>Tarun Shah</t>
  </si>
  <si>
    <t>Rohit Naidu</t>
  </si>
  <si>
    <t>Himanshi Malhotra</t>
  </si>
  <si>
    <t>Atharv Chauhan</t>
  </si>
  <si>
    <t>Shaurya Gupta</t>
  </si>
  <si>
    <t>Varun Singh</t>
  </si>
  <si>
    <t>Tarun Iyer</t>
  </si>
  <si>
    <t>Shubham Tripathi</t>
  </si>
  <si>
    <t>Amit Chatterjee</t>
  </si>
  <si>
    <t>Tanya Agarwal</t>
  </si>
  <si>
    <t>Archana Paul</t>
  </si>
  <si>
    <t>Eesha Reddy</t>
  </si>
  <si>
    <t>Simran Reddy</t>
  </si>
  <si>
    <t>Priyanshi Ahuja</t>
  </si>
  <si>
    <t>Wridhi Tripathi</t>
  </si>
  <si>
    <t>Gaurav Joshi</t>
  </si>
  <si>
    <t>Kabir Das</t>
  </si>
  <si>
    <t>Muskan Pandey</t>
  </si>
  <si>
    <t>Bhavesh Saxena</t>
  </si>
  <si>
    <t>Karan Bajaj</t>
  </si>
  <si>
    <t>Zaid Bansal</t>
  </si>
  <si>
    <t>Vikas Verma</t>
  </si>
  <si>
    <t>Kunal Reddy</t>
  </si>
  <si>
    <t>Yash Dubey</t>
  </si>
  <si>
    <t>Prateek Naidu</t>
  </si>
  <si>
    <t>Chhavi Chopra</t>
  </si>
  <si>
    <t>Rohit Chatterjee</t>
  </si>
  <si>
    <t>Navya Reddy</t>
  </si>
  <si>
    <t>Sanya Kumar</t>
  </si>
  <si>
    <t>Komal Chauhan</t>
  </si>
  <si>
    <t>Madhav Verma</t>
  </si>
  <si>
    <t>Navya Das</t>
  </si>
  <si>
    <t>Kartik Kumar</t>
  </si>
  <si>
    <t>Parth Agarwal</t>
  </si>
  <si>
    <t>Pallavi Shukla</t>
  </si>
  <si>
    <t>Sanya Verma</t>
  </si>
  <si>
    <t>Lakshay Tiwari</t>
  </si>
  <si>
    <t>Ritika Khanna</t>
  </si>
  <si>
    <t>Amit Verma</t>
  </si>
  <si>
    <t>Kabir Pandey</t>
  </si>
  <si>
    <t>Himanshu Naidu</t>
  </si>
  <si>
    <t>Ankita Naidu</t>
  </si>
  <si>
    <t>Ishan Sethi</t>
  </si>
  <si>
    <t>Piyush Singh</t>
  </si>
  <si>
    <t>Shlok Naidu</t>
  </si>
  <si>
    <t>Tanvi Khanna</t>
  </si>
  <si>
    <t>Abhinav Rao</t>
  </si>
  <si>
    <t>Tanmay Khanna</t>
  </si>
  <si>
    <t>Poonam Tiwari</t>
  </si>
  <si>
    <t>Alok Saxena</t>
  </si>
  <si>
    <t>Prateek Sethi</t>
  </si>
  <si>
    <t>Devraj Mishra</t>
  </si>
  <si>
    <t>Eesha Tiwari</t>
  </si>
  <si>
    <t>Himanshi Menon</t>
  </si>
  <si>
    <t>Abhinav Kapoor</t>
  </si>
  <si>
    <t>Akash Chopra</t>
  </si>
  <si>
    <t>Ishaan Tripathi</t>
  </si>
  <si>
    <t>Ankit Tiwari</t>
  </si>
  <si>
    <t>Sandhya Pandey</t>
  </si>
  <si>
    <t>Akash Mehta</t>
  </si>
  <si>
    <t>Shubham Menon</t>
  </si>
  <si>
    <t>Pallavi Verma</t>
  </si>
  <si>
    <t>Vidya Menon</t>
  </si>
  <si>
    <t>Vidya Khanna</t>
  </si>
  <si>
    <t>Harsh Chauhan</t>
  </si>
  <si>
    <t>Aparna Pandey</t>
  </si>
  <si>
    <t>Alok Kumar</t>
  </si>
  <si>
    <t>Pranav Verma</t>
  </si>
  <si>
    <t>Kajal Saxena</t>
  </si>
  <si>
    <t>Abhinav Sen</t>
  </si>
  <si>
    <t>Pallavi Iyer</t>
  </si>
  <si>
    <t>Krish Das</t>
  </si>
  <si>
    <t>Anushka Rajput</t>
  </si>
  <si>
    <t>Aniket Shukla</t>
  </si>
  <si>
    <t>Aniket Sen</t>
  </si>
  <si>
    <t>Vanya Bansal</t>
  </si>
  <si>
    <t>Anushka Yadav</t>
  </si>
  <si>
    <t>Falguni Patel</t>
  </si>
  <si>
    <t>Harsh Choudhary</t>
  </si>
  <si>
    <t>Neha Tripathi</t>
  </si>
  <si>
    <t>Akash Sen</t>
  </si>
  <si>
    <t>Yuvraj Mukherjee</t>
  </si>
  <si>
    <t>Neha Tiwari</t>
  </si>
  <si>
    <t>Himanshu Iyer</t>
  </si>
  <si>
    <t>Tarun Sen</t>
  </si>
  <si>
    <t>Samarth Chatterjee</t>
  </si>
  <si>
    <t>Rohit Agarwal</t>
  </si>
  <si>
    <t>Jyoti Malhotra</t>
  </si>
  <si>
    <t>Sejal Reddy</t>
  </si>
  <si>
    <t>Jay Mehta</t>
  </si>
  <si>
    <t>Shubham Chopra</t>
  </si>
  <si>
    <t>Megha Shah</t>
  </si>
  <si>
    <t>Dev Kumar</t>
  </si>
  <si>
    <t>Rashmi Choudhary</t>
  </si>
  <si>
    <t>Arnav Tripathi</t>
  </si>
  <si>
    <t>Sonam Ghosh</t>
  </si>
  <si>
    <t>Aishwarya Malhotra</t>
  </si>
  <si>
    <t>Aditya Bose</t>
  </si>
  <si>
    <t>Krish Kapoor</t>
  </si>
  <si>
    <t>Kartik Sethi</t>
  </si>
  <si>
    <t>Ridhi Gupta</t>
  </si>
  <si>
    <t>Nikhil Naidu</t>
  </si>
  <si>
    <t>Aniket Dubey</t>
  </si>
  <si>
    <t>Rupali Kapoor</t>
  </si>
  <si>
    <t>Naman Nair</t>
  </si>
  <si>
    <t>Navya Joshi</t>
  </si>
  <si>
    <t>Akanksha Pandey</t>
  </si>
  <si>
    <t>Abhinav Mukherjee</t>
  </si>
  <si>
    <t>Vidya Kapoor</t>
  </si>
  <si>
    <t>Shikha Bansal</t>
  </si>
  <si>
    <t>Trisha Kapoor</t>
  </si>
  <si>
    <t>Navya Bansal</t>
  </si>
  <si>
    <t>Siddharth Chopra</t>
  </si>
  <si>
    <t>Harsh Patel</t>
  </si>
  <si>
    <t>Ritika Agarwal</t>
  </si>
  <si>
    <t>Deepika Gupta</t>
  </si>
  <si>
    <t>Tushar Chatterjee</t>
  </si>
  <si>
    <t>Sachin Tiwari</t>
  </si>
  <si>
    <t>Sanya Tiwari</t>
  </si>
  <si>
    <t>Rupali Verma</t>
  </si>
  <si>
    <t>Lavanya Bajaj</t>
  </si>
  <si>
    <t>Vishal Rajput</t>
  </si>
  <si>
    <t>Swati Tiwari</t>
  </si>
  <si>
    <t>Ankit Dubey</t>
  </si>
  <si>
    <t>Deepak Mishra</t>
  </si>
  <si>
    <t>Shlok Rao</t>
  </si>
  <si>
    <t>Rishabh Dubey</t>
  </si>
  <si>
    <t>Piyush Agarwal</t>
  </si>
  <si>
    <t>Arjun Malhotra</t>
  </si>
  <si>
    <t>Krish Patel</t>
  </si>
  <si>
    <t>Vidya Bhatia</t>
  </si>
  <si>
    <t>Saloni Tripathi</t>
  </si>
  <si>
    <t>Khushi Roy</t>
  </si>
  <si>
    <t>Ridhi Shah</t>
  </si>
  <si>
    <t>Sakshi Pandey</t>
  </si>
  <si>
    <t>Gaurav Sharma</t>
  </si>
  <si>
    <t>Devraj Agarwal</t>
  </si>
  <si>
    <t>Monika Singh</t>
  </si>
  <si>
    <t>Saurabh Srivastava</t>
  </si>
  <si>
    <t>Amrita Rajput</t>
  </si>
  <si>
    <t>Bhavesh Roy</t>
  </si>
  <si>
    <t>Shubham Naidu</t>
  </si>
  <si>
    <t>Varun Rao</t>
  </si>
  <si>
    <t>Saloni Sharma</t>
  </si>
  <si>
    <t>Vishal Kapoor</t>
  </si>
  <si>
    <t>Monika Chatterjee</t>
  </si>
  <si>
    <t>Trisha Bajaj</t>
  </si>
  <si>
    <t>Neha Reddy</t>
  </si>
  <si>
    <t>Khushi Rao</t>
  </si>
  <si>
    <t>Archana Menon</t>
  </si>
  <si>
    <t>Shikha Kumar</t>
  </si>
  <si>
    <t>Ishita Khanna</t>
  </si>
  <si>
    <t>Simran Mukherjee</t>
  </si>
  <si>
    <t>Swati Mukherjee</t>
  </si>
  <si>
    <t>Madhav Pandey</t>
  </si>
  <si>
    <t>Ritika Mishra</t>
  </si>
  <si>
    <t>Rashmi Menon</t>
  </si>
  <si>
    <t>Sakshi Mehta</t>
  </si>
  <si>
    <t>Garima Das</t>
  </si>
  <si>
    <t>Ishan Jain</t>
  </si>
  <si>
    <t>Vivek Rajput</t>
  </si>
  <si>
    <t>Zara Das</t>
  </si>
  <si>
    <t>Devraj Dwivedi</t>
  </si>
  <si>
    <t>Harsh Verma</t>
  </si>
  <si>
    <t>Sachin Nair</t>
  </si>
  <si>
    <t>Diya Kapoor</t>
  </si>
  <si>
    <t>Poonam Sharma</t>
  </si>
  <si>
    <t>Diya Shah</t>
  </si>
  <si>
    <t>Mahi Paul</t>
  </si>
  <si>
    <t>Himanshu Mondal</t>
  </si>
  <si>
    <t>Jay Kapoor</t>
  </si>
  <si>
    <t>Atharv Dwivedi</t>
  </si>
  <si>
    <t>Yamini Paul</t>
  </si>
  <si>
    <t>Eesha Shukla</t>
  </si>
  <si>
    <t>Prateek Das</t>
  </si>
  <si>
    <t>Aarti Ahuja</t>
  </si>
  <si>
    <t>Nandini Nair</t>
  </si>
  <si>
    <t>Vidya Tiwari</t>
  </si>
  <si>
    <t>Veer Singh</t>
  </si>
  <si>
    <t>Akash Dubey</t>
  </si>
  <si>
    <t>Mahi Ghosh</t>
  </si>
  <si>
    <t>Uday Yadav</t>
  </si>
  <si>
    <t>Raj Yadav</t>
  </si>
  <si>
    <t>Tushar Sen</t>
  </si>
  <si>
    <t>Raj Mondal</t>
  </si>
  <si>
    <t>Sachin Paul</t>
  </si>
  <si>
    <t>Tanvi Sethi</t>
  </si>
  <si>
    <t>Prateek Mehta</t>
  </si>
  <si>
    <t>Amit Shukla</t>
  </si>
  <si>
    <t>Suraj Verma</t>
  </si>
  <si>
    <t>Oviya Yadav</t>
  </si>
  <si>
    <t>Yash Joshi</t>
  </si>
  <si>
    <t>Deepika Srivastava</t>
  </si>
  <si>
    <t>Atharv Patel</t>
  </si>
  <si>
    <t>Tanvi Srivastava</t>
  </si>
  <si>
    <t>Archana Shukla</t>
  </si>
  <si>
    <t>Yuvraj Mondal</t>
  </si>
  <si>
    <t>Himanshu Shukla</t>
  </si>
  <si>
    <t>Wridhi Khanna</t>
  </si>
  <si>
    <t>Simran Singh</t>
  </si>
  <si>
    <t>Nisha Dwivedi</t>
  </si>
  <si>
    <t>Ayush Chopra</t>
  </si>
  <si>
    <t>Madhuri Dwivedi</t>
  </si>
  <si>
    <t>Garima Kapoor</t>
  </si>
  <si>
    <t>Tanmay Mukherjee</t>
  </si>
  <si>
    <t>Vidya Joshi</t>
  </si>
  <si>
    <t>Akanksha Jain</t>
  </si>
  <si>
    <t>Kartik Mondal</t>
  </si>
  <si>
    <t>Rohit Yadav</t>
  </si>
  <si>
    <t>Oviya Pandey</t>
  </si>
  <si>
    <t>Karan Chauhan</t>
  </si>
  <si>
    <t>Unnati Bajaj</t>
  </si>
  <si>
    <t>Rudra Tiwari</t>
  </si>
  <si>
    <t>Shlok Nair</t>
  </si>
  <si>
    <t>Arnav Srivastava</t>
  </si>
  <si>
    <t>Lavanya Nair</t>
  </si>
  <si>
    <t>Tushar Chopra</t>
  </si>
  <si>
    <t>Yuvraj Ghosh</t>
  </si>
  <si>
    <t>Aniket Agarwal</t>
  </si>
  <si>
    <t>Neha Agarwal</t>
  </si>
  <si>
    <t>Harsh Iyer</t>
  </si>
  <si>
    <t>Akash Roy</t>
  </si>
  <si>
    <t>Riya Mishra</t>
  </si>
  <si>
    <t>Lokesh Bhatia</t>
  </si>
  <si>
    <t>Devraj Chauhan</t>
  </si>
  <si>
    <t>Pranav Khanna</t>
  </si>
  <si>
    <t>Kabir Mishra</t>
  </si>
  <si>
    <t>Abhinav Jain</t>
  </si>
  <si>
    <t>Ishi Mehta</t>
  </si>
  <si>
    <t>Vishal Sethi</t>
  </si>
  <si>
    <t>Madhuri Tripathi</t>
  </si>
  <si>
    <t>Kunal Gupta</t>
  </si>
  <si>
    <t>Aarav Joshi</t>
  </si>
  <si>
    <t>Monika Chauhan</t>
  </si>
  <si>
    <t>Swati Saxena</t>
  </si>
  <si>
    <t>Unnati Bansal</t>
  </si>
  <si>
    <t>Manish Verma</t>
  </si>
  <si>
    <t>Saurabh Kumar</t>
  </si>
  <si>
    <t>Vanya Dwivedi</t>
  </si>
  <si>
    <t>Wridhi Rajput</t>
  </si>
  <si>
    <t>Sachin Sharma</t>
  </si>
  <si>
    <t>Ansh Tiwari</t>
  </si>
  <si>
    <t>Pragya Mondal</t>
  </si>
  <si>
    <t>Neha Dubey</t>
  </si>
  <si>
    <t>Krish Rao</t>
  </si>
  <si>
    <t>Shikha Saxena</t>
  </si>
  <si>
    <t>Atharv Shah</t>
  </si>
  <si>
    <t>Dhruv Nair</t>
  </si>
  <si>
    <t>Karan Gupta</t>
  </si>
  <si>
    <t>Vidya Dubey</t>
  </si>
  <si>
    <t>Varsha Jain</t>
  </si>
  <si>
    <t>Ankit Srivastava</t>
  </si>
  <si>
    <t>Nisha Paul</t>
  </si>
  <si>
    <t>Dhruv Tripathi</t>
  </si>
  <si>
    <t>Prachi Yadav</t>
  </si>
  <si>
    <t>Mahi Shukla</t>
  </si>
  <si>
    <t>Dhruv Bajaj</t>
  </si>
  <si>
    <t>Garima Choudhary</t>
  </si>
  <si>
    <t>Dhruv Gupta</t>
  </si>
  <si>
    <t>Palak Dubey</t>
  </si>
  <si>
    <t>Sonam Choudhary</t>
  </si>
  <si>
    <t>Priyanshi Naidu</t>
  </si>
  <si>
    <t>Yuvraj Roy</t>
  </si>
  <si>
    <t>Tanya Roy</t>
  </si>
  <si>
    <t>Saloni Agarwal</t>
  </si>
  <si>
    <t>Arnav Mehta</t>
  </si>
  <si>
    <t>Yamini Roy</t>
  </si>
  <si>
    <t>Sakshi Choudhary</t>
  </si>
  <si>
    <t>Poonam Shah</t>
  </si>
  <si>
    <t>Raj Bose</t>
  </si>
  <si>
    <t>Sonam Mishra</t>
  </si>
  <si>
    <t>Yamini Menon</t>
  </si>
  <si>
    <t>Shubham Gupta</t>
  </si>
  <si>
    <t>Chirag Sharma</t>
  </si>
  <si>
    <t>Ishan Khanna</t>
  </si>
  <si>
    <t>Aniket Bansal</t>
  </si>
  <si>
    <t>Mansi Chopra</t>
  </si>
  <si>
    <t>Navya Kumar</t>
  </si>
  <si>
    <t>Deepika Singh</t>
  </si>
  <si>
    <t>Aarav Arora</t>
  </si>
  <si>
    <t>Alok Tiwari</t>
  </si>
  <si>
    <t>Mohit Das</t>
  </si>
  <si>
    <t>Pallavi Ahuja</t>
  </si>
  <si>
    <t>Tanmay Chauhan</t>
  </si>
  <si>
    <t>Aparna Chatterjee</t>
  </si>
  <si>
    <t>Aditya Mukherjee</t>
  </si>
  <si>
    <t>Rupali Shah</t>
  </si>
  <si>
    <t>Harsh Khanna</t>
  </si>
  <si>
    <t>Ishi Rajput</t>
  </si>
  <si>
    <t>Lokesh Yadav</t>
  </si>
  <si>
    <t>Shubham Rajput</t>
  </si>
  <si>
    <t>Ritika Ghosh</t>
  </si>
  <si>
    <t>Jyoti Menon</t>
  </si>
  <si>
    <t>Aarav Malhotra</t>
  </si>
  <si>
    <t>Simran Sen</t>
  </si>
  <si>
    <t>Sejal Shah</t>
  </si>
  <si>
    <t>Amit Choudhary</t>
  </si>
  <si>
    <t>Himanshu Rajput</t>
  </si>
  <si>
    <t>Ridhi Shukla</t>
  </si>
  <si>
    <t>Harshita Sharma</t>
  </si>
  <si>
    <t>Riya Arora</t>
  </si>
  <si>
    <t>Himanshi Chatterjee</t>
  </si>
  <si>
    <t>Poonam Chatterjee</t>
  </si>
  <si>
    <t>Veer Yadav</t>
  </si>
  <si>
    <t>Zara Bansal</t>
  </si>
  <si>
    <t>Muskan Gupta</t>
  </si>
  <si>
    <t>Yamini Khanna</t>
  </si>
  <si>
    <t>Tanya Kumar</t>
  </si>
  <si>
    <t>Nitin Sharma</t>
  </si>
  <si>
    <t>Muskan Jain</t>
  </si>
  <si>
    <t>Garima Bose</t>
  </si>
  <si>
    <t>Rohit Chopra</t>
  </si>
  <si>
    <t>Tushar Arora</t>
  </si>
  <si>
    <t>Mohit Paul</t>
  </si>
  <si>
    <t>Sumit Rao</t>
  </si>
  <si>
    <t>Radhika Verma</t>
  </si>
  <si>
    <t>Varsha Tripathi</t>
  </si>
  <si>
    <t>Pooja Rajput</t>
  </si>
  <si>
    <t>Vikas Mondal</t>
  </si>
  <si>
    <t>Siddharth Tripathi</t>
  </si>
  <si>
    <t>Krish Chauhan</t>
  </si>
  <si>
    <t>Radhika Tripathi</t>
  </si>
  <si>
    <t>Himanshu Sethi</t>
  </si>
  <si>
    <t>Kavya Chopra</t>
  </si>
  <si>
    <t>Unnati Tiwari</t>
  </si>
  <si>
    <t>Varsha Gupta</t>
  </si>
  <si>
    <t>Shikha Yadav</t>
  </si>
  <si>
    <t>Monika Arora</t>
  </si>
  <si>
    <t>Akhil Arora</t>
  </si>
  <si>
    <t>Akash Sethi</t>
  </si>
  <si>
    <t>Akhil Saxena</t>
  </si>
  <si>
    <t>Kabir Mehta</t>
  </si>
  <si>
    <t>Arjun Sethi</t>
  </si>
  <si>
    <t>Tanmay Tiwari</t>
  </si>
  <si>
    <t>Pallavi Menon</t>
  </si>
  <si>
    <t>Tanya Sethi</t>
  </si>
  <si>
    <t>Tushar Menon</t>
  </si>
  <si>
    <t>Tarini Srivastava</t>
  </si>
  <si>
    <t>Chhavi Mehta</t>
  </si>
  <si>
    <t>Ajay Choudhary</t>
  </si>
  <si>
    <t>Nitin Menon</t>
  </si>
  <si>
    <t>Tarun Chauhan</t>
  </si>
  <si>
    <t>Swati Mishra</t>
  </si>
  <si>
    <t>Mahi Iyer</t>
  </si>
  <si>
    <t>Archana Joshi</t>
  </si>
  <si>
    <t>Trisha Mehta</t>
  </si>
  <si>
    <t>Oviya Tripathi</t>
  </si>
  <si>
    <t>Rashmi Reddy</t>
  </si>
  <si>
    <t>Vidya Sharma</t>
  </si>
  <si>
    <t>Abhinav Chatterjee</t>
  </si>
  <si>
    <t>Aishwarya Chatterjee</t>
  </si>
  <si>
    <t>Aryan Nair</t>
  </si>
  <si>
    <t>Prateek Singh</t>
  </si>
  <si>
    <t>Sakshi Srivastava</t>
  </si>
  <si>
    <t>Manish Sen</t>
  </si>
  <si>
    <t>Pranav Bansal</t>
  </si>
  <si>
    <t>Sachin Malhotra</t>
  </si>
  <si>
    <t>Nitin Yadav</t>
  </si>
  <si>
    <t>Rishabh Sethi</t>
  </si>
  <si>
    <t>Suraj Srivastava</t>
  </si>
  <si>
    <t>Shaurya Roy</t>
  </si>
  <si>
    <t>Tushar Sharma</t>
  </si>
  <si>
    <t>Riya Paul</t>
  </si>
  <si>
    <t>Archana Malhotra</t>
  </si>
  <si>
    <t>Nandini Kapoor</t>
  </si>
  <si>
    <t>Yash Sharma</t>
  </si>
  <si>
    <t>Neha Bansal</t>
  </si>
  <si>
    <t>Shikha Shukla</t>
  </si>
  <si>
    <t>Karan Dubey</t>
  </si>
  <si>
    <t>Simran Tripathi</t>
  </si>
  <si>
    <t>Chirag Roy</t>
  </si>
  <si>
    <t>Ankita Jain</t>
  </si>
  <si>
    <t>Rohit Roy</t>
  </si>
  <si>
    <t>Himanshi Shukla</t>
  </si>
  <si>
    <t>Jigyasa Kumar</t>
  </si>
  <si>
    <t>Rupali Khanna</t>
  </si>
  <si>
    <t>Himanshu Tiwari</t>
  </si>
  <si>
    <t>Shreya Yadav</t>
  </si>
  <si>
    <t>Aarti Verma</t>
  </si>
  <si>
    <t>Ishita Gupta</t>
  </si>
  <si>
    <t>Priyanshi Menon</t>
  </si>
  <si>
    <t>Ishaan Shah</t>
  </si>
  <si>
    <t>Kunal Das</t>
  </si>
  <si>
    <t>Vishal Rao</t>
  </si>
  <si>
    <t>Kartik Patel</t>
  </si>
  <si>
    <t>Sanya Srivastava</t>
  </si>
  <si>
    <t>Navya Mondal</t>
  </si>
  <si>
    <t>Nikhil Bansal</t>
  </si>
  <si>
    <t>Priyanshi Ghosh</t>
  </si>
  <si>
    <t>Madhav Gupta</t>
  </si>
  <si>
    <t>Chhavi Mukherjee</t>
  </si>
  <si>
    <t>Zoya Agarwal</t>
  </si>
  <si>
    <t>Ananya Roy</t>
  </si>
  <si>
    <t>Ankit Jain</t>
  </si>
  <si>
    <t>Piyush Yadav</t>
  </si>
  <si>
    <t>Tanmay Nair</t>
  </si>
  <si>
    <t>Shaurya Bajaj</t>
  </si>
  <si>
    <t>Piyush Gupta</t>
  </si>
  <si>
    <t>Devraj Dubey</t>
  </si>
  <si>
    <t>Naman Verma</t>
  </si>
  <si>
    <t>Ridhi Mishra</t>
  </si>
  <si>
    <t>Khushi Ahuja</t>
  </si>
  <si>
    <t>Yamini Yadav</t>
  </si>
  <si>
    <t>Rishabh Khanna</t>
  </si>
  <si>
    <t>Himanshu Joshi</t>
  </si>
  <si>
    <t>Tarini Bajaj</t>
  </si>
  <si>
    <t>Ishi Khanna</t>
  </si>
  <si>
    <t>Jigyasa Mehta</t>
  </si>
  <si>
    <t>Vivek Reddy</t>
  </si>
  <si>
    <t>Sneha Choudhary</t>
  </si>
  <si>
    <t>Madhuri Chopra</t>
  </si>
  <si>
    <t>Hrithik Shah</t>
  </si>
  <si>
    <t>Eesha Srivastava</t>
  </si>
  <si>
    <t>Nikhil Chatterjee</t>
  </si>
  <si>
    <t>Tanvi Tiwari</t>
  </si>
  <si>
    <t>Manish Choudhary</t>
  </si>
  <si>
    <t>Ayush Gupta</t>
  </si>
  <si>
    <t>Pooja Dwivedi</t>
  </si>
  <si>
    <t>Priyanshi Chopra</t>
  </si>
  <si>
    <t>Sakshi Agarwal</t>
  </si>
  <si>
    <t>Vishal Bhatia</t>
  </si>
  <si>
    <t>Prachi Sharma</t>
  </si>
  <si>
    <t>Riya Gupta</t>
  </si>
  <si>
    <t>Rahul Menon</t>
  </si>
  <si>
    <t>Oviya Nair</t>
  </si>
  <si>
    <t>Mansi Das</t>
  </si>
  <si>
    <t>Farhan Das</t>
  </si>
  <si>
    <t>Ishi Roy</t>
  </si>
  <si>
    <t>Zara Srivastava</t>
  </si>
  <si>
    <t>Jay Sethi</t>
  </si>
  <si>
    <t>Akash Das</t>
  </si>
  <si>
    <t>Ajay Chatterjee</t>
  </si>
  <si>
    <t>Shikha Tiwari</t>
  </si>
  <si>
    <t>Riya Sen</t>
  </si>
  <si>
    <t>Wridhi Chauhan</t>
  </si>
  <si>
    <t>Khushi Reddy</t>
  </si>
  <si>
    <t>Sejal Bose</t>
  </si>
  <si>
    <t>Shlok Pandey</t>
  </si>
  <si>
    <t>Vivek Joshi</t>
  </si>
  <si>
    <t>Eesha Pandey</t>
  </si>
  <si>
    <t>Rahul Chauhan</t>
  </si>
  <si>
    <t>Rudra Rao</t>
  </si>
  <si>
    <t>Nikhil Khanna</t>
  </si>
  <si>
    <t>Kriti Mishra</t>
  </si>
  <si>
    <t>Jay Arora</t>
  </si>
  <si>
    <t>Aditi Rao</t>
  </si>
  <si>
    <t>Palak Chauhan</t>
  </si>
  <si>
    <t>Jay Dwivedi</t>
  </si>
  <si>
    <t>Aishwarya Saxena</t>
  </si>
  <si>
    <t>Sonam Bansal</t>
  </si>
  <si>
    <t>Divya Sethi</t>
  </si>
  <si>
    <t>Shreya Dwivedi</t>
  </si>
  <si>
    <t>Varsha Sethi</t>
  </si>
  <si>
    <t>Lokesh Pandey</t>
  </si>
  <si>
    <t>Aishwarya Chauhan</t>
  </si>
  <si>
    <t>Swati Sethi</t>
  </si>
  <si>
    <t>Rudra Iyer</t>
  </si>
  <si>
    <t>Tanmay Choudhary</t>
  </si>
  <si>
    <t>Yuvraj Tripathi</t>
  </si>
  <si>
    <t>Ritika Joshi</t>
  </si>
  <si>
    <t>Pranav Sen</t>
  </si>
  <si>
    <t>Kajal Gupta</t>
  </si>
  <si>
    <t>Karan Tiwari</t>
  </si>
  <si>
    <t>Aarav Bhatia</t>
  </si>
  <si>
    <t>Prachi Shukla</t>
  </si>
  <si>
    <t>Sonam Saxena</t>
  </si>
  <si>
    <t>Nikhil Bajaj</t>
  </si>
  <si>
    <t>Gaurav Saxena</t>
  </si>
  <si>
    <t>Jyoti Singh</t>
  </si>
  <si>
    <t>Prachi Arora</t>
  </si>
  <si>
    <t>Priyanshi Sharma</t>
  </si>
  <si>
    <t>Samarth Paul</t>
  </si>
  <si>
    <t>Deepak Gupta</t>
  </si>
  <si>
    <t>Gaurav Mehta</t>
  </si>
  <si>
    <t>Unnati Roy</t>
  </si>
  <si>
    <t>Harshita Mukherjee</t>
  </si>
  <si>
    <t>Akanksha Menon</t>
  </si>
  <si>
    <t>Rohit Reddy</t>
  </si>
  <si>
    <t>Prateek Saxena</t>
  </si>
  <si>
    <t>Nisha Roy</t>
  </si>
  <si>
    <t>Pallavi Dubey</t>
  </si>
  <si>
    <t>Gaurav Rao</t>
  </si>
  <si>
    <t>Poonam Joshi</t>
  </si>
  <si>
    <t>Ananya Sen</t>
  </si>
  <si>
    <t>Vikas Pandey</t>
  </si>
  <si>
    <t>Mohit Chatterjee</t>
  </si>
  <si>
    <t>Priyanshi Tripathi</t>
  </si>
  <si>
    <t>Row Labels</t>
  </si>
  <si>
    <t>Grand Total</t>
  </si>
  <si>
    <t>Sum of Class</t>
  </si>
  <si>
    <t>Total Student</t>
  </si>
  <si>
    <t>Fee</t>
  </si>
  <si>
    <t>Expected Fee</t>
  </si>
  <si>
    <t>Fee Remark</t>
  </si>
  <si>
    <t>Identify whether each student has paid the fee or not.</t>
  </si>
  <si>
    <t>Categorize students into Junior and Senior groups based on class.</t>
  </si>
  <si>
    <t>Count the total number of students whose fee status is "Due".</t>
  </si>
  <si>
    <t>Calculate the total fees collected from students.</t>
  </si>
  <si>
    <t>Calculate the total pending fees.</t>
  </si>
  <si>
    <t>Find the expected fee for each student using a lookup table.</t>
  </si>
  <si>
    <t>Apply conditional formatting to highlight:</t>
  </si>
  <si>
    <t>Students with "Due" fees</t>
  </si>
  <si>
    <t>Students with "Paid" fees</t>
  </si>
  <si>
    <t>Create a dropdown list for cultural event participation.</t>
  </si>
  <si>
    <t>Calculate class-wise total collected fees.</t>
  </si>
  <si>
    <t>Create a dashboard showing:</t>
  </si>
  <si>
    <t>Total Students</t>
  </si>
  <si>
    <t>Total Paid Students</t>
  </si>
  <si>
    <t>Total Due Students</t>
  </si>
  <si>
    <t>Total Revenue</t>
  </si>
  <si>
    <t>Prepare a summary showing class-wise number of Paid and Due students.</t>
  </si>
  <si>
    <t>Group</t>
  </si>
  <si>
    <t>Food Preference of Students</t>
  </si>
  <si>
    <t>Paid Students</t>
  </si>
  <si>
    <t>Count how many students are in each Class who paid fees</t>
  </si>
  <si>
    <t>Q4. Food Preference of Students</t>
  </si>
  <si>
    <t>Q3. Count total students whose fee is Due</t>
  </si>
  <si>
    <t>Q7. Calculate total fees collected</t>
  </si>
  <si>
    <t>Q8. Calculate total pending fees</t>
  </si>
  <si>
    <t>Total Fees Collect</t>
  </si>
  <si>
    <t xml:space="preserve">Q9. Total fees collected from any Class </t>
  </si>
  <si>
    <t>Find the total fees collected from any Class students.</t>
  </si>
  <si>
    <t>Check whether the fee remark paid by each student.</t>
  </si>
  <si>
    <t>Total Students:</t>
  </si>
  <si>
    <t>Total Due:</t>
  </si>
  <si>
    <t>Total Revenue:</t>
  </si>
  <si>
    <t>Q17. Dashboard calculations</t>
  </si>
  <si>
    <t>Q18. Class-wise Paid vs Due summary</t>
  </si>
  <si>
    <t>Due:</t>
  </si>
  <si>
    <t>Q16. Count the number of students participating in Academic event.</t>
  </si>
  <si>
    <t>Count the number of students participating in Academic event.</t>
  </si>
  <si>
    <t>Count the number of students participating in Cultural event.</t>
  </si>
  <si>
    <t>Q15. Count the number of students participating in Cultural event.</t>
  </si>
  <si>
    <t>Total Paid Students:</t>
  </si>
  <si>
    <t>Dashboard</t>
  </si>
  <si>
    <t>Total Paid</t>
  </si>
  <si>
    <t>Total Due</t>
  </si>
  <si>
    <t>Event</t>
  </si>
  <si>
    <t>Count</t>
  </si>
  <si>
    <t>Revenue</t>
  </si>
  <si>
    <t>Q6. Count how many students are in each Class who paid fees</t>
  </si>
  <si>
    <t>QUESTIONS</t>
  </si>
  <si>
    <t>SCHOOL PROGRAM ANALYSIS</t>
  </si>
  <si>
    <t>(All)</t>
  </si>
  <si>
    <t xml:space="preserve">Entry Pass Collected By Students </t>
  </si>
  <si>
    <t xml:space="preserve">Q5. Entry Pass Collected By Students </t>
  </si>
  <si>
    <t>Sum of Paid</t>
  </si>
  <si>
    <t>Sum of Due: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</si>
</sst>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rial"/>
      <family val="2"/>
    </font>
    <font>
      <b/>
      <sz val="12"/>
      <color theme="1"/>
      <name val="Arial"/>
      <family val="2"/>
    </font>
    <font>
      <b/>
      <sz val="9"/>
      <color theme="1"/>
      <name val="Arial"/>
      <family val="2"/>
    </font>
    <font>
      <sz val="9"/>
      <color theme="1"/>
      <name val="Arial"/>
      <family val="2"/>
    </font>
    <font>
      <b/>
      <sz val="10"/>
      <color theme="1"/>
      <name val="Arial"/>
      <family val="2"/>
    </font>
    <font>
      <b/>
      <sz val="12"/>
      <color theme="1"/>
      <name val="Aptos Narrow"/>
      <family val="2"/>
      <scheme val="minor"/>
    </font>
    <font>
      <b/>
      <sz val="18"/>
      <color theme="7"/>
      <name val="Arial Unicode MS"/>
    </font>
    <font>
      <sz val="11"/>
      <color theme="1" tint="4.9989318521683403E-2"/>
      <name val="Aptos Narrow"/>
      <family val="2"/>
      <scheme val="minor"/>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theme="7" tint="0.59999389629810485"/>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92D050"/>
        <bgColor indexed="64"/>
      </patternFill>
    </fill>
    <fill>
      <patternFill patternType="solid">
        <fgColor theme="8" tint="0.39997558519241921"/>
        <bgColor indexed="64"/>
      </patternFill>
    </fill>
    <fill>
      <patternFill patternType="solid">
        <fgColor theme="3" tint="0.499984740745262"/>
        <bgColor indexed="64"/>
      </patternFill>
    </fill>
    <fill>
      <patternFill patternType="solid">
        <fgColor theme="6"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4">
    <xf numFmtId="0" fontId="0" fillId="0" borderId="0" xfId="0"/>
    <xf numFmtId="0" fontId="16" fillId="0" borderId="0" xfId="0" applyFont="1"/>
    <xf numFmtId="0" fontId="20" fillId="0" borderId="10" xfId="0" applyFont="1" applyBorder="1" applyAlignment="1">
      <alignment horizontal="center"/>
    </xf>
    <xf numFmtId="0" fontId="0" fillId="0" borderId="0" xfId="0" pivotButton="1"/>
    <xf numFmtId="0" fontId="0" fillId="0" borderId="0" xfId="0" applyAlignment="1">
      <alignment horizontal="left"/>
    </xf>
    <xf numFmtId="0" fontId="0" fillId="0" borderId="10" xfId="0" applyBorder="1"/>
    <xf numFmtId="0" fontId="16" fillId="0" borderId="10" xfId="0" applyFont="1" applyBorder="1" applyAlignment="1">
      <alignment horizontal="center" vertical="center" wrapText="1"/>
    </xf>
    <xf numFmtId="0" fontId="16" fillId="0" borderId="10" xfId="0" applyFont="1" applyBorder="1"/>
    <xf numFmtId="0" fontId="21" fillId="0" borderId="10" xfId="0" applyFont="1" applyBorder="1" applyAlignment="1">
      <alignment horizontal="center" vertical="center"/>
    </xf>
    <xf numFmtId="0" fontId="0" fillId="0" borderId="10" xfId="0" applyBorder="1" applyAlignment="1">
      <alignment horizontal="center" vertical="center"/>
    </xf>
    <xf numFmtId="0" fontId="22" fillId="0" borderId="10" xfId="0" applyFont="1" applyBorder="1" applyAlignment="1">
      <alignment horizontal="center" vertical="center"/>
    </xf>
    <xf numFmtId="0" fontId="22" fillId="0" borderId="0" xfId="0" applyFont="1"/>
    <xf numFmtId="0" fontId="21" fillId="0" borderId="0" xfId="0" applyFont="1" applyAlignment="1">
      <alignment horizontal="center" vertical="center"/>
    </xf>
    <xf numFmtId="0" fontId="0" fillId="33" borderId="10" xfId="0" applyFill="1" applyBorder="1"/>
    <xf numFmtId="0" fontId="0" fillId="34" borderId="10" xfId="0" applyFill="1" applyBorder="1"/>
    <xf numFmtId="0" fontId="25" fillId="35" borderId="0" xfId="0" applyFont="1" applyFill="1"/>
    <xf numFmtId="0" fontId="25" fillId="35" borderId="0" xfId="0" applyFont="1" applyFill="1" applyAlignment="1">
      <alignment horizontal="left" vertical="center" indent="1"/>
    </xf>
    <xf numFmtId="0" fontId="0" fillId="0" borderId="10" xfId="0" applyBorder="1" applyAlignment="1">
      <alignment horizontal="center" vertical="center" wrapText="1"/>
    </xf>
    <xf numFmtId="0" fontId="19" fillId="0" borderId="10" xfId="0" applyFont="1" applyBorder="1"/>
    <xf numFmtId="0" fontId="18" fillId="0" borderId="10" xfId="0" applyFont="1" applyBorder="1"/>
    <xf numFmtId="9" fontId="0" fillId="0" borderId="0" xfId="0" applyNumberFormat="1"/>
    <xf numFmtId="0" fontId="23" fillId="0" borderId="0" xfId="0" applyFont="1" applyAlignment="1">
      <alignment horizontal="center"/>
    </xf>
    <xf numFmtId="0" fontId="22" fillId="0" borderId="10" xfId="0" applyFont="1" applyBorder="1" applyAlignment="1">
      <alignment horizontal="center"/>
    </xf>
    <xf numFmtId="0" fontId="24" fillId="0" borderId="11" xfId="0" applyFont="1" applyBorder="1" applyAlignment="1">
      <alignment horizontal="center" vertical="center"/>
    </xf>
    <xf numFmtId="0" fontId="25" fillId="36" borderId="0" xfId="0" applyFont="1" applyFill="1"/>
    <xf numFmtId="0" fontId="25" fillId="37" borderId="0" xfId="0" applyFont="1" applyFill="1"/>
    <xf numFmtId="0" fontId="22" fillId="37" borderId="10" xfId="0" applyFont="1" applyFill="1" applyBorder="1" applyAlignment="1">
      <alignment horizontal="center" vertical="center"/>
    </xf>
    <xf numFmtId="0" fontId="22" fillId="38" borderId="10" xfId="0" applyFont="1" applyFill="1" applyBorder="1" applyAlignment="1">
      <alignment horizontal="center" vertical="center"/>
    </xf>
    <xf numFmtId="0" fontId="25" fillId="38" borderId="0" xfId="0" applyFont="1" applyFill="1"/>
    <xf numFmtId="0" fontId="25" fillId="39" borderId="0" xfId="0" applyFont="1" applyFill="1"/>
    <xf numFmtId="0" fontId="0" fillId="35" borderId="0" xfId="0" applyFill="1"/>
    <xf numFmtId="0" fontId="14" fillId="0" borderId="10" xfId="0" applyFont="1" applyBorder="1"/>
    <xf numFmtId="0" fontId="14" fillId="35" borderId="0" xfId="0" applyFont="1" applyFill="1"/>
    <xf numFmtId="0" fontId="25" fillId="40" borderId="0" xfId="0" applyFont="1" applyFill="1"/>
    <xf numFmtId="0" fontId="0" fillId="41" borderId="0" xfId="0" applyFill="1"/>
    <xf numFmtId="0" fontId="25" fillId="41" borderId="0" xfId="0" applyFont="1" applyFill="1"/>
    <xf numFmtId="0" fontId="0" fillId="0" borderId="10" xfId="0" applyBorder="1" applyAlignment="1">
      <alignment horizontal="center"/>
    </xf>
    <xf numFmtId="0" fontId="0" fillId="40" borderId="10" xfId="0" applyFill="1" applyBorder="1" applyAlignment="1">
      <alignment horizontal="center" vertical="center"/>
    </xf>
    <xf numFmtId="9" fontId="0" fillId="40" borderId="10" xfId="42" applyFont="1" applyFill="1" applyBorder="1" applyAlignment="1">
      <alignment horizontal="center" vertical="center"/>
    </xf>
    <xf numFmtId="0" fontId="0" fillId="41" borderId="10" xfId="0" applyFill="1" applyBorder="1" applyAlignment="1">
      <alignment horizontal="center" vertical="center"/>
    </xf>
    <xf numFmtId="0" fontId="20" fillId="42" borderId="10" xfId="0" applyFont="1" applyFill="1" applyBorder="1" applyAlignment="1">
      <alignment horizontal="center" vertical="center"/>
    </xf>
    <xf numFmtId="0" fontId="0" fillId="42" borderId="10" xfId="0" applyFill="1" applyBorder="1" applyAlignment="1">
      <alignment horizontal="center" vertical="center"/>
    </xf>
    <xf numFmtId="0" fontId="25" fillId="42" borderId="0" xfId="0" applyFont="1" applyFill="1"/>
    <xf numFmtId="0" fontId="0" fillId="43" borderId="0" xfId="0" applyFont="1" applyFill="1"/>
    <xf numFmtId="0" fontId="25" fillId="44" borderId="0" xfId="0" applyFont="1" applyFill="1"/>
    <xf numFmtId="0" fontId="20" fillId="44" borderId="10" xfId="0" applyFont="1" applyFill="1" applyBorder="1" applyAlignment="1">
      <alignment horizontal="center" vertical="center"/>
    </xf>
    <xf numFmtId="0" fontId="0" fillId="44" borderId="10" xfId="0" applyFill="1" applyBorder="1" applyAlignment="1">
      <alignment horizontal="center" vertical="center"/>
    </xf>
    <xf numFmtId="0" fontId="0" fillId="43" borderId="10" xfId="0" applyFill="1" applyBorder="1" applyAlignment="1">
      <alignment horizontal="center" vertical="center"/>
    </xf>
    <xf numFmtId="0" fontId="17" fillId="39" borderId="10" xfId="0" applyFont="1" applyFill="1" applyBorder="1" applyAlignment="1">
      <alignment horizontal="center" vertical="center"/>
    </xf>
    <xf numFmtId="0" fontId="25" fillId="45" borderId="0" xfId="0" applyFont="1" applyFill="1"/>
    <xf numFmtId="0" fontId="22" fillId="45" borderId="10" xfId="0" applyFont="1" applyFill="1" applyBorder="1" applyAlignment="1">
      <alignment horizontal="center" vertical="center"/>
    </xf>
    <xf numFmtId="0" fontId="25" fillId="46" borderId="0" xfId="0" applyFont="1" applyFill="1"/>
    <xf numFmtId="0" fontId="22" fillId="46" borderId="10" xfId="0" applyFont="1" applyFill="1" applyBorder="1" applyAlignment="1">
      <alignment horizontal="center" vertical="center"/>
    </xf>
    <xf numFmtId="0" fontId="25" fillId="47" borderId="0" xfId="0" applyFont="1" applyFill="1" applyAlignment="1">
      <alignment horizontal="left" vertical="center" indent="1"/>
    </xf>
    <xf numFmtId="0" fontId="25" fillId="47" borderId="0" xfId="0" applyFont="1" applyFill="1"/>
    <xf numFmtId="0" fontId="20" fillId="36" borderId="10" xfId="0" applyFont="1" applyFill="1" applyBorder="1" applyAlignment="1">
      <alignment horizontal="center" vertical="center"/>
    </xf>
    <xf numFmtId="0" fontId="16" fillId="36" borderId="10" xfId="0" applyFont="1" applyFill="1" applyBorder="1" applyAlignment="1">
      <alignment horizontal="center" vertical="center"/>
    </xf>
    <xf numFmtId="0" fontId="0" fillId="36" borderId="10" xfId="0" applyFill="1" applyBorder="1" applyAlignment="1">
      <alignment horizontal="center" vertical="center"/>
    </xf>
    <xf numFmtId="0" fontId="25" fillId="35" borderId="0" xfId="0" applyFont="1" applyFill="1" applyAlignment="1">
      <alignment horizontal="left"/>
    </xf>
    <xf numFmtId="0" fontId="0" fillId="0" borderId="0" xfId="0" applyNumberFormat="1"/>
    <xf numFmtId="0" fontId="21" fillId="47" borderId="10" xfId="0" applyFont="1" applyFill="1" applyBorder="1" applyAlignment="1">
      <alignment horizontal="center" vertical="center"/>
    </xf>
    <xf numFmtId="0" fontId="16" fillId="47" borderId="10" xfId="0" applyFont="1" applyFill="1" applyBorder="1" applyAlignment="1">
      <alignment horizontal="center"/>
    </xf>
    <xf numFmtId="0" fontId="0" fillId="47" borderId="10" xfId="0" applyFill="1" applyBorder="1" applyAlignment="1">
      <alignment horizontal="center"/>
    </xf>
    <xf numFmtId="0" fontId="16" fillId="0" borderId="11" xfId="0"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s>
  <tableStyles count="0" defaultTableStyle="TableStyleMedium2" defaultPivotStyle="PivotStyleLight16"/>
  <colors>
    <mruColors>
      <color rgb="FFDEA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11111111111113"/>
          <c:y val="0.10185185185185185"/>
          <c:w val="0.53888888888888886"/>
          <c:h val="0.89814814814814814"/>
        </c:manualLayout>
      </c:layout>
      <c:pieChart>
        <c:varyColors val="1"/>
        <c:ser>
          <c:idx val="0"/>
          <c:order val="0"/>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2-DE7C-4DA1-B09B-4D6DF62137CB}"/>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1-DE7C-4DA1-B09B-4D6DF62137CB}"/>
              </c:ext>
            </c:extLst>
          </c:dPt>
          <c:val>
            <c:numRef>
              <c:f>Answers!$S$13:$S$14</c:f>
              <c:numCache>
                <c:formatCode>General</c:formatCode>
                <c:ptCount val="2"/>
                <c:pt idx="0">
                  <c:v>23630</c:v>
                </c:pt>
                <c:pt idx="1">
                  <c:v>18530</c:v>
                </c:pt>
              </c:numCache>
            </c:numRef>
          </c:val>
          <c:extLst>
            <c:ext xmlns:c16="http://schemas.microsoft.com/office/drawing/2014/chart" uri="{C3380CC4-5D6E-409C-BE32-E72D297353CC}">
              <c16:uniqueId val="{00000000-DE7C-4DA1-B09B-4D6DF62137C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F389-4CB8-81A5-A4B2BC451E0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F389-4CB8-81A5-A4B2BC451E0F}"/>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F389-4CB8-81A5-A4B2BC451E0F}"/>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F389-4CB8-81A5-A4B2BC451E0F}"/>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9-F389-4CB8-81A5-A4B2BC451E0F}"/>
              </c:ext>
            </c:extLst>
          </c:dPt>
          <c:dPt>
            <c:idx val="5"/>
            <c:bubble3D val="0"/>
            <c:spPr>
              <a:solidFill>
                <a:srgbClr val="FFC000"/>
              </a:solidFill>
              <a:ln w="19050">
                <a:solidFill>
                  <a:schemeClr val="lt1"/>
                </a:solidFill>
              </a:ln>
              <a:effectLst/>
            </c:spPr>
            <c:extLst>
              <c:ext xmlns:c16="http://schemas.microsoft.com/office/drawing/2014/chart" uri="{C3380CC4-5D6E-409C-BE32-E72D297353CC}">
                <c16:uniqueId val="{0000000B-F389-4CB8-81A5-A4B2BC451E0F}"/>
              </c:ext>
            </c:extLst>
          </c:dPt>
          <c:dPt>
            <c:idx val="6"/>
            <c:bubble3D val="0"/>
            <c:spPr>
              <a:solidFill>
                <a:srgbClr val="FFC000"/>
              </a:solidFill>
              <a:ln w="19050">
                <a:solidFill>
                  <a:schemeClr val="lt1"/>
                </a:solidFill>
              </a:ln>
              <a:effectLst/>
            </c:spPr>
            <c:extLst>
              <c:ext xmlns:c16="http://schemas.microsoft.com/office/drawing/2014/chart" uri="{C3380CC4-5D6E-409C-BE32-E72D297353CC}">
                <c16:uniqueId val="{0000000D-F389-4CB8-81A5-A4B2BC451E0F}"/>
              </c:ext>
            </c:extLst>
          </c:dPt>
          <c:dPt>
            <c:idx val="7"/>
            <c:bubble3D val="0"/>
            <c:spPr>
              <a:solidFill>
                <a:srgbClr val="FFC000"/>
              </a:solidFill>
              <a:ln w="19050">
                <a:solidFill>
                  <a:schemeClr val="lt1"/>
                </a:solidFill>
              </a:ln>
              <a:effectLst/>
            </c:spPr>
            <c:extLst>
              <c:ext xmlns:c16="http://schemas.microsoft.com/office/drawing/2014/chart" uri="{C3380CC4-5D6E-409C-BE32-E72D297353CC}">
                <c16:uniqueId val="{0000000F-F389-4CB8-81A5-A4B2BC451E0F}"/>
              </c:ext>
            </c:extLst>
          </c:dPt>
          <c:dPt>
            <c:idx val="8"/>
            <c:bubble3D val="0"/>
            <c:spPr>
              <a:solidFill>
                <a:srgbClr val="FFC000"/>
              </a:solidFill>
              <a:ln w="19050">
                <a:solidFill>
                  <a:schemeClr val="lt1"/>
                </a:solidFill>
              </a:ln>
              <a:effectLst/>
            </c:spPr>
            <c:extLst>
              <c:ext xmlns:c16="http://schemas.microsoft.com/office/drawing/2014/chart" uri="{C3380CC4-5D6E-409C-BE32-E72D297353CC}">
                <c16:uniqueId val="{00000011-F389-4CB8-81A5-A4B2BC451E0F}"/>
              </c:ext>
            </c:extLst>
          </c:dPt>
          <c:dPt>
            <c:idx val="9"/>
            <c:bubble3D val="0"/>
            <c:spPr>
              <a:solidFill>
                <a:srgbClr val="FFC000"/>
              </a:solidFill>
              <a:ln w="19050">
                <a:solidFill>
                  <a:schemeClr val="lt1"/>
                </a:solidFill>
              </a:ln>
              <a:effectLst/>
            </c:spPr>
            <c:extLst>
              <c:ext xmlns:c16="http://schemas.microsoft.com/office/drawing/2014/chart" uri="{C3380CC4-5D6E-409C-BE32-E72D297353CC}">
                <c16:uniqueId val="{00000013-F389-4CB8-81A5-A4B2BC451E0F}"/>
              </c:ext>
            </c:extLst>
          </c:dPt>
          <c:dPt>
            <c:idx val="10"/>
            <c:bubble3D val="0"/>
            <c:spPr>
              <a:solidFill>
                <a:srgbClr val="FFC000"/>
              </a:solidFill>
              <a:ln w="19050">
                <a:solidFill>
                  <a:schemeClr val="lt1"/>
                </a:solidFill>
              </a:ln>
              <a:effectLst/>
            </c:spPr>
            <c:extLst>
              <c:ext xmlns:c16="http://schemas.microsoft.com/office/drawing/2014/chart" uri="{C3380CC4-5D6E-409C-BE32-E72D297353CC}">
                <c16:uniqueId val="{00000015-F389-4CB8-81A5-A4B2BC451E0F}"/>
              </c:ext>
            </c:extLst>
          </c:dPt>
          <c:dPt>
            <c:idx val="11"/>
            <c:bubble3D val="0"/>
            <c:spPr>
              <a:solidFill>
                <a:srgbClr val="FFC000"/>
              </a:solidFill>
              <a:ln w="19050">
                <a:solidFill>
                  <a:schemeClr val="lt1"/>
                </a:solidFill>
              </a:ln>
              <a:effectLst/>
            </c:spPr>
            <c:extLst>
              <c:ext xmlns:c16="http://schemas.microsoft.com/office/drawing/2014/chart" uri="{C3380CC4-5D6E-409C-BE32-E72D297353CC}">
                <c16:uniqueId val="{00000017-F389-4CB8-81A5-A4B2BC451E0F}"/>
              </c:ext>
            </c:extLst>
          </c:dPt>
          <c:dPt>
            <c:idx val="12"/>
            <c:bubble3D val="0"/>
            <c:spPr>
              <a:solidFill>
                <a:srgbClr val="FFC000"/>
              </a:solidFill>
              <a:ln w="19050">
                <a:solidFill>
                  <a:schemeClr val="lt1"/>
                </a:solidFill>
              </a:ln>
              <a:effectLst/>
            </c:spPr>
            <c:extLst>
              <c:ext xmlns:c16="http://schemas.microsoft.com/office/drawing/2014/chart" uri="{C3380CC4-5D6E-409C-BE32-E72D297353CC}">
                <c16:uniqueId val="{00000019-F389-4CB8-81A5-A4B2BC451E0F}"/>
              </c:ext>
            </c:extLst>
          </c:dPt>
          <c:dPt>
            <c:idx val="13"/>
            <c:bubble3D val="0"/>
            <c:spPr>
              <a:solidFill>
                <a:srgbClr val="FFC000"/>
              </a:solidFill>
              <a:ln w="19050">
                <a:solidFill>
                  <a:schemeClr val="lt1"/>
                </a:solidFill>
              </a:ln>
              <a:effectLst/>
            </c:spPr>
            <c:extLst>
              <c:ext xmlns:c16="http://schemas.microsoft.com/office/drawing/2014/chart" uri="{C3380CC4-5D6E-409C-BE32-E72D297353CC}">
                <c16:uniqueId val="{0000001B-F389-4CB8-81A5-A4B2BC451E0F}"/>
              </c:ext>
            </c:extLst>
          </c:dPt>
          <c:dPt>
            <c:idx val="14"/>
            <c:bubble3D val="0"/>
            <c:spPr>
              <a:solidFill>
                <a:srgbClr val="FFC000"/>
              </a:solidFill>
              <a:ln w="19050">
                <a:solidFill>
                  <a:schemeClr val="lt1"/>
                </a:solidFill>
              </a:ln>
              <a:effectLst/>
            </c:spPr>
            <c:extLst>
              <c:ext xmlns:c16="http://schemas.microsoft.com/office/drawing/2014/chart" uri="{C3380CC4-5D6E-409C-BE32-E72D297353CC}">
                <c16:uniqueId val="{0000001D-F389-4CB8-81A5-A4B2BC451E0F}"/>
              </c:ext>
            </c:extLst>
          </c:dPt>
          <c:dPt>
            <c:idx val="15"/>
            <c:bubble3D val="0"/>
            <c:spPr>
              <a:solidFill>
                <a:srgbClr val="FFC000"/>
              </a:solidFill>
              <a:ln w="19050">
                <a:solidFill>
                  <a:schemeClr val="lt1"/>
                </a:solidFill>
              </a:ln>
              <a:effectLst/>
            </c:spPr>
            <c:extLst>
              <c:ext xmlns:c16="http://schemas.microsoft.com/office/drawing/2014/chart" uri="{C3380CC4-5D6E-409C-BE32-E72D297353CC}">
                <c16:uniqueId val="{0000001F-F389-4CB8-81A5-A4B2BC451E0F}"/>
              </c:ext>
            </c:extLst>
          </c:dPt>
          <c:dPt>
            <c:idx val="16"/>
            <c:bubble3D val="0"/>
            <c:spPr>
              <a:solidFill>
                <a:srgbClr val="FFC000"/>
              </a:solidFill>
              <a:ln w="19050">
                <a:solidFill>
                  <a:schemeClr val="lt1"/>
                </a:solidFill>
              </a:ln>
              <a:effectLst/>
            </c:spPr>
            <c:extLst>
              <c:ext xmlns:c16="http://schemas.microsoft.com/office/drawing/2014/chart" uri="{C3380CC4-5D6E-409C-BE32-E72D297353CC}">
                <c16:uniqueId val="{00000021-F389-4CB8-81A5-A4B2BC451E0F}"/>
              </c:ext>
            </c:extLst>
          </c:dPt>
          <c:dPt>
            <c:idx val="17"/>
            <c:bubble3D val="0"/>
            <c:spPr>
              <a:solidFill>
                <a:srgbClr val="FFC000"/>
              </a:solidFill>
              <a:ln w="19050">
                <a:solidFill>
                  <a:schemeClr val="lt1"/>
                </a:solidFill>
              </a:ln>
              <a:effectLst/>
            </c:spPr>
            <c:extLst>
              <c:ext xmlns:c16="http://schemas.microsoft.com/office/drawing/2014/chart" uri="{C3380CC4-5D6E-409C-BE32-E72D297353CC}">
                <c16:uniqueId val="{00000023-F389-4CB8-81A5-A4B2BC451E0F}"/>
              </c:ext>
            </c:extLst>
          </c:dPt>
          <c:dPt>
            <c:idx val="18"/>
            <c:bubble3D val="0"/>
            <c:spPr>
              <a:solidFill>
                <a:srgbClr val="FFC000"/>
              </a:solidFill>
              <a:ln w="19050">
                <a:solidFill>
                  <a:schemeClr val="lt1"/>
                </a:solidFill>
              </a:ln>
              <a:effectLst/>
            </c:spPr>
            <c:extLst>
              <c:ext xmlns:c16="http://schemas.microsoft.com/office/drawing/2014/chart" uri="{C3380CC4-5D6E-409C-BE32-E72D297353CC}">
                <c16:uniqueId val="{00000025-F389-4CB8-81A5-A4B2BC451E0F}"/>
              </c:ext>
            </c:extLst>
          </c:dPt>
          <c:dPt>
            <c:idx val="19"/>
            <c:bubble3D val="0"/>
            <c:spPr>
              <a:solidFill>
                <a:srgbClr val="FFC000"/>
              </a:solidFill>
              <a:ln w="19050">
                <a:solidFill>
                  <a:schemeClr val="lt1"/>
                </a:solidFill>
              </a:ln>
              <a:effectLst/>
            </c:spPr>
            <c:extLst>
              <c:ext xmlns:c16="http://schemas.microsoft.com/office/drawing/2014/chart" uri="{C3380CC4-5D6E-409C-BE32-E72D297353CC}">
                <c16:uniqueId val="{00000027-F389-4CB8-81A5-A4B2BC451E0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F389-4CB8-81A5-A4B2BC451E0F}"/>
            </c:ext>
          </c:extLst>
        </c:ser>
        <c:dLbls>
          <c:showLegendKey val="0"/>
          <c:showVal val="0"/>
          <c:showCatName val="0"/>
          <c:showSerName val="0"/>
          <c:showPercent val="0"/>
          <c:showBubbleSize val="0"/>
          <c:showLeaderLines val="1"/>
        </c:dLbls>
        <c:firstSliceAng val="0"/>
        <c:holeSize val="62"/>
      </c:doughnutChart>
      <c:doughnutChart>
        <c:varyColors val="1"/>
        <c:ser>
          <c:idx val="1"/>
          <c:order val="1"/>
          <c:tx>
            <c:strRef>
              <c:f>Dashboard!$A$5</c:f>
              <c:strCache>
                <c:ptCount val="1"/>
                <c:pt idx="0">
                  <c:v>Drama</c:v>
                </c:pt>
              </c:strCache>
            </c:strRef>
          </c:tx>
          <c:dPt>
            <c:idx val="0"/>
            <c:bubble3D val="0"/>
            <c:spPr>
              <a:noFill/>
              <a:ln w="19050">
                <a:solidFill>
                  <a:schemeClr val="lt1"/>
                </a:solidFill>
              </a:ln>
              <a:effectLst/>
            </c:spPr>
            <c:extLst>
              <c:ext xmlns:c16="http://schemas.microsoft.com/office/drawing/2014/chart" uri="{C3380CC4-5D6E-409C-BE32-E72D297353CC}">
                <c16:uniqueId val="{0000002A-F389-4CB8-81A5-A4B2BC451E0F}"/>
              </c:ext>
            </c:extLst>
          </c:dPt>
          <c:dPt>
            <c:idx val="1"/>
            <c:bubble3D val="0"/>
            <c:spPr>
              <a:solidFill>
                <a:schemeClr val="bg1">
                  <a:alpha val="50000"/>
                </a:schemeClr>
              </a:solidFill>
              <a:ln w="19050">
                <a:solidFill>
                  <a:schemeClr val="lt1"/>
                </a:solidFill>
              </a:ln>
              <a:effectLst/>
            </c:spPr>
            <c:extLst>
              <c:ext xmlns:c16="http://schemas.microsoft.com/office/drawing/2014/chart" uri="{C3380CC4-5D6E-409C-BE32-E72D297353CC}">
                <c16:uniqueId val="{0000002B-F389-4CB8-81A5-A4B2BC451E0F}"/>
              </c:ext>
            </c:extLst>
          </c:dPt>
          <c:val>
            <c:numRef>
              <c:f>Dashboard!$B$5:$C$5</c:f>
              <c:numCache>
                <c:formatCode>0%</c:formatCode>
                <c:ptCount val="2"/>
                <c:pt idx="0">
                  <c:v>0.18147840531561463</c:v>
                </c:pt>
                <c:pt idx="1">
                  <c:v>0.81852159468438535</c:v>
                </c:pt>
              </c:numCache>
            </c:numRef>
          </c:val>
          <c:extLst>
            <c:ext xmlns:c16="http://schemas.microsoft.com/office/drawing/2014/chart" uri="{C3380CC4-5D6E-409C-BE32-E72D297353CC}">
              <c16:uniqueId val="{00000029-F389-4CB8-81A5-A4B2BC451E0F}"/>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2">
                <a:lumMod val="60000"/>
                <a:lumOff val="40000"/>
              </a:schemeClr>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8720-48FC-9613-F7F101191FD7}"/>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720-48FC-9613-F7F101191FD7}"/>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8720-48FC-9613-F7F101191FD7}"/>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8720-48FC-9613-F7F101191FD7}"/>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8720-48FC-9613-F7F101191FD7}"/>
              </c:ext>
            </c:extLst>
          </c:dPt>
          <c:dPt>
            <c:idx val="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B-8720-48FC-9613-F7F101191FD7}"/>
              </c:ext>
            </c:extLst>
          </c:dPt>
          <c:dPt>
            <c:idx val="6"/>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D-8720-48FC-9613-F7F101191FD7}"/>
              </c:ext>
            </c:extLst>
          </c:dPt>
          <c:dPt>
            <c:idx val="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F-8720-48FC-9613-F7F101191FD7}"/>
              </c:ext>
            </c:extLst>
          </c:dPt>
          <c:dPt>
            <c:idx val="8"/>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1-8720-48FC-9613-F7F101191FD7}"/>
              </c:ext>
            </c:extLst>
          </c:dPt>
          <c:dPt>
            <c:idx val="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3-8720-48FC-9613-F7F101191FD7}"/>
              </c:ext>
            </c:extLst>
          </c:dPt>
          <c:dPt>
            <c:idx val="1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5-8720-48FC-9613-F7F101191FD7}"/>
              </c:ext>
            </c:extLst>
          </c:dPt>
          <c:dPt>
            <c:idx val="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7-8720-48FC-9613-F7F101191FD7}"/>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8720-48FC-9613-F7F101191FD7}"/>
              </c:ext>
            </c:extLst>
          </c:dPt>
          <c:dPt>
            <c:idx val="1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B-8720-48FC-9613-F7F101191FD7}"/>
              </c:ext>
            </c:extLst>
          </c:dPt>
          <c:dPt>
            <c:idx val="1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D-8720-48FC-9613-F7F101191FD7}"/>
              </c:ext>
            </c:extLst>
          </c:dPt>
          <c:dPt>
            <c:idx val="1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F-8720-48FC-9613-F7F101191FD7}"/>
              </c:ext>
            </c:extLst>
          </c:dPt>
          <c:dPt>
            <c:idx val="16"/>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21-8720-48FC-9613-F7F101191FD7}"/>
              </c:ext>
            </c:extLst>
          </c:dPt>
          <c:dPt>
            <c:idx val="1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23-8720-48FC-9613-F7F101191FD7}"/>
              </c:ext>
            </c:extLst>
          </c:dPt>
          <c:dPt>
            <c:idx val="18"/>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25-8720-48FC-9613-F7F101191FD7}"/>
              </c:ext>
            </c:extLst>
          </c:dPt>
          <c:dPt>
            <c:idx val="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27-8720-48FC-9613-F7F101191FD7}"/>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720-48FC-9613-F7F101191FD7}"/>
            </c:ext>
          </c:extLst>
        </c:ser>
        <c:dLbls>
          <c:showLegendKey val="0"/>
          <c:showVal val="0"/>
          <c:showCatName val="0"/>
          <c:showSerName val="0"/>
          <c:showPercent val="0"/>
          <c:showBubbleSize val="0"/>
          <c:showLeaderLines val="1"/>
        </c:dLbls>
        <c:firstSliceAng val="0"/>
        <c:holeSize val="62"/>
      </c:doughnutChart>
      <c:doughnutChart>
        <c:varyColors val="1"/>
        <c:ser>
          <c:idx val="1"/>
          <c:order val="1"/>
          <c:tx>
            <c:strRef>
              <c:f>Dashboard!$A$6</c:f>
              <c:strCache>
                <c:ptCount val="1"/>
                <c:pt idx="0">
                  <c:v>None</c:v>
                </c:pt>
              </c:strCache>
            </c:strRef>
          </c:tx>
          <c:dPt>
            <c:idx val="0"/>
            <c:bubble3D val="0"/>
            <c:spPr>
              <a:noFill/>
              <a:ln w="19050">
                <a:solidFill>
                  <a:schemeClr val="lt1"/>
                </a:solidFill>
              </a:ln>
              <a:effectLst/>
            </c:spPr>
            <c:extLst>
              <c:ext xmlns:c16="http://schemas.microsoft.com/office/drawing/2014/chart" uri="{C3380CC4-5D6E-409C-BE32-E72D297353CC}">
                <c16:uniqueId val="{0000002A-8720-48FC-9613-F7F101191FD7}"/>
              </c:ext>
            </c:extLst>
          </c:dPt>
          <c:dPt>
            <c:idx val="1"/>
            <c:bubble3D val="0"/>
            <c:spPr>
              <a:solidFill>
                <a:schemeClr val="bg1">
                  <a:alpha val="50000"/>
                </a:schemeClr>
              </a:solidFill>
              <a:ln w="19050">
                <a:solidFill>
                  <a:schemeClr val="lt1"/>
                </a:solidFill>
              </a:ln>
              <a:effectLst/>
            </c:spPr>
            <c:extLst>
              <c:ext xmlns:c16="http://schemas.microsoft.com/office/drawing/2014/chart" uri="{C3380CC4-5D6E-409C-BE32-E72D297353CC}">
                <c16:uniqueId val="{0000002B-8720-48FC-9613-F7F101191FD7}"/>
              </c:ext>
            </c:extLst>
          </c:dPt>
          <c:val>
            <c:numRef>
              <c:f>Dashboard!$B$6:$C$6</c:f>
              <c:numCache>
                <c:formatCode>0%</c:formatCode>
                <c:ptCount val="2"/>
                <c:pt idx="0">
                  <c:v>0.38683554817275745</c:v>
                </c:pt>
                <c:pt idx="1">
                  <c:v>0.61316445182724255</c:v>
                </c:pt>
              </c:numCache>
            </c:numRef>
          </c:val>
          <c:extLst>
            <c:ext xmlns:c16="http://schemas.microsoft.com/office/drawing/2014/chart" uri="{C3380CC4-5D6E-409C-BE32-E72D297353CC}">
              <c16:uniqueId val="{00000029-8720-48FC-9613-F7F101191FD7}"/>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86-4489-A54A-342513504B4C}"/>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386-4489-A54A-342513504B4C}"/>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F386-4489-A54A-342513504B4C}"/>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F386-4489-A54A-342513504B4C}"/>
              </c:ext>
            </c:extLst>
          </c:dPt>
          <c:dPt>
            <c:idx val="4"/>
            <c:bubble3D val="0"/>
            <c:spPr>
              <a:solidFill>
                <a:schemeClr val="accent1"/>
              </a:solidFill>
              <a:ln w="19050">
                <a:solidFill>
                  <a:schemeClr val="lt1"/>
                </a:solidFill>
              </a:ln>
              <a:effectLst/>
            </c:spPr>
            <c:extLst>
              <c:ext xmlns:c16="http://schemas.microsoft.com/office/drawing/2014/chart" uri="{C3380CC4-5D6E-409C-BE32-E72D297353CC}">
                <c16:uniqueId val="{00000009-F386-4489-A54A-342513504B4C}"/>
              </c:ext>
            </c:extLst>
          </c:dPt>
          <c:dPt>
            <c:idx val="5"/>
            <c:bubble3D val="0"/>
            <c:spPr>
              <a:solidFill>
                <a:schemeClr val="accent1"/>
              </a:solidFill>
              <a:ln w="19050">
                <a:solidFill>
                  <a:schemeClr val="lt1"/>
                </a:solidFill>
              </a:ln>
              <a:effectLst/>
            </c:spPr>
            <c:extLst>
              <c:ext xmlns:c16="http://schemas.microsoft.com/office/drawing/2014/chart" uri="{C3380CC4-5D6E-409C-BE32-E72D297353CC}">
                <c16:uniqueId val="{0000000B-F386-4489-A54A-342513504B4C}"/>
              </c:ext>
            </c:extLst>
          </c:dPt>
          <c:dPt>
            <c:idx val="6"/>
            <c:bubble3D val="0"/>
            <c:spPr>
              <a:solidFill>
                <a:schemeClr val="accent1"/>
              </a:solidFill>
              <a:ln w="19050">
                <a:solidFill>
                  <a:schemeClr val="lt1"/>
                </a:solidFill>
              </a:ln>
              <a:effectLst/>
            </c:spPr>
            <c:extLst>
              <c:ext xmlns:c16="http://schemas.microsoft.com/office/drawing/2014/chart" uri="{C3380CC4-5D6E-409C-BE32-E72D297353CC}">
                <c16:uniqueId val="{0000000D-F386-4489-A54A-342513504B4C}"/>
              </c:ext>
            </c:extLst>
          </c:dPt>
          <c:dPt>
            <c:idx val="7"/>
            <c:bubble3D val="0"/>
            <c:spPr>
              <a:solidFill>
                <a:schemeClr val="accent1"/>
              </a:solidFill>
              <a:ln w="19050">
                <a:solidFill>
                  <a:schemeClr val="lt1"/>
                </a:solidFill>
              </a:ln>
              <a:effectLst/>
            </c:spPr>
            <c:extLst>
              <c:ext xmlns:c16="http://schemas.microsoft.com/office/drawing/2014/chart" uri="{C3380CC4-5D6E-409C-BE32-E72D297353CC}">
                <c16:uniqueId val="{0000000F-F386-4489-A54A-342513504B4C}"/>
              </c:ext>
            </c:extLst>
          </c:dPt>
          <c:dPt>
            <c:idx val="8"/>
            <c:bubble3D val="0"/>
            <c:spPr>
              <a:solidFill>
                <a:schemeClr val="accent1"/>
              </a:solidFill>
              <a:ln w="19050">
                <a:solidFill>
                  <a:schemeClr val="lt1"/>
                </a:solidFill>
              </a:ln>
              <a:effectLst/>
            </c:spPr>
            <c:extLst>
              <c:ext xmlns:c16="http://schemas.microsoft.com/office/drawing/2014/chart" uri="{C3380CC4-5D6E-409C-BE32-E72D297353CC}">
                <c16:uniqueId val="{00000011-F386-4489-A54A-342513504B4C}"/>
              </c:ext>
            </c:extLst>
          </c:dPt>
          <c:dPt>
            <c:idx val="9"/>
            <c:bubble3D val="0"/>
            <c:spPr>
              <a:solidFill>
                <a:schemeClr val="accent1"/>
              </a:solidFill>
              <a:ln w="19050">
                <a:solidFill>
                  <a:schemeClr val="lt1"/>
                </a:solidFill>
              </a:ln>
              <a:effectLst/>
            </c:spPr>
            <c:extLst>
              <c:ext xmlns:c16="http://schemas.microsoft.com/office/drawing/2014/chart" uri="{C3380CC4-5D6E-409C-BE32-E72D297353CC}">
                <c16:uniqueId val="{00000013-F386-4489-A54A-342513504B4C}"/>
              </c:ext>
            </c:extLst>
          </c:dPt>
          <c:dPt>
            <c:idx val="10"/>
            <c:bubble3D val="0"/>
            <c:spPr>
              <a:solidFill>
                <a:schemeClr val="accent1"/>
              </a:solidFill>
              <a:ln w="19050">
                <a:solidFill>
                  <a:schemeClr val="lt1"/>
                </a:solidFill>
              </a:ln>
              <a:effectLst/>
            </c:spPr>
            <c:extLst>
              <c:ext xmlns:c16="http://schemas.microsoft.com/office/drawing/2014/chart" uri="{C3380CC4-5D6E-409C-BE32-E72D297353CC}">
                <c16:uniqueId val="{00000015-F386-4489-A54A-342513504B4C}"/>
              </c:ext>
            </c:extLst>
          </c:dPt>
          <c:dPt>
            <c:idx val="11"/>
            <c:bubble3D val="0"/>
            <c:spPr>
              <a:solidFill>
                <a:schemeClr val="accent1"/>
              </a:solidFill>
              <a:ln w="19050">
                <a:solidFill>
                  <a:schemeClr val="lt1"/>
                </a:solidFill>
              </a:ln>
              <a:effectLst/>
            </c:spPr>
            <c:extLst>
              <c:ext xmlns:c16="http://schemas.microsoft.com/office/drawing/2014/chart" uri="{C3380CC4-5D6E-409C-BE32-E72D297353CC}">
                <c16:uniqueId val="{00000017-F386-4489-A54A-342513504B4C}"/>
              </c:ext>
            </c:extLst>
          </c:dPt>
          <c:dPt>
            <c:idx val="12"/>
            <c:bubble3D val="0"/>
            <c:spPr>
              <a:solidFill>
                <a:schemeClr val="accent1"/>
              </a:solidFill>
              <a:ln w="19050">
                <a:solidFill>
                  <a:schemeClr val="lt1"/>
                </a:solidFill>
              </a:ln>
              <a:effectLst/>
            </c:spPr>
            <c:extLst>
              <c:ext xmlns:c16="http://schemas.microsoft.com/office/drawing/2014/chart" uri="{C3380CC4-5D6E-409C-BE32-E72D297353CC}">
                <c16:uniqueId val="{00000019-F386-4489-A54A-342513504B4C}"/>
              </c:ext>
            </c:extLst>
          </c:dPt>
          <c:dPt>
            <c:idx val="13"/>
            <c:bubble3D val="0"/>
            <c:spPr>
              <a:solidFill>
                <a:schemeClr val="accent1"/>
              </a:solidFill>
              <a:ln w="19050">
                <a:solidFill>
                  <a:schemeClr val="lt1"/>
                </a:solidFill>
              </a:ln>
              <a:effectLst/>
            </c:spPr>
            <c:extLst>
              <c:ext xmlns:c16="http://schemas.microsoft.com/office/drawing/2014/chart" uri="{C3380CC4-5D6E-409C-BE32-E72D297353CC}">
                <c16:uniqueId val="{0000001B-F386-4489-A54A-342513504B4C}"/>
              </c:ext>
            </c:extLst>
          </c:dPt>
          <c:dPt>
            <c:idx val="14"/>
            <c:bubble3D val="0"/>
            <c:spPr>
              <a:solidFill>
                <a:schemeClr val="accent1"/>
              </a:solidFill>
              <a:ln w="19050">
                <a:solidFill>
                  <a:schemeClr val="lt1"/>
                </a:solidFill>
              </a:ln>
              <a:effectLst/>
            </c:spPr>
            <c:extLst>
              <c:ext xmlns:c16="http://schemas.microsoft.com/office/drawing/2014/chart" uri="{C3380CC4-5D6E-409C-BE32-E72D297353CC}">
                <c16:uniqueId val="{0000001D-F386-4489-A54A-342513504B4C}"/>
              </c:ext>
            </c:extLst>
          </c:dPt>
          <c:dPt>
            <c:idx val="15"/>
            <c:bubble3D val="0"/>
            <c:spPr>
              <a:solidFill>
                <a:schemeClr val="accent1"/>
              </a:solidFill>
              <a:ln w="19050">
                <a:solidFill>
                  <a:schemeClr val="lt1"/>
                </a:solidFill>
              </a:ln>
              <a:effectLst/>
            </c:spPr>
            <c:extLst>
              <c:ext xmlns:c16="http://schemas.microsoft.com/office/drawing/2014/chart" uri="{C3380CC4-5D6E-409C-BE32-E72D297353CC}">
                <c16:uniqueId val="{0000001F-F386-4489-A54A-342513504B4C}"/>
              </c:ext>
            </c:extLst>
          </c:dPt>
          <c:dPt>
            <c:idx val="16"/>
            <c:bubble3D val="0"/>
            <c:spPr>
              <a:solidFill>
                <a:schemeClr val="accent1"/>
              </a:solidFill>
              <a:ln w="19050">
                <a:solidFill>
                  <a:schemeClr val="lt1"/>
                </a:solidFill>
              </a:ln>
              <a:effectLst/>
            </c:spPr>
            <c:extLst>
              <c:ext xmlns:c16="http://schemas.microsoft.com/office/drawing/2014/chart" uri="{C3380CC4-5D6E-409C-BE32-E72D297353CC}">
                <c16:uniqueId val="{00000021-F386-4489-A54A-342513504B4C}"/>
              </c:ext>
            </c:extLst>
          </c:dPt>
          <c:dPt>
            <c:idx val="17"/>
            <c:bubble3D val="0"/>
            <c:spPr>
              <a:solidFill>
                <a:schemeClr val="accent1"/>
              </a:solidFill>
              <a:ln w="19050">
                <a:solidFill>
                  <a:schemeClr val="lt1"/>
                </a:solidFill>
              </a:ln>
              <a:effectLst/>
            </c:spPr>
            <c:extLst>
              <c:ext xmlns:c16="http://schemas.microsoft.com/office/drawing/2014/chart" uri="{C3380CC4-5D6E-409C-BE32-E72D297353CC}">
                <c16:uniqueId val="{00000023-F386-4489-A54A-342513504B4C}"/>
              </c:ext>
            </c:extLst>
          </c:dPt>
          <c:dPt>
            <c:idx val="18"/>
            <c:bubble3D val="0"/>
            <c:spPr>
              <a:solidFill>
                <a:schemeClr val="accent1"/>
              </a:solidFill>
              <a:ln w="19050">
                <a:solidFill>
                  <a:schemeClr val="lt1"/>
                </a:solidFill>
              </a:ln>
              <a:effectLst/>
            </c:spPr>
            <c:extLst>
              <c:ext xmlns:c16="http://schemas.microsoft.com/office/drawing/2014/chart" uri="{C3380CC4-5D6E-409C-BE32-E72D297353CC}">
                <c16:uniqueId val="{00000025-F386-4489-A54A-342513504B4C}"/>
              </c:ext>
            </c:extLst>
          </c:dPt>
          <c:dPt>
            <c:idx val="19"/>
            <c:bubble3D val="0"/>
            <c:spPr>
              <a:solidFill>
                <a:schemeClr val="accent1"/>
              </a:solidFill>
              <a:ln w="19050">
                <a:solidFill>
                  <a:schemeClr val="lt1"/>
                </a:solidFill>
              </a:ln>
              <a:effectLst/>
            </c:spPr>
            <c:extLst>
              <c:ext xmlns:c16="http://schemas.microsoft.com/office/drawing/2014/chart" uri="{C3380CC4-5D6E-409C-BE32-E72D297353CC}">
                <c16:uniqueId val="{00000027-F386-4489-A54A-342513504B4C}"/>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F386-4489-A54A-342513504B4C}"/>
            </c:ext>
          </c:extLst>
        </c:ser>
        <c:dLbls>
          <c:showLegendKey val="0"/>
          <c:showVal val="0"/>
          <c:showCatName val="0"/>
          <c:showSerName val="0"/>
          <c:showPercent val="0"/>
          <c:showBubbleSize val="0"/>
          <c:showLeaderLines val="1"/>
        </c:dLbls>
        <c:firstSliceAng val="0"/>
        <c:holeSize val="62"/>
      </c:doughnutChart>
      <c:doughnutChart>
        <c:varyColors val="1"/>
        <c:ser>
          <c:idx val="1"/>
          <c:order val="1"/>
          <c:tx>
            <c:strRef>
              <c:f>Dashboard!$A$4</c:f>
              <c:strCache>
                <c:ptCount val="1"/>
                <c:pt idx="0">
                  <c:v>Dance</c:v>
                </c:pt>
              </c:strCache>
            </c:strRef>
          </c:tx>
          <c:dPt>
            <c:idx val="0"/>
            <c:bubble3D val="0"/>
            <c:spPr>
              <a:noFill/>
              <a:ln w="19050">
                <a:solidFill>
                  <a:schemeClr val="lt1"/>
                </a:solidFill>
              </a:ln>
              <a:effectLst/>
            </c:spPr>
            <c:extLst>
              <c:ext xmlns:c16="http://schemas.microsoft.com/office/drawing/2014/chart" uri="{C3380CC4-5D6E-409C-BE32-E72D297353CC}">
                <c16:uniqueId val="{0000002A-F386-4489-A54A-342513504B4C}"/>
              </c:ext>
            </c:extLst>
          </c:dPt>
          <c:dPt>
            <c:idx val="1"/>
            <c:bubble3D val="0"/>
            <c:spPr>
              <a:solidFill>
                <a:schemeClr val="bg1">
                  <a:alpha val="50000"/>
                </a:schemeClr>
              </a:solidFill>
              <a:ln w="19050">
                <a:solidFill>
                  <a:schemeClr val="lt1"/>
                </a:solidFill>
              </a:ln>
              <a:effectLst/>
            </c:spPr>
            <c:extLst>
              <c:ext xmlns:c16="http://schemas.microsoft.com/office/drawing/2014/chart" uri="{C3380CC4-5D6E-409C-BE32-E72D297353CC}">
                <c16:uniqueId val="{0000002B-F386-4489-A54A-342513504B4C}"/>
              </c:ext>
            </c:extLst>
          </c:dPt>
          <c:val>
            <c:numRef>
              <c:f>Dashboard!$B$4:$C$4</c:f>
              <c:numCache>
                <c:formatCode>0%</c:formatCode>
                <c:ptCount val="2"/>
                <c:pt idx="0">
                  <c:v>0.20930232558139536</c:v>
                </c:pt>
                <c:pt idx="1">
                  <c:v>0.79069767441860461</c:v>
                </c:pt>
              </c:numCache>
            </c:numRef>
          </c:val>
          <c:extLst>
            <c:ext xmlns:c16="http://schemas.microsoft.com/office/drawing/2014/chart" uri="{C3380CC4-5D6E-409C-BE32-E72D297353CC}">
              <c16:uniqueId val="{00000029-F386-4489-A54A-342513504B4C}"/>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5">
                <a:lumMod val="40000"/>
                <a:lumOff val="6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A84F-4010-B844-34687AA0581A}"/>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A84F-4010-B844-34687AA0581A}"/>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A84F-4010-B844-34687AA0581A}"/>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A84F-4010-B844-34687AA0581A}"/>
              </c:ext>
            </c:extLst>
          </c:dPt>
          <c:dPt>
            <c:idx val="4"/>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9-A84F-4010-B844-34687AA0581A}"/>
              </c:ext>
            </c:extLst>
          </c:dPt>
          <c:dPt>
            <c:idx val="5"/>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B-A84F-4010-B844-34687AA0581A}"/>
              </c:ext>
            </c:extLst>
          </c:dPt>
          <c:dPt>
            <c:idx val="6"/>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D-A84F-4010-B844-34687AA0581A}"/>
              </c:ext>
            </c:extLst>
          </c:dPt>
          <c:dPt>
            <c:idx val="7"/>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F-A84F-4010-B844-34687AA0581A}"/>
              </c:ext>
            </c:extLst>
          </c:dPt>
          <c:dPt>
            <c:idx val="8"/>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1-A84F-4010-B844-34687AA0581A}"/>
              </c:ext>
            </c:extLst>
          </c:dPt>
          <c:dPt>
            <c:idx val="9"/>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3-A84F-4010-B844-34687AA0581A}"/>
              </c:ext>
            </c:extLst>
          </c:dPt>
          <c:dPt>
            <c:idx val="1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5-A84F-4010-B844-34687AA0581A}"/>
              </c:ext>
            </c:extLst>
          </c:dPt>
          <c:dPt>
            <c:idx val="1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7-A84F-4010-B844-34687AA0581A}"/>
              </c:ext>
            </c:extLst>
          </c:dPt>
          <c:dPt>
            <c:idx val="1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9-A84F-4010-B844-34687AA0581A}"/>
              </c:ext>
            </c:extLst>
          </c:dPt>
          <c:dPt>
            <c:idx val="1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B-A84F-4010-B844-34687AA0581A}"/>
              </c:ext>
            </c:extLst>
          </c:dPt>
          <c:dPt>
            <c:idx val="14"/>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D-A84F-4010-B844-34687AA0581A}"/>
              </c:ext>
            </c:extLst>
          </c:dPt>
          <c:dPt>
            <c:idx val="15"/>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F-A84F-4010-B844-34687AA0581A}"/>
              </c:ext>
            </c:extLst>
          </c:dPt>
          <c:dPt>
            <c:idx val="16"/>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21-A84F-4010-B844-34687AA0581A}"/>
              </c:ext>
            </c:extLst>
          </c:dPt>
          <c:dPt>
            <c:idx val="17"/>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23-A84F-4010-B844-34687AA0581A}"/>
              </c:ext>
            </c:extLst>
          </c:dPt>
          <c:dPt>
            <c:idx val="18"/>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25-A84F-4010-B844-34687AA0581A}"/>
              </c:ext>
            </c:extLst>
          </c:dPt>
          <c:dPt>
            <c:idx val="19"/>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27-A84F-4010-B844-34687AA0581A}"/>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A84F-4010-B844-34687AA0581A}"/>
            </c:ext>
          </c:extLst>
        </c:ser>
        <c:dLbls>
          <c:showLegendKey val="0"/>
          <c:showVal val="0"/>
          <c:showCatName val="0"/>
          <c:showSerName val="0"/>
          <c:showPercent val="0"/>
          <c:showBubbleSize val="0"/>
          <c:showLeaderLines val="1"/>
        </c:dLbls>
        <c:firstSliceAng val="0"/>
        <c:holeSize val="62"/>
      </c:doughnutChart>
      <c:doughnutChart>
        <c:varyColors val="1"/>
        <c:ser>
          <c:idx val="1"/>
          <c:order val="1"/>
          <c:tx>
            <c:strRef>
              <c:f>Dashboard!$A$7</c:f>
              <c:strCache>
                <c:ptCount val="1"/>
                <c:pt idx="0">
                  <c:v>Singing</c:v>
                </c:pt>
              </c:strCache>
            </c:strRef>
          </c:tx>
          <c:dPt>
            <c:idx val="0"/>
            <c:bubble3D val="0"/>
            <c:spPr>
              <a:noFill/>
              <a:ln w="19050">
                <a:solidFill>
                  <a:schemeClr val="lt1"/>
                </a:solidFill>
              </a:ln>
              <a:effectLst/>
            </c:spPr>
            <c:extLst>
              <c:ext xmlns:c16="http://schemas.microsoft.com/office/drawing/2014/chart" uri="{C3380CC4-5D6E-409C-BE32-E72D297353CC}">
                <c16:uniqueId val="{0000002A-A84F-4010-B844-34687AA0581A}"/>
              </c:ext>
            </c:extLst>
          </c:dPt>
          <c:dPt>
            <c:idx val="1"/>
            <c:bubble3D val="0"/>
            <c:spPr>
              <a:solidFill>
                <a:schemeClr val="bg1">
                  <a:alpha val="50000"/>
                </a:schemeClr>
              </a:solidFill>
              <a:ln w="19050">
                <a:solidFill>
                  <a:schemeClr val="lt1"/>
                </a:solidFill>
              </a:ln>
              <a:effectLst/>
            </c:spPr>
            <c:extLst>
              <c:ext xmlns:c16="http://schemas.microsoft.com/office/drawing/2014/chart" uri="{C3380CC4-5D6E-409C-BE32-E72D297353CC}">
                <c16:uniqueId val="{0000002B-A84F-4010-B844-34687AA0581A}"/>
              </c:ext>
            </c:extLst>
          </c:dPt>
          <c:val>
            <c:numRef>
              <c:f>Dashboard!$B$7:$C$7</c:f>
              <c:numCache>
                <c:formatCode>0%</c:formatCode>
                <c:ptCount val="2"/>
                <c:pt idx="0">
                  <c:v>0.22238372093023256</c:v>
                </c:pt>
                <c:pt idx="1">
                  <c:v>0.77761627906976738</c:v>
                </c:pt>
              </c:numCache>
            </c:numRef>
          </c:val>
          <c:extLst>
            <c:ext xmlns:c16="http://schemas.microsoft.com/office/drawing/2014/chart" uri="{C3380CC4-5D6E-409C-BE32-E72D297353CC}">
              <c16:uniqueId val="{00000029-A84F-4010-B844-34687AA0581A}"/>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E5FD-4C34-8C61-A18E65CA7619}"/>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E5FD-4C34-8C61-A18E65CA7619}"/>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E5FD-4C34-8C61-A18E65CA7619}"/>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E5FD-4C34-8C61-A18E65CA7619}"/>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9-E5FD-4C34-8C61-A18E65CA7619}"/>
              </c:ext>
            </c:extLst>
          </c:dPt>
          <c:dPt>
            <c:idx val="5"/>
            <c:bubble3D val="0"/>
            <c:spPr>
              <a:solidFill>
                <a:srgbClr val="FFC000"/>
              </a:solidFill>
              <a:ln w="19050">
                <a:solidFill>
                  <a:schemeClr val="lt1"/>
                </a:solidFill>
              </a:ln>
              <a:effectLst/>
            </c:spPr>
            <c:extLst>
              <c:ext xmlns:c16="http://schemas.microsoft.com/office/drawing/2014/chart" uri="{C3380CC4-5D6E-409C-BE32-E72D297353CC}">
                <c16:uniqueId val="{0000000B-E5FD-4C34-8C61-A18E65CA7619}"/>
              </c:ext>
            </c:extLst>
          </c:dPt>
          <c:dPt>
            <c:idx val="6"/>
            <c:bubble3D val="0"/>
            <c:spPr>
              <a:solidFill>
                <a:srgbClr val="FFC000"/>
              </a:solidFill>
              <a:ln w="19050">
                <a:solidFill>
                  <a:schemeClr val="lt1"/>
                </a:solidFill>
              </a:ln>
              <a:effectLst/>
            </c:spPr>
            <c:extLst>
              <c:ext xmlns:c16="http://schemas.microsoft.com/office/drawing/2014/chart" uri="{C3380CC4-5D6E-409C-BE32-E72D297353CC}">
                <c16:uniqueId val="{0000000D-E5FD-4C34-8C61-A18E65CA7619}"/>
              </c:ext>
            </c:extLst>
          </c:dPt>
          <c:dPt>
            <c:idx val="7"/>
            <c:bubble3D val="0"/>
            <c:spPr>
              <a:solidFill>
                <a:srgbClr val="FFC000"/>
              </a:solidFill>
              <a:ln w="19050">
                <a:solidFill>
                  <a:schemeClr val="lt1"/>
                </a:solidFill>
              </a:ln>
              <a:effectLst/>
            </c:spPr>
            <c:extLst>
              <c:ext xmlns:c16="http://schemas.microsoft.com/office/drawing/2014/chart" uri="{C3380CC4-5D6E-409C-BE32-E72D297353CC}">
                <c16:uniqueId val="{0000000F-E5FD-4C34-8C61-A18E65CA7619}"/>
              </c:ext>
            </c:extLst>
          </c:dPt>
          <c:dPt>
            <c:idx val="8"/>
            <c:bubble3D val="0"/>
            <c:spPr>
              <a:solidFill>
                <a:srgbClr val="FFC000"/>
              </a:solidFill>
              <a:ln w="19050">
                <a:solidFill>
                  <a:schemeClr val="lt1"/>
                </a:solidFill>
              </a:ln>
              <a:effectLst/>
            </c:spPr>
            <c:extLst>
              <c:ext xmlns:c16="http://schemas.microsoft.com/office/drawing/2014/chart" uri="{C3380CC4-5D6E-409C-BE32-E72D297353CC}">
                <c16:uniqueId val="{00000011-E5FD-4C34-8C61-A18E65CA7619}"/>
              </c:ext>
            </c:extLst>
          </c:dPt>
          <c:dPt>
            <c:idx val="9"/>
            <c:bubble3D val="0"/>
            <c:spPr>
              <a:solidFill>
                <a:srgbClr val="FFC000"/>
              </a:solidFill>
              <a:ln w="19050">
                <a:solidFill>
                  <a:schemeClr val="lt1"/>
                </a:solidFill>
              </a:ln>
              <a:effectLst/>
            </c:spPr>
            <c:extLst>
              <c:ext xmlns:c16="http://schemas.microsoft.com/office/drawing/2014/chart" uri="{C3380CC4-5D6E-409C-BE32-E72D297353CC}">
                <c16:uniqueId val="{00000013-E5FD-4C34-8C61-A18E65CA7619}"/>
              </c:ext>
            </c:extLst>
          </c:dPt>
          <c:dPt>
            <c:idx val="10"/>
            <c:bubble3D val="0"/>
            <c:spPr>
              <a:solidFill>
                <a:srgbClr val="FFC000"/>
              </a:solidFill>
              <a:ln w="19050">
                <a:solidFill>
                  <a:schemeClr val="lt1"/>
                </a:solidFill>
              </a:ln>
              <a:effectLst/>
            </c:spPr>
            <c:extLst>
              <c:ext xmlns:c16="http://schemas.microsoft.com/office/drawing/2014/chart" uri="{C3380CC4-5D6E-409C-BE32-E72D297353CC}">
                <c16:uniqueId val="{00000015-E5FD-4C34-8C61-A18E65CA7619}"/>
              </c:ext>
            </c:extLst>
          </c:dPt>
          <c:dPt>
            <c:idx val="11"/>
            <c:bubble3D val="0"/>
            <c:spPr>
              <a:solidFill>
                <a:srgbClr val="FFC000"/>
              </a:solidFill>
              <a:ln w="19050">
                <a:solidFill>
                  <a:schemeClr val="lt1"/>
                </a:solidFill>
              </a:ln>
              <a:effectLst/>
            </c:spPr>
            <c:extLst>
              <c:ext xmlns:c16="http://schemas.microsoft.com/office/drawing/2014/chart" uri="{C3380CC4-5D6E-409C-BE32-E72D297353CC}">
                <c16:uniqueId val="{00000017-E5FD-4C34-8C61-A18E65CA7619}"/>
              </c:ext>
            </c:extLst>
          </c:dPt>
          <c:dPt>
            <c:idx val="12"/>
            <c:bubble3D val="0"/>
            <c:spPr>
              <a:solidFill>
                <a:srgbClr val="FFC000"/>
              </a:solidFill>
              <a:ln w="19050">
                <a:solidFill>
                  <a:schemeClr val="lt1"/>
                </a:solidFill>
              </a:ln>
              <a:effectLst/>
            </c:spPr>
            <c:extLst>
              <c:ext xmlns:c16="http://schemas.microsoft.com/office/drawing/2014/chart" uri="{C3380CC4-5D6E-409C-BE32-E72D297353CC}">
                <c16:uniqueId val="{00000019-E5FD-4C34-8C61-A18E65CA7619}"/>
              </c:ext>
            </c:extLst>
          </c:dPt>
          <c:dPt>
            <c:idx val="13"/>
            <c:bubble3D val="0"/>
            <c:spPr>
              <a:solidFill>
                <a:srgbClr val="FFC000"/>
              </a:solidFill>
              <a:ln w="19050">
                <a:solidFill>
                  <a:schemeClr val="lt1"/>
                </a:solidFill>
              </a:ln>
              <a:effectLst/>
            </c:spPr>
            <c:extLst>
              <c:ext xmlns:c16="http://schemas.microsoft.com/office/drawing/2014/chart" uri="{C3380CC4-5D6E-409C-BE32-E72D297353CC}">
                <c16:uniqueId val="{0000001B-E5FD-4C34-8C61-A18E65CA7619}"/>
              </c:ext>
            </c:extLst>
          </c:dPt>
          <c:dPt>
            <c:idx val="14"/>
            <c:bubble3D val="0"/>
            <c:spPr>
              <a:solidFill>
                <a:srgbClr val="FFC000"/>
              </a:solidFill>
              <a:ln w="19050">
                <a:solidFill>
                  <a:schemeClr val="lt1"/>
                </a:solidFill>
              </a:ln>
              <a:effectLst/>
            </c:spPr>
            <c:extLst>
              <c:ext xmlns:c16="http://schemas.microsoft.com/office/drawing/2014/chart" uri="{C3380CC4-5D6E-409C-BE32-E72D297353CC}">
                <c16:uniqueId val="{0000001D-E5FD-4C34-8C61-A18E65CA7619}"/>
              </c:ext>
            </c:extLst>
          </c:dPt>
          <c:dPt>
            <c:idx val="15"/>
            <c:bubble3D val="0"/>
            <c:spPr>
              <a:solidFill>
                <a:srgbClr val="FFC000"/>
              </a:solidFill>
              <a:ln w="19050">
                <a:solidFill>
                  <a:schemeClr val="lt1"/>
                </a:solidFill>
              </a:ln>
              <a:effectLst/>
            </c:spPr>
            <c:extLst>
              <c:ext xmlns:c16="http://schemas.microsoft.com/office/drawing/2014/chart" uri="{C3380CC4-5D6E-409C-BE32-E72D297353CC}">
                <c16:uniqueId val="{0000001F-E5FD-4C34-8C61-A18E65CA7619}"/>
              </c:ext>
            </c:extLst>
          </c:dPt>
          <c:dPt>
            <c:idx val="16"/>
            <c:bubble3D val="0"/>
            <c:spPr>
              <a:solidFill>
                <a:srgbClr val="FFC000"/>
              </a:solidFill>
              <a:ln w="19050">
                <a:solidFill>
                  <a:schemeClr val="lt1"/>
                </a:solidFill>
              </a:ln>
              <a:effectLst/>
            </c:spPr>
            <c:extLst>
              <c:ext xmlns:c16="http://schemas.microsoft.com/office/drawing/2014/chart" uri="{C3380CC4-5D6E-409C-BE32-E72D297353CC}">
                <c16:uniqueId val="{00000021-E5FD-4C34-8C61-A18E65CA7619}"/>
              </c:ext>
            </c:extLst>
          </c:dPt>
          <c:dPt>
            <c:idx val="17"/>
            <c:bubble3D val="0"/>
            <c:spPr>
              <a:solidFill>
                <a:srgbClr val="FFC000"/>
              </a:solidFill>
              <a:ln w="19050">
                <a:solidFill>
                  <a:schemeClr val="lt1"/>
                </a:solidFill>
              </a:ln>
              <a:effectLst/>
            </c:spPr>
            <c:extLst>
              <c:ext xmlns:c16="http://schemas.microsoft.com/office/drawing/2014/chart" uri="{C3380CC4-5D6E-409C-BE32-E72D297353CC}">
                <c16:uniqueId val="{00000023-E5FD-4C34-8C61-A18E65CA7619}"/>
              </c:ext>
            </c:extLst>
          </c:dPt>
          <c:dPt>
            <c:idx val="18"/>
            <c:bubble3D val="0"/>
            <c:spPr>
              <a:solidFill>
                <a:srgbClr val="FFC000"/>
              </a:solidFill>
              <a:ln w="19050">
                <a:solidFill>
                  <a:schemeClr val="lt1"/>
                </a:solidFill>
              </a:ln>
              <a:effectLst/>
            </c:spPr>
            <c:extLst>
              <c:ext xmlns:c16="http://schemas.microsoft.com/office/drawing/2014/chart" uri="{C3380CC4-5D6E-409C-BE32-E72D297353CC}">
                <c16:uniqueId val="{00000025-E5FD-4C34-8C61-A18E65CA7619}"/>
              </c:ext>
            </c:extLst>
          </c:dPt>
          <c:dPt>
            <c:idx val="19"/>
            <c:bubble3D val="0"/>
            <c:spPr>
              <a:solidFill>
                <a:srgbClr val="FFC000"/>
              </a:solidFill>
              <a:ln w="19050">
                <a:solidFill>
                  <a:schemeClr val="lt1"/>
                </a:solidFill>
              </a:ln>
              <a:effectLst/>
            </c:spPr>
            <c:extLst>
              <c:ext xmlns:c16="http://schemas.microsoft.com/office/drawing/2014/chart" uri="{C3380CC4-5D6E-409C-BE32-E72D297353CC}">
                <c16:uniqueId val="{00000027-E5FD-4C34-8C61-A18E65CA761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5FD-4C34-8C61-A18E65CA7619}"/>
            </c:ext>
          </c:extLst>
        </c:ser>
        <c:dLbls>
          <c:showLegendKey val="0"/>
          <c:showVal val="0"/>
          <c:showCatName val="0"/>
          <c:showSerName val="0"/>
          <c:showPercent val="0"/>
          <c:showBubbleSize val="0"/>
          <c:showLeaderLines val="1"/>
        </c:dLbls>
        <c:firstSliceAng val="0"/>
        <c:holeSize val="62"/>
      </c:doughnutChart>
      <c:doughnutChart>
        <c:varyColors val="1"/>
        <c:ser>
          <c:idx val="1"/>
          <c:order val="1"/>
          <c:tx>
            <c:strRef>
              <c:f>Dashboard!$A$23</c:f>
              <c:strCache>
                <c:ptCount val="1"/>
                <c:pt idx="0">
                  <c:v>None</c:v>
                </c:pt>
              </c:strCache>
            </c:strRef>
          </c:tx>
          <c:dPt>
            <c:idx val="0"/>
            <c:bubble3D val="0"/>
            <c:spPr>
              <a:noFill/>
              <a:ln w="19050">
                <a:solidFill>
                  <a:schemeClr val="lt1"/>
                </a:solidFill>
              </a:ln>
              <a:effectLst/>
            </c:spPr>
            <c:extLst>
              <c:ext xmlns:c16="http://schemas.microsoft.com/office/drawing/2014/chart" uri="{C3380CC4-5D6E-409C-BE32-E72D297353CC}">
                <c16:uniqueId val="{0000002D-2F03-4244-9272-8005F0965950}"/>
              </c:ext>
            </c:extLst>
          </c:dPt>
          <c:dPt>
            <c:idx val="1"/>
            <c:bubble3D val="0"/>
            <c:spPr>
              <a:solidFill>
                <a:schemeClr val="bg1">
                  <a:alpha val="50000"/>
                </a:schemeClr>
              </a:solidFill>
              <a:ln w="19050">
                <a:solidFill>
                  <a:schemeClr val="lt1"/>
                </a:solidFill>
              </a:ln>
              <a:effectLst/>
            </c:spPr>
            <c:extLst>
              <c:ext xmlns:c16="http://schemas.microsoft.com/office/drawing/2014/chart" uri="{C3380CC4-5D6E-409C-BE32-E72D297353CC}">
                <c16:uniqueId val="{0000002E-2F03-4244-9272-8005F0965950}"/>
              </c:ext>
            </c:extLst>
          </c:dPt>
          <c:val>
            <c:numRef>
              <c:f>Dashboard!$B$23:$C$23</c:f>
              <c:numCache>
                <c:formatCode>0%</c:formatCode>
                <c:ptCount val="2"/>
                <c:pt idx="0">
                  <c:v>0.36254152823920266</c:v>
                </c:pt>
                <c:pt idx="1">
                  <c:v>0.6374584717607974</c:v>
                </c:pt>
              </c:numCache>
            </c:numRef>
          </c:val>
          <c:extLst>
            <c:ext xmlns:c16="http://schemas.microsoft.com/office/drawing/2014/chart" uri="{C3380CC4-5D6E-409C-BE32-E72D297353CC}">
              <c16:uniqueId val="{0000002C-2F03-4244-9272-8005F0965950}"/>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2">
                <a:lumMod val="60000"/>
                <a:lumOff val="40000"/>
              </a:schemeClr>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68B9-4A9E-B197-481E06BC4D30}"/>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68B9-4A9E-B197-481E06BC4D30}"/>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68B9-4A9E-B197-481E06BC4D30}"/>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68B9-4A9E-B197-481E06BC4D30}"/>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68B9-4A9E-B197-481E06BC4D30}"/>
              </c:ext>
            </c:extLst>
          </c:dPt>
          <c:dPt>
            <c:idx val="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B-68B9-4A9E-B197-481E06BC4D30}"/>
              </c:ext>
            </c:extLst>
          </c:dPt>
          <c:dPt>
            <c:idx val="6"/>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D-68B9-4A9E-B197-481E06BC4D30}"/>
              </c:ext>
            </c:extLst>
          </c:dPt>
          <c:dPt>
            <c:idx val="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F-68B9-4A9E-B197-481E06BC4D30}"/>
              </c:ext>
            </c:extLst>
          </c:dPt>
          <c:dPt>
            <c:idx val="8"/>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1-68B9-4A9E-B197-481E06BC4D30}"/>
              </c:ext>
            </c:extLst>
          </c:dPt>
          <c:dPt>
            <c:idx val="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3-68B9-4A9E-B197-481E06BC4D30}"/>
              </c:ext>
            </c:extLst>
          </c:dPt>
          <c:dPt>
            <c:idx val="1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5-68B9-4A9E-B197-481E06BC4D30}"/>
              </c:ext>
            </c:extLst>
          </c:dPt>
          <c:dPt>
            <c:idx val="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7-68B9-4A9E-B197-481E06BC4D30}"/>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68B9-4A9E-B197-481E06BC4D30}"/>
              </c:ext>
            </c:extLst>
          </c:dPt>
          <c:dPt>
            <c:idx val="1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B-68B9-4A9E-B197-481E06BC4D30}"/>
              </c:ext>
            </c:extLst>
          </c:dPt>
          <c:dPt>
            <c:idx val="1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D-68B9-4A9E-B197-481E06BC4D30}"/>
              </c:ext>
            </c:extLst>
          </c:dPt>
          <c:dPt>
            <c:idx val="1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F-68B9-4A9E-B197-481E06BC4D30}"/>
              </c:ext>
            </c:extLst>
          </c:dPt>
          <c:dPt>
            <c:idx val="16"/>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21-68B9-4A9E-B197-481E06BC4D30}"/>
              </c:ext>
            </c:extLst>
          </c:dPt>
          <c:dPt>
            <c:idx val="1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23-68B9-4A9E-B197-481E06BC4D30}"/>
              </c:ext>
            </c:extLst>
          </c:dPt>
          <c:dPt>
            <c:idx val="18"/>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25-68B9-4A9E-B197-481E06BC4D30}"/>
              </c:ext>
            </c:extLst>
          </c:dPt>
          <c:dPt>
            <c:idx val="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27-68B9-4A9E-B197-481E06BC4D3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68B9-4A9E-B197-481E06BC4D30}"/>
            </c:ext>
          </c:extLst>
        </c:ser>
        <c:dLbls>
          <c:showLegendKey val="0"/>
          <c:showVal val="0"/>
          <c:showCatName val="0"/>
          <c:showSerName val="0"/>
          <c:showPercent val="0"/>
          <c:showBubbleSize val="0"/>
          <c:showLeaderLines val="1"/>
        </c:dLbls>
        <c:firstSliceAng val="0"/>
        <c:holeSize val="62"/>
      </c:doughnutChart>
      <c:doughnutChart>
        <c:varyColors val="1"/>
        <c:ser>
          <c:idx val="1"/>
          <c:order val="1"/>
          <c:tx>
            <c:strRef>
              <c:f>Dashboard!$A$24</c:f>
              <c:strCache>
                <c:ptCount val="1"/>
                <c:pt idx="0">
                  <c:v>Olympiad</c:v>
                </c:pt>
              </c:strCache>
            </c:strRef>
          </c:tx>
          <c:dPt>
            <c:idx val="0"/>
            <c:bubble3D val="0"/>
            <c:spPr>
              <a:noFill/>
              <a:ln w="19050">
                <a:solidFill>
                  <a:schemeClr val="lt1"/>
                </a:solidFill>
              </a:ln>
              <a:effectLst/>
            </c:spPr>
            <c:extLst>
              <c:ext xmlns:c16="http://schemas.microsoft.com/office/drawing/2014/chart" uri="{C3380CC4-5D6E-409C-BE32-E72D297353CC}">
                <c16:uniqueId val="{0000002D-A6E4-4703-BCFC-B5A333F11307}"/>
              </c:ext>
            </c:extLst>
          </c:dPt>
          <c:dPt>
            <c:idx val="1"/>
            <c:bubble3D val="0"/>
            <c:spPr>
              <a:solidFill>
                <a:schemeClr val="bg1">
                  <a:alpha val="50000"/>
                </a:schemeClr>
              </a:solidFill>
              <a:ln w="19050">
                <a:solidFill>
                  <a:schemeClr val="lt1"/>
                </a:solidFill>
              </a:ln>
              <a:effectLst/>
            </c:spPr>
            <c:extLst>
              <c:ext xmlns:c16="http://schemas.microsoft.com/office/drawing/2014/chart" uri="{C3380CC4-5D6E-409C-BE32-E72D297353CC}">
                <c16:uniqueId val="{0000002E-A6E4-4703-BCFC-B5A333F11307}"/>
              </c:ext>
            </c:extLst>
          </c:dPt>
          <c:val>
            <c:numRef>
              <c:f>Dashboard!$B$24:$C$24</c:f>
              <c:numCache>
                <c:formatCode>0%</c:formatCode>
                <c:ptCount val="2"/>
                <c:pt idx="0">
                  <c:v>0.13226744186046513</c:v>
                </c:pt>
                <c:pt idx="1">
                  <c:v>0.86773255813953487</c:v>
                </c:pt>
              </c:numCache>
            </c:numRef>
          </c:val>
          <c:extLst>
            <c:ext xmlns:c16="http://schemas.microsoft.com/office/drawing/2014/chart" uri="{C3380CC4-5D6E-409C-BE32-E72D297353CC}">
              <c16:uniqueId val="{0000002C-A6E4-4703-BCFC-B5A333F11307}"/>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CA-4E45-880B-689ED01340B4}"/>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CCA-4E45-880B-689ED01340B4}"/>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8CCA-4E45-880B-689ED01340B4}"/>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8CCA-4E45-880B-689ED01340B4}"/>
              </c:ext>
            </c:extLst>
          </c:dPt>
          <c:dPt>
            <c:idx val="4"/>
            <c:bubble3D val="0"/>
            <c:spPr>
              <a:solidFill>
                <a:schemeClr val="accent1"/>
              </a:solidFill>
              <a:ln w="19050">
                <a:solidFill>
                  <a:schemeClr val="lt1"/>
                </a:solidFill>
              </a:ln>
              <a:effectLst/>
            </c:spPr>
            <c:extLst>
              <c:ext xmlns:c16="http://schemas.microsoft.com/office/drawing/2014/chart" uri="{C3380CC4-5D6E-409C-BE32-E72D297353CC}">
                <c16:uniqueId val="{00000009-8CCA-4E45-880B-689ED01340B4}"/>
              </c:ext>
            </c:extLst>
          </c:dPt>
          <c:dPt>
            <c:idx val="5"/>
            <c:bubble3D val="0"/>
            <c:spPr>
              <a:solidFill>
                <a:schemeClr val="accent1"/>
              </a:solidFill>
              <a:ln w="19050">
                <a:solidFill>
                  <a:schemeClr val="lt1"/>
                </a:solidFill>
              </a:ln>
              <a:effectLst/>
            </c:spPr>
            <c:extLst>
              <c:ext xmlns:c16="http://schemas.microsoft.com/office/drawing/2014/chart" uri="{C3380CC4-5D6E-409C-BE32-E72D297353CC}">
                <c16:uniqueId val="{0000000B-8CCA-4E45-880B-689ED01340B4}"/>
              </c:ext>
            </c:extLst>
          </c:dPt>
          <c:dPt>
            <c:idx val="6"/>
            <c:bubble3D val="0"/>
            <c:spPr>
              <a:solidFill>
                <a:schemeClr val="accent1"/>
              </a:solidFill>
              <a:ln w="19050">
                <a:solidFill>
                  <a:schemeClr val="lt1"/>
                </a:solidFill>
              </a:ln>
              <a:effectLst/>
            </c:spPr>
            <c:extLst>
              <c:ext xmlns:c16="http://schemas.microsoft.com/office/drawing/2014/chart" uri="{C3380CC4-5D6E-409C-BE32-E72D297353CC}">
                <c16:uniqueId val="{0000000D-8CCA-4E45-880B-689ED01340B4}"/>
              </c:ext>
            </c:extLst>
          </c:dPt>
          <c:dPt>
            <c:idx val="7"/>
            <c:bubble3D val="0"/>
            <c:spPr>
              <a:solidFill>
                <a:schemeClr val="accent1"/>
              </a:solidFill>
              <a:ln w="19050">
                <a:solidFill>
                  <a:schemeClr val="lt1"/>
                </a:solidFill>
              </a:ln>
              <a:effectLst/>
            </c:spPr>
            <c:extLst>
              <c:ext xmlns:c16="http://schemas.microsoft.com/office/drawing/2014/chart" uri="{C3380CC4-5D6E-409C-BE32-E72D297353CC}">
                <c16:uniqueId val="{0000000F-8CCA-4E45-880B-689ED01340B4}"/>
              </c:ext>
            </c:extLst>
          </c:dPt>
          <c:dPt>
            <c:idx val="8"/>
            <c:bubble3D val="0"/>
            <c:spPr>
              <a:solidFill>
                <a:schemeClr val="accent1"/>
              </a:solidFill>
              <a:ln w="19050">
                <a:solidFill>
                  <a:schemeClr val="lt1"/>
                </a:solidFill>
              </a:ln>
              <a:effectLst/>
            </c:spPr>
            <c:extLst>
              <c:ext xmlns:c16="http://schemas.microsoft.com/office/drawing/2014/chart" uri="{C3380CC4-5D6E-409C-BE32-E72D297353CC}">
                <c16:uniqueId val="{00000011-8CCA-4E45-880B-689ED01340B4}"/>
              </c:ext>
            </c:extLst>
          </c:dPt>
          <c:dPt>
            <c:idx val="9"/>
            <c:bubble3D val="0"/>
            <c:spPr>
              <a:solidFill>
                <a:schemeClr val="accent1"/>
              </a:solidFill>
              <a:ln w="19050">
                <a:solidFill>
                  <a:schemeClr val="lt1"/>
                </a:solidFill>
              </a:ln>
              <a:effectLst/>
            </c:spPr>
            <c:extLst>
              <c:ext xmlns:c16="http://schemas.microsoft.com/office/drawing/2014/chart" uri="{C3380CC4-5D6E-409C-BE32-E72D297353CC}">
                <c16:uniqueId val="{00000013-8CCA-4E45-880B-689ED01340B4}"/>
              </c:ext>
            </c:extLst>
          </c:dPt>
          <c:dPt>
            <c:idx val="10"/>
            <c:bubble3D val="0"/>
            <c:spPr>
              <a:solidFill>
                <a:schemeClr val="accent1"/>
              </a:solidFill>
              <a:ln w="19050">
                <a:solidFill>
                  <a:schemeClr val="lt1"/>
                </a:solidFill>
              </a:ln>
              <a:effectLst/>
            </c:spPr>
            <c:extLst>
              <c:ext xmlns:c16="http://schemas.microsoft.com/office/drawing/2014/chart" uri="{C3380CC4-5D6E-409C-BE32-E72D297353CC}">
                <c16:uniqueId val="{00000015-8CCA-4E45-880B-689ED01340B4}"/>
              </c:ext>
            </c:extLst>
          </c:dPt>
          <c:dPt>
            <c:idx val="11"/>
            <c:bubble3D val="0"/>
            <c:spPr>
              <a:solidFill>
                <a:schemeClr val="accent1"/>
              </a:solidFill>
              <a:ln w="19050">
                <a:solidFill>
                  <a:schemeClr val="lt1"/>
                </a:solidFill>
              </a:ln>
              <a:effectLst/>
            </c:spPr>
            <c:extLst>
              <c:ext xmlns:c16="http://schemas.microsoft.com/office/drawing/2014/chart" uri="{C3380CC4-5D6E-409C-BE32-E72D297353CC}">
                <c16:uniqueId val="{00000017-8CCA-4E45-880B-689ED01340B4}"/>
              </c:ext>
            </c:extLst>
          </c:dPt>
          <c:dPt>
            <c:idx val="12"/>
            <c:bubble3D val="0"/>
            <c:spPr>
              <a:solidFill>
                <a:schemeClr val="accent1"/>
              </a:solidFill>
              <a:ln w="19050">
                <a:solidFill>
                  <a:schemeClr val="lt1"/>
                </a:solidFill>
              </a:ln>
              <a:effectLst/>
            </c:spPr>
            <c:extLst>
              <c:ext xmlns:c16="http://schemas.microsoft.com/office/drawing/2014/chart" uri="{C3380CC4-5D6E-409C-BE32-E72D297353CC}">
                <c16:uniqueId val="{00000019-8CCA-4E45-880B-689ED01340B4}"/>
              </c:ext>
            </c:extLst>
          </c:dPt>
          <c:dPt>
            <c:idx val="13"/>
            <c:bubble3D val="0"/>
            <c:spPr>
              <a:solidFill>
                <a:schemeClr val="accent1"/>
              </a:solidFill>
              <a:ln w="19050">
                <a:solidFill>
                  <a:schemeClr val="lt1"/>
                </a:solidFill>
              </a:ln>
              <a:effectLst/>
            </c:spPr>
            <c:extLst>
              <c:ext xmlns:c16="http://schemas.microsoft.com/office/drawing/2014/chart" uri="{C3380CC4-5D6E-409C-BE32-E72D297353CC}">
                <c16:uniqueId val="{0000001B-8CCA-4E45-880B-689ED01340B4}"/>
              </c:ext>
            </c:extLst>
          </c:dPt>
          <c:dPt>
            <c:idx val="14"/>
            <c:bubble3D val="0"/>
            <c:spPr>
              <a:solidFill>
                <a:schemeClr val="accent1"/>
              </a:solidFill>
              <a:ln w="19050">
                <a:solidFill>
                  <a:schemeClr val="lt1"/>
                </a:solidFill>
              </a:ln>
              <a:effectLst/>
            </c:spPr>
            <c:extLst>
              <c:ext xmlns:c16="http://schemas.microsoft.com/office/drawing/2014/chart" uri="{C3380CC4-5D6E-409C-BE32-E72D297353CC}">
                <c16:uniqueId val="{0000001D-8CCA-4E45-880B-689ED01340B4}"/>
              </c:ext>
            </c:extLst>
          </c:dPt>
          <c:dPt>
            <c:idx val="15"/>
            <c:bubble3D val="0"/>
            <c:spPr>
              <a:solidFill>
                <a:schemeClr val="accent1"/>
              </a:solidFill>
              <a:ln w="19050">
                <a:solidFill>
                  <a:schemeClr val="lt1"/>
                </a:solidFill>
              </a:ln>
              <a:effectLst/>
            </c:spPr>
            <c:extLst>
              <c:ext xmlns:c16="http://schemas.microsoft.com/office/drawing/2014/chart" uri="{C3380CC4-5D6E-409C-BE32-E72D297353CC}">
                <c16:uniqueId val="{0000001F-8CCA-4E45-880B-689ED01340B4}"/>
              </c:ext>
            </c:extLst>
          </c:dPt>
          <c:dPt>
            <c:idx val="16"/>
            <c:bubble3D val="0"/>
            <c:spPr>
              <a:solidFill>
                <a:schemeClr val="accent1"/>
              </a:solidFill>
              <a:ln w="19050">
                <a:solidFill>
                  <a:schemeClr val="lt1"/>
                </a:solidFill>
              </a:ln>
              <a:effectLst/>
            </c:spPr>
            <c:extLst>
              <c:ext xmlns:c16="http://schemas.microsoft.com/office/drawing/2014/chart" uri="{C3380CC4-5D6E-409C-BE32-E72D297353CC}">
                <c16:uniqueId val="{00000021-8CCA-4E45-880B-689ED01340B4}"/>
              </c:ext>
            </c:extLst>
          </c:dPt>
          <c:dPt>
            <c:idx val="17"/>
            <c:bubble3D val="0"/>
            <c:spPr>
              <a:solidFill>
                <a:schemeClr val="accent1"/>
              </a:solidFill>
              <a:ln w="19050">
                <a:solidFill>
                  <a:schemeClr val="lt1"/>
                </a:solidFill>
              </a:ln>
              <a:effectLst/>
            </c:spPr>
            <c:extLst>
              <c:ext xmlns:c16="http://schemas.microsoft.com/office/drawing/2014/chart" uri="{C3380CC4-5D6E-409C-BE32-E72D297353CC}">
                <c16:uniqueId val="{00000023-8CCA-4E45-880B-689ED01340B4}"/>
              </c:ext>
            </c:extLst>
          </c:dPt>
          <c:dPt>
            <c:idx val="18"/>
            <c:bubble3D val="0"/>
            <c:spPr>
              <a:solidFill>
                <a:schemeClr val="accent1"/>
              </a:solidFill>
              <a:ln w="19050">
                <a:solidFill>
                  <a:schemeClr val="lt1"/>
                </a:solidFill>
              </a:ln>
              <a:effectLst/>
            </c:spPr>
            <c:extLst>
              <c:ext xmlns:c16="http://schemas.microsoft.com/office/drawing/2014/chart" uri="{C3380CC4-5D6E-409C-BE32-E72D297353CC}">
                <c16:uniqueId val="{00000025-8CCA-4E45-880B-689ED01340B4}"/>
              </c:ext>
            </c:extLst>
          </c:dPt>
          <c:dPt>
            <c:idx val="19"/>
            <c:bubble3D val="0"/>
            <c:spPr>
              <a:solidFill>
                <a:schemeClr val="accent1"/>
              </a:solidFill>
              <a:ln w="19050">
                <a:solidFill>
                  <a:schemeClr val="lt1"/>
                </a:solidFill>
              </a:ln>
              <a:effectLst/>
            </c:spPr>
            <c:extLst>
              <c:ext xmlns:c16="http://schemas.microsoft.com/office/drawing/2014/chart" uri="{C3380CC4-5D6E-409C-BE32-E72D297353CC}">
                <c16:uniqueId val="{00000027-8CCA-4E45-880B-689ED01340B4}"/>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CCA-4E45-880B-689ED01340B4}"/>
            </c:ext>
          </c:extLst>
        </c:ser>
        <c:dLbls>
          <c:showLegendKey val="0"/>
          <c:showVal val="0"/>
          <c:showCatName val="0"/>
          <c:showSerName val="0"/>
          <c:showPercent val="0"/>
          <c:showBubbleSize val="0"/>
          <c:showLeaderLines val="1"/>
        </c:dLbls>
        <c:firstSliceAng val="0"/>
        <c:holeSize val="62"/>
      </c:doughnutChart>
      <c:doughnutChart>
        <c:varyColors val="1"/>
        <c:ser>
          <c:idx val="1"/>
          <c:order val="1"/>
          <c:tx>
            <c:strRef>
              <c:f>Dashboard!$A$22</c:f>
              <c:strCache>
                <c:ptCount val="1"/>
                <c:pt idx="0">
                  <c:v>Drawing</c:v>
                </c:pt>
              </c:strCache>
            </c:strRef>
          </c:tx>
          <c:dPt>
            <c:idx val="0"/>
            <c:bubble3D val="0"/>
            <c:spPr>
              <a:noFill/>
              <a:ln w="19050">
                <a:solidFill>
                  <a:schemeClr val="lt1"/>
                </a:solidFill>
              </a:ln>
              <a:effectLst/>
            </c:spPr>
            <c:extLst>
              <c:ext xmlns:c16="http://schemas.microsoft.com/office/drawing/2014/chart" uri="{C3380CC4-5D6E-409C-BE32-E72D297353CC}">
                <c16:uniqueId val="{0000002D-2C0A-4D93-B4EF-A8341C77E104}"/>
              </c:ext>
            </c:extLst>
          </c:dPt>
          <c:dPt>
            <c:idx val="1"/>
            <c:bubble3D val="0"/>
            <c:spPr>
              <a:solidFill>
                <a:schemeClr val="bg1">
                  <a:alpha val="50000"/>
                </a:schemeClr>
              </a:solidFill>
              <a:ln w="19050">
                <a:noFill/>
              </a:ln>
              <a:effectLst/>
            </c:spPr>
            <c:extLst>
              <c:ext xmlns:c16="http://schemas.microsoft.com/office/drawing/2014/chart" uri="{C3380CC4-5D6E-409C-BE32-E72D297353CC}">
                <c16:uniqueId val="{0000002E-2C0A-4D93-B4EF-A8341C77E104}"/>
              </c:ext>
            </c:extLst>
          </c:dPt>
          <c:val>
            <c:numRef>
              <c:f>Dashboard!$B$22:$C$22</c:f>
              <c:numCache>
                <c:formatCode>0%</c:formatCode>
                <c:ptCount val="2"/>
                <c:pt idx="0">
                  <c:v>0.16341362126245848</c:v>
                </c:pt>
                <c:pt idx="1">
                  <c:v>0.83658637873754149</c:v>
                </c:pt>
              </c:numCache>
            </c:numRef>
          </c:val>
          <c:extLst>
            <c:ext xmlns:c16="http://schemas.microsoft.com/office/drawing/2014/chart" uri="{C3380CC4-5D6E-409C-BE32-E72D297353CC}">
              <c16:uniqueId val="{0000002C-2C0A-4D93-B4EF-A8341C77E104}"/>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5">
                <a:lumMod val="40000"/>
                <a:lumOff val="6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E919-43BC-80A6-DD9CCD676AF7}"/>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E919-43BC-80A6-DD9CCD676AF7}"/>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E919-43BC-80A6-DD9CCD676AF7}"/>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E919-43BC-80A6-DD9CCD676AF7}"/>
              </c:ext>
            </c:extLst>
          </c:dPt>
          <c:dPt>
            <c:idx val="4"/>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9-E919-43BC-80A6-DD9CCD676AF7}"/>
              </c:ext>
            </c:extLst>
          </c:dPt>
          <c:dPt>
            <c:idx val="5"/>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B-E919-43BC-80A6-DD9CCD676AF7}"/>
              </c:ext>
            </c:extLst>
          </c:dPt>
          <c:dPt>
            <c:idx val="6"/>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D-E919-43BC-80A6-DD9CCD676AF7}"/>
              </c:ext>
            </c:extLst>
          </c:dPt>
          <c:dPt>
            <c:idx val="7"/>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F-E919-43BC-80A6-DD9CCD676AF7}"/>
              </c:ext>
            </c:extLst>
          </c:dPt>
          <c:dPt>
            <c:idx val="8"/>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1-E919-43BC-80A6-DD9CCD676AF7}"/>
              </c:ext>
            </c:extLst>
          </c:dPt>
          <c:dPt>
            <c:idx val="9"/>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3-E919-43BC-80A6-DD9CCD676AF7}"/>
              </c:ext>
            </c:extLst>
          </c:dPt>
          <c:dPt>
            <c:idx val="1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5-E919-43BC-80A6-DD9CCD676AF7}"/>
              </c:ext>
            </c:extLst>
          </c:dPt>
          <c:dPt>
            <c:idx val="1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7-E919-43BC-80A6-DD9CCD676AF7}"/>
              </c:ext>
            </c:extLst>
          </c:dPt>
          <c:dPt>
            <c:idx val="1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9-E919-43BC-80A6-DD9CCD676AF7}"/>
              </c:ext>
            </c:extLst>
          </c:dPt>
          <c:dPt>
            <c:idx val="1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B-E919-43BC-80A6-DD9CCD676AF7}"/>
              </c:ext>
            </c:extLst>
          </c:dPt>
          <c:dPt>
            <c:idx val="14"/>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D-E919-43BC-80A6-DD9CCD676AF7}"/>
              </c:ext>
            </c:extLst>
          </c:dPt>
          <c:dPt>
            <c:idx val="15"/>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F-E919-43BC-80A6-DD9CCD676AF7}"/>
              </c:ext>
            </c:extLst>
          </c:dPt>
          <c:dPt>
            <c:idx val="16"/>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21-E919-43BC-80A6-DD9CCD676AF7}"/>
              </c:ext>
            </c:extLst>
          </c:dPt>
          <c:dPt>
            <c:idx val="17"/>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23-E919-43BC-80A6-DD9CCD676AF7}"/>
              </c:ext>
            </c:extLst>
          </c:dPt>
          <c:dPt>
            <c:idx val="18"/>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25-E919-43BC-80A6-DD9CCD676AF7}"/>
              </c:ext>
            </c:extLst>
          </c:dPt>
          <c:dPt>
            <c:idx val="19"/>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27-E919-43BC-80A6-DD9CCD676AF7}"/>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919-43BC-80A6-DD9CCD676AF7}"/>
            </c:ext>
          </c:extLst>
        </c:ser>
        <c:dLbls>
          <c:showLegendKey val="0"/>
          <c:showVal val="0"/>
          <c:showCatName val="0"/>
          <c:showSerName val="0"/>
          <c:showPercent val="0"/>
          <c:showBubbleSize val="0"/>
          <c:showLeaderLines val="1"/>
        </c:dLbls>
        <c:firstSliceAng val="0"/>
        <c:holeSize val="62"/>
      </c:doughnutChart>
      <c:doughnutChart>
        <c:varyColors val="1"/>
        <c:ser>
          <c:idx val="1"/>
          <c:order val="1"/>
          <c:tx>
            <c:strRef>
              <c:f>Dashboard!$A$25</c:f>
              <c:strCache>
                <c:ptCount val="1"/>
                <c:pt idx="0">
                  <c:v>Quiz</c:v>
                </c:pt>
              </c:strCache>
            </c:strRef>
          </c:tx>
          <c:dPt>
            <c:idx val="0"/>
            <c:bubble3D val="0"/>
            <c:spPr>
              <a:noFill/>
              <a:ln w="19050">
                <a:solidFill>
                  <a:schemeClr val="lt1"/>
                </a:solidFill>
              </a:ln>
              <a:effectLst/>
            </c:spPr>
            <c:extLst>
              <c:ext xmlns:c16="http://schemas.microsoft.com/office/drawing/2014/chart" uri="{C3380CC4-5D6E-409C-BE32-E72D297353CC}">
                <c16:uniqueId val="{0000002D-A791-4F07-896E-6E0BD9A13F80}"/>
              </c:ext>
            </c:extLst>
          </c:dPt>
          <c:dPt>
            <c:idx val="1"/>
            <c:bubble3D val="0"/>
            <c:spPr>
              <a:solidFill>
                <a:schemeClr val="bg1">
                  <a:alpha val="50000"/>
                </a:schemeClr>
              </a:solidFill>
              <a:ln w="19050">
                <a:noFill/>
              </a:ln>
              <a:effectLst/>
            </c:spPr>
            <c:extLst>
              <c:ext xmlns:c16="http://schemas.microsoft.com/office/drawing/2014/chart" uri="{C3380CC4-5D6E-409C-BE32-E72D297353CC}">
                <c16:uniqueId val="{0000002E-A791-4F07-896E-6E0BD9A13F80}"/>
              </c:ext>
            </c:extLst>
          </c:dPt>
          <c:val>
            <c:numRef>
              <c:f>Dashboard!$B$25:$C$25</c:f>
              <c:numCache>
                <c:formatCode>0%</c:formatCode>
                <c:ptCount val="2"/>
                <c:pt idx="0">
                  <c:v>0.15863787375415284</c:v>
                </c:pt>
                <c:pt idx="1">
                  <c:v>0.84136212624584716</c:v>
                </c:pt>
              </c:numCache>
            </c:numRef>
          </c:val>
          <c:extLst>
            <c:ext xmlns:c16="http://schemas.microsoft.com/office/drawing/2014/chart" uri="{C3380CC4-5D6E-409C-BE32-E72D297353CC}">
              <c16:uniqueId val="{0000002C-A791-4F07-896E-6E0BD9A13F80}"/>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0"/>
        <c:ser>
          <c:idx val="0"/>
          <c:order val="0"/>
          <c:spPr>
            <a:solidFill>
              <a:schemeClr val="accent6"/>
            </a:solidFill>
            <a:ln w="19050">
              <a:solidFill>
                <a:schemeClr val="lt1"/>
              </a:solidFill>
            </a:ln>
            <a:effectLst/>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B19-4A41-9FA7-3BFB3682DAE8}"/>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FB19-4A41-9FA7-3BFB3682DAE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B19-4A41-9FA7-3BFB3682DAE8}"/>
              </c:ext>
            </c:extLst>
          </c:dPt>
          <c:dPt>
            <c:idx val="3"/>
            <c:bubble3D val="0"/>
            <c:spPr>
              <a:solidFill>
                <a:schemeClr val="accent6"/>
              </a:solidFill>
              <a:ln w="19050">
                <a:solidFill>
                  <a:schemeClr val="lt1"/>
                </a:solidFill>
              </a:ln>
              <a:effectLst/>
            </c:spPr>
            <c:extLst>
              <c:ext xmlns:c16="http://schemas.microsoft.com/office/drawing/2014/chart" uri="{C3380CC4-5D6E-409C-BE32-E72D297353CC}">
                <c16:uniqueId val="{00000007-FB19-4A41-9FA7-3BFB3682DAE8}"/>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FB19-4A41-9FA7-3BFB3682DA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B19-4A41-9FA7-3BFB3682DAE8}"/>
              </c:ext>
            </c:extLst>
          </c:dPt>
          <c:dPt>
            <c:idx val="6"/>
            <c:bubble3D val="0"/>
            <c:spPr>
              <a:solidFill>
                <a:schemeClr val="accent6"/>
              </a:solidFill>
              <a:ln w="19050">
                <a:solidFill>
                  <a:schemeClr val="lt1"/>
                </a:solidFill>
              </a:ln>
              <a:effectLst/>
            </c:spPr>
            <c:extLst>
              <c:ext xmlns:c16="http://schemas.microsoft.com/office/drawing/2014/chart" uri="{C3380CC4-5D6E-409C-BE32-E72D297353CC}">
                <c16:uniqueId val="{0000000D-FB19-4A41-9FA7-3BFB3682DAE8}"/>
              </c:ext>
            </c:extLst>
          </c:dPt>
          <c:dPt>
            <c:idx val="7"/>
            <c:bubble3D val="0"/>
            <c:spPr>
              <a:solidFill>
                <a:schemeClr val="accent6"/>
              </a:solidFill>
              <a:ln w="19050">
                <a:solidFill>
                  <a:schemeClr val="lt1"/>
                </a:solidFill>
              </a:ln>
              <a:effectLst/>
            </c:spPr>
            <c:extLst>
              <c:ext xmlns:c16="http://schemas.microsoft.com/office/drawing/2014/chart" uri="{C3380CC4-5D6E-409C-BE32-E72D297353CC}">
                <c16:uniqueId val="{0000000F-FB19-4A41-9FA7-3BFB3682DAE8}"/>
              </c:ext>
            </c:extLst>
          </c:dPt>
          <c:dPt>
            <c:idx val="8"/>
            <c:bubble3D val="0"/>
            <c:spPr>
              <a:solidFill>
                <a:schemeClr val="accent6"/>
              </a:solidFill>
              <a:ln w="19050">
                <a:solidFill>
                  <a:schemeClr val="lt1"/>
                </a:solidFill>
              </a:ln>
              <a:effectLst/>
            </c:spPr>
            <c:extLst>
              <c:ext xmlns:c16="http://schemas.microsoft.com/office/drawing/2014/chart" uri="{C3380CC4-5D6E-409C-BE32-E72D297353CC}">
                <c16:uniqueId val="{00000011-FB19-4A41-9FA7-3BFB3682DAE8}"/>
              </c:ext>
            </c:extLst>
          </c:dPt>
          <c:dPt>
            <c:idx val="9"/>
            <c:bubble3D val="0"/>
            <c:spPr>
              <a:solidFill>
                <a:schemeClr val="accent6"/>
              </a:solidFill>
              <a:ln w="19050">
                <a:solidFill>
                  <a:schemeClr val="lt1"/>
                </a:solidFill>
              </a:ln>
              <a:effectLst/>
            </c:spPr>
            <c:extLst>
              <c:ext xmlns:c16="http://schemas.microsoft.com/office/drawing/2014/chart" uri="{C3380CC4-5D6E-409C-BE32-E72D297353CC}">
                <c16:uniqueId val="{00000013-FB19-4A41-9FA7-3BFB3682DAE8}"/>
              </c:ext>
            </c:extLst>
          </c:dPt>
          <c:dPt>
            <c:idx val="10"/>
            <c:bubble3D val="0"/>
            <c:spPr>
              <a:solidFill>
                <a:schemeClr val="accent6"/>
              </a:solidFill>
              <a:ln w="19050">
                <a:solidFill>
                  <a:schemeClr val="lt1"/>
                </a:solidFill>
              </a:ln>
              <a:effectLst/>
            </c:spPr>
            <c:extLst>
              <c:ext xmlns:c16="http://schemas.microsoft.com/office/drawing/2014/chart" uri="{C3380CC4-5D6E-409C-BE32-E72D297353CC}">
                <c16:uniqueId val="{00000015-FB19-4A41-9FA7-3BFB3682DAE8}"/>
              </c:ext>
            </c:extLst>
          </c:dPt>
          <c:dPt>
            <c:idx val="11"/>
            <c:bubble3D val="0"/>
            <c:spPr>
              <a:solidFill>
                <a:schemeClr val="accent6"/>
              </a:solidFill>
              <a:ln w="19050">
                <a:solidFill>
                  <a:schemeClr val="lt1"/>
                </a:solidFill>
              </a:ln>
              <a:effectLst/>
            </c:spPr>
            <c:extLst>
              <c:ext xmlns:c16="http://schemas.microsoft.com/office/drawing/2014/chart" uri="{C3380CC4-5D6E-409C-BE32-E72D297353CC}">
                <c16:uniqueId val="{00000017-FB19-4A41-9FA7-3BFB3682DAE8}"/>
              </c:ext>
            </c:extLst>
          </c:dPt>
          <c:dPt>
            <c:idx val="12"/>
            <c:bubble3D val="0"/>
            <c:spPr>
              <a:solidFill>
                <a:schemeClr val="accent6"/>
              </a:solidFill>
              <a:ln w="19050">
                <a:solidFill>
                  <a:schemeClr val="lt1"/>
                </a:solidFill>
              </a:ln>
              <a:effectLst/>
            </c:spPr>
            <c:extLst>
              <c:ext xmlns:c16="http://schemas.microsoft.com/office/drawing/2014/chart" uri="{C3380CC4-5D6E-409C-BE32-E72D297353CC}">
                <c16:uniqueId val="{00000019-FB19-4A41-9FA7-3BFB3682DAE8}"/>
              </c:ext>
            </c:extLst>
          </c:dPt>
          <c:dPt>
            <c:idx val="13"/>
            <c:bubble3D val="0"/>
            <c:spPr>
              <a:solidFill>
                <a:schemeClr val="accent6"/>
              </a:solidFill>
              <a:ln w="19050">
                <a:solidFill>
                  <a:schemeClr val="lt1"/>
                </a:solidFill>
              </a:ln>
              <a:effectLst/>
            </c:spPr>
            <c:extLst>
              <c:ext xmlns:c16="http://schemas.microsoft.com/office/drawing/2014/chart" uri="{C3380CC4-5D6E-409C-BE32-E72D297353CC}">
                <c16:uniqueId val="{0000001B-FB19-4A41-9FA7-3BFB3682DAE8}"/>
              </c:ext>
            </c:extLst>
          </c:dPt>
          <c:dPt>
            <c:idx val="14"/>
            <c:bubble3D val="0"/>
            <c:spPr>
              <a:solidFill>
                <a:schemeClr val="accent6"/>
              </a:solidFill>
              <a:ln w="19050">
                <a:solidFill>
                  <a:schemeClr val="lt1"/>
                </a:solidFill>
              </a:ln>
              <a:effectLst/>
            </c:spPr>
            <c:extLst>
              <c:ext xmlns:c16="http://schemas.microsoft.com/office/drawing/2014/chart" uri="{C3380CC4-5D6E-409C-BE32-E72D297353CC}">
                <c16:uniqueId val="{0000001D-FB19-4A41-9FA7-3BFB3682DAE8}"/>
              </c:ext>
            </c:extLst>
          </c:dPt>
          <c:dPt>
            <c:idx val="15"/>
            <c:bubble3D val="0"/>
            <c:spPr>
              <a:solidFill>
                <a:schemeClr val="accent6"/>
              </a:solidFill>
              <a:ln w="19050">
                <a:solidFill>
                  <a:schemeClr val="lt1"/>
                </a:solidFill>
              </a:ln>
              <a:effectLst/>
            </c:spPr>
            <c:extLst>
              <c:ext xmlns:c16="http://schemas.microsoft.com/office/drawing/2014/chart" uri="{C3380CC4-5D6E-409C-BE32-E72D297353CC}">
                <c16:uniqueId val="{0000001F-FB19-4A41-9FA7-3BFB3682DAE8}"/>
              </c:ext>
            </c:extLst>
          </c:dPt>
          <c:dPt>
            <c:idx val="16"/>
            <c:bubble3D val="0"/>
            <c:spPr>
              <a:solidFill>
                <a:schemeClr val="accent6"/>
              </a:solidFill>
              <a:ln w="19050">
                <a:solidFill>
                  <a:schemeClr val="lt1"/>
                </a:solidFill>
              </a:ln>
              <a:effectLst/>
            </c:spPr>
            <c:extLst>
              <c:ext xmlns:c16="http://schemas.microsoft.com/office/drawing/2014/chart" uri="{C3380CC4-5D6E-409C-BE32-E72D297353CC}">
                <c16:uniqueId val="{00000021-FB19-4A41-9FA7-3BFB3682DAE8}"/>
              </c:ext>
            </c:extLst>
          </c:dPt>
          <c:dPt>
            <c:idx val="17"/>
            <c:bubble3D val="0"/>
            <c:spPr>
              <a:solidFill>
                <a:schemeClr val="accent6"/>
              </a:solidFill>
              <a:ln w="19050">
                <a:solidFill>
                  <a:schemeClr val="lt1"/>
                </a:solidFill>
              </a:ln>
              <a:effectLst/>
            </c:spPr>
            <c:extLst>
              <c:ext xmlns:c16="http://schemas.microsoft.com/office/drawing/2014/chart" uri="{C3380CC4-5D6E-409C-BE32-E72D297353CC}">
                <c16:uniqueId val="{00000023-FB19-4A41-9FA7-3BFB3682DAE8}"/>
              </c:ext>
            </c:extLst>
          </c:dPt>
          <c:dPt>
            <c:idx val="18"/>
            <c:bubble3D val="0"/>
            <c:spPr>
              <a:solidFill>
                <a:schemeClr val="accent6"/>
              </a:solidFill>
              <a:ln w="19050">
                <a:solidFill>
                  <a:schemeClr val="lt1"/>
                </a:solidFill>
              </a:ln>
              <a:effectLst/>
            </c:spPr>
            <c:extLst>
              <c:ext xmlns:c16="http://schemas.microsoft.com/office/drawing/2014/chart" uri="{C3380CC4-5D6E-409C-BE32-E72D297353CC}">
                <c16:uniqueId val="{00000025-FB19-4A41-9FA7-3BFB3682DAE8}"/>
              </c:ext>
            </c:extLst>
          </c:dPt>
          <c:dPt>
            <c:idx val="19"/>
            <c:bubble3D val="0"/>
            <c:spPr>
              <a:solidFill>
                <a:schemeClr val="accent6"/>
              </a:solidFill>
              <a:ln w="19050">
                <a:solidFill>
                  <a:schemeClr val="lt1"/>
                </a:solidFill>
              </a:ln>
              <a:effectLst/>
            </c:spPr>
            <c:extLst>
              <c:ext xmlns:c16="http://schemas.microsoft.com/office/drawing/2014/chart" uri="{C3380CC4-5D6E-409C-BE32-E72D297353CC}">
                <c16:uniqueId val="{00000027-FB19-4A41-9FA7-3BFB3682DAE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FB19-4A41-9FA7-3BFB3682DAE8}"/>
            </c:ext>
          </c:extLst>
        </c:ser>
        <c:dLbls>
          <c:showLegendKey val="0"/>
          <c:showVal val="0"/>
          <c:showCatName val="0"/>
          <c:showSerName val="0"/>
          <c:showPercent val="0"/>
          <c:showBubbleSize val="0"/>
          <c:showLeaderLines val="1"/>
        </c:dLbls>
        <c:firstSliceAng val="0"/>
        <c:holeSize val="62"/>
      </c:doughnutChart>
      <c:doughnutChart>
        <c:varyColors val="0"/>
        <c:ser>
          <c:idx val="2"/>
          <c:order val="1"/>
          <c:tx>
            <c:strRef>
              <c:f>Dashboard!$A$26</c:f>
              <c:strCache>
                <c:ptCount val="1"/>
                <c:pt idx="0">
                  <c:v>Science Fair</c:v>
                </c:pt>
              </c:strCache>
            </c:strRef>
          </c:tx>
          <c:spPr>
            <a:solidFill>
              <a:schemeClr val="accent4"/>
            </a:solidFill>
            <a:ln w="19050">
              <a:solidFill>
                <a:schemeClr val="lt1"/>
              </a:solidFill>
            </a:ln>
            <a:effectLst/>
          </c:spPr>
          <c:dPt>
            <c:idx val="0"/>
            <c:bubble3D val="0"/>
            <c:spPr>
              <a:noFill/>
              <a:ln w="19050">
                <a:solidFill>
                  <a:schemeClr val="lt1"/>
                </a:solidFill>
              </a:ln>
              <a:effectLst/>
            </c:spPr>
            <c:extLst>
              <c:ext xmlns:c16="http://schemas.microsoft.com/office/drawing/2014/chart" uri="{C3380CC4-5D6E-409C-BE32-E72D297353CC}">
                <c16:uniqueId val="{00000031-FB19-4A41-9FA7-3BFB3682DAE8}"/>
              </c:ext>
            </c:extLst>
          </c:dPt>
          <c:dPt>
            <c:idx val="1"/>
            <c:bubble3D val="0"/>
            <c:spPr>
              <a:solidFill>
                <a:schemeClr val="bg1">
                  <a:alpha val="60000"/>
                </a:schemeClr>
              </a:solidFill>
              <a:ln w="19050">
                <a:noFill/>
              </a:ln>
              <a:effectLst/>
            </c:spPr>
            <c:extLst>
              <c:ext xmlns:c16="http://schemas.microsoft.com/office/drawing/2014/chart" uri="{C3380CC4-5D6E-409C-BE32-E72D297353CC}">
                <c16:uniqueId val="{00000032-FB19-4A41-9FA7-3BFB3682DAE8}"/>
              </c:ext>
            </c:extLst>
          </c:dPt>
          <c:val>
            <c:numRef>
              <c:f>Dashboard!$B$26:$C$26</c:f>
              <c:numCache>
                <c:formatCode>0%</c:formatCode>
                <c:ptCount val="2"/>
                <c:pt idx="0">
                  <c:v>0.18313953488372092</c:v>
                </c:pt>
                <c:pt idx="1">
                  <c:v>0.81686046511627908</c:v>
                </c:pt>
              </c:numCache>
            </c:numRef>
          </c:val>
          <c:extLst>
            <c:ext xmlns:c16="http://schemas.microsoft.com/office/drawing/2014/chart" uri="{C3380CC4-5D6E-409C-BE32-E72D297353CC}">
              <c16:uniqueId val="{00000030-FB19-4A41-9FA7-3BFB3682DAE8}"/>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[school_fest_dataset.xlsx]Dashboard!PivotTable4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Dashboard!$A$33</c:f>
              <c:strCache>
                <c:ptCount val="1"/>
                <c:pt idx="0">
                  <c:v>Sum of Due:</c:v>
                </c:pt>
              </c:strCache>
            </c:strRef>
          </c:tx>
          <c:spPr>
            <a:solidFill>
              <a:schemeClr val="accent1"/>
            </a:solidFill>
            <a:ln>
              <a:noFill/>
            </a:ln>
            <a:effectLst/>
          </c:spPr>
          <c:invertIfNegative val="0"/>
          <c:cat>
            <c:strRef>
              <c:f>Dashboard!$A$34</c:f>
              <c:strCache>
                <c:ptCount val="1"/>
                <c:pt idx="0">
                  <c:v>Total</c:v>
                </c:pt>
              </c:strCache>
            </c:strRef>
          </c:cat>
          <c:val>
            <c:numRef>
              <c:f>Dashboard!$A$34</c:f>
              <c:numCache>
                <c:formatCode>General</c:formatCode>
                <c:ptCount val="1"/>
                <c:pt idx="0">
                  <c:v>55</c:v>
                </c:pt>
              </c:numCache>
            </c:numRef>
          </c:val>
          <c:extLst>
            <c:ext xmlns:c16="http://schemas.microsoft.com/office/drawing/2014/chart" uri="{C3380CC4-5D6E-409C-BE32-E72D297353CC}">
              <c16:uniqueId val="{00000000-FCD0-4BFE-8D4D-F94BA58D606E}"/>
            </c:ext>
          </c:extLst>
        </c:ser>
        <c:ser>
          <c:idx val="1"/>
          <c:order val="1"/>
          <c:tx>
            <c:strRef>
              <c:f>Dashboard!$B$33</c:f>
              <c:strCache>
                <c:ptCount val="1"/>
                <c:pt idx="0">
                  <c:v>Sum of Paid</c:v>
                </c:pt>
              </c:strCache>
            </c:strRef>
          </c:tx>
          <c:spPr>
            <a:solidFill>
              <a:schemeClr val="accent2"/>
            </a:solidFill>
            <a:ln>
              <a:noFill/>
            </a:ln>
            <a:effectLst/>
          </c:spPr>
          <c:invertIfNegative val="0"/>
          <c:cat>
            <c:strRef>
              <c:f>Dashboard!$A$34</c:f>
              <c:strCache>
                <c:ptCount val="1"/>
                <c:pt idx="0">
                  <c:v>Total</c:v>
                </c:pt>
              </c:strCache>
            </c:strRef>
          </c:cat>
          <c:val>
            <c:numRef>
              <c:f>Dashboard!$B$34</c:f>
              <c:numCache>
                <c:formatCode>General</c:formatCode>
                <c:ptCount val="1"/>
                <c:pt idx="0">
                  <c:v>59</c:v>
                </c:pt>
              </c:numCache>
            </c:numRef>
          </c:val>
          <c:extLst>
            <c:ext xmlns:c16="http://schemas.microsoft.com/office/drawing/2014/chart" uri="{C3380CC4-5D6E-409C-BE32-E72D297353CC}">
              <c16:uniqueId val="{00000001-FCD0-4BFE-8D4D-F94BA58D606E}"/>
            </c:ext>
          </c:extLst>
        </c:ser>
        <c:dLbls>
          <c:showLegendKey val="0"/>
          <c:showVal val="0"/>
          <c:showCatName val="0"/>
          <c:showSerName val="0"/>
          <c:showPercent val="0"/>
          <c:showBubbleSize val="0"/>
        </c:dLbls>
        <c:gapWidth val="219"/>
        <c:overlap val="-27"/>
        <c:axId val="832916255"/>
        <c:axId val="832917695"/>
      </c:barChart>
      <c:catAx>
        <c:axId val="832916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917695"/>
        <c:crosses val="autoZero"/>
        <c:auto val="1"/>
        <c:lblAlgn val="ctr"/>
        <c:lblOffset val="100"/>
        <c:noMultiLvlLbl val="0"/>
      </c:catAx>
      <c:valAx>
        <c:axId val="83291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91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6"/>
            </a:solidFill>
            <a:ln>
              <a:noFill/>
            </a:ln>
            <a:effectLst/>
          </c:spPr>
          <c:invertIfNegative val="0"/>
          <c:cat>
            <c:strLit>
              <c:ptCount val="4"/>
              <c:pt idx="0">
                <c:v>Dance</c:v>
              </c:pt>
              <c:pt idx="1">
                <c:v>Drama</c:v>
              </c:pt>
              <c:pt idx="2">
                <c:v>None</c:v>
              </c:pt>
              <c:pt idx="3">
                <c:v>Singing</c:v>
              </c:pt>
            </c:strLit>
          </c:cat>
          <c:val>
            <c:numLit>
              <c:formatCode>General</c:formatCode>
              <c:ptCount val="4"/>
              <c:pt idx="0">
                <c:v>126</c:v>
              </c:pt>
              <c:pt idx="1">
                <c:v>108</c:v>
              </c:pt>
              <c:pt idx="2">
                <c:v>233</c:v>
              </c:pt>
              <c:pt idx="3">
                <c:v>133</c:v>
              </c:pt>
            </c:numLit>
          </c:val>
          <c:extLst>
            <c:ext xmlns:c16="http://schemas.microsoft.com/office/drawing/2014/chart" uri="{C3380CC4-5D6E-409C-BE32-E72D297353CC}">
              <c16:uniqueId val="{00000000-4AFA-483E-8B6C-D921CB9A0FE3}"/>
            </c:ext>
          </c:extLst>
        </c:ser>
        <c:dLbls>
          <c:showLegendKey val="0"/>
          <c:showVal val="0"/>
          <c:showCatName val="0"/>
          <c:showSerName val="0"/>
          <c:showPercent val="0"/>
          <c:showBubbleSize val="0"/>
        </c:dLbls>
        <c:gapWidth val="219"/>
        <c:overlap val="-27"/>
        <c:axId val="832903295"/>
        <c:axId val="832910975"/>
      </c:barChart>
      <c:catAx>
        <c:axId val="832903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910975"/>
        <c:crosses val="autoZero"/>
        <c:auto val="1"/>
        <c:lblAlgn val="ctr"/>
        <c:lblOffset val="100"/>
        <c:noMultiLvlLbl val="0"/>
      </c:catAx>
      <c:valAx>
        <c:axId val="83291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90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4"/>
            </a:solidFill>
            <a:ln>
              <a:noFill/>
            </a:ln>
            <a:effectLst/>
          </c:spPr>
          <c:invertIfNegative val="0"/>
          <c:cat>
            <c:strLit>
              <c:ptCount val="5"/>
              <c:pt idx="0">
                <c:v>Drawing</c:v>
              </c:pt>
              <c:pt idx="1">
                <c:v>None</c:v>
              </c:pt>
              <c:pt idx="2">
                <c:v>Olympiad</c:v>
              </c:pt>
              <c:pt idx="3">
                <c:v>Quiz</c:v>
              </c:pt>
              <c:pt idx="4">
                <c:v>Science Fair</c:v>
              </c:pt>
            </c:strLit>
          </c:cat>
          <c:val>
            <c:numLit>
              <c:formatCode>General</c:formatCode>
              <c:ptCount val="5"/>
              <c:pt idx="0">
                <c:v>101</c:v>
              </c:pt>
              <c:pt idx="1">
                <c:v>219</c:v>
              </c:pt>
              <c:pt idx="2">
                <c:v>78</c:v>
              </c:pt>
              <c:pt idx="3">
                <c:v>96</c:v>
              </c:pt>
              <c:pt idx="4">
                <c:v>106</c:v>
              </c:pt>
            </c:numLit>
          </c:val>
          <c:extLst>
            <c:ext xmlns:c16="http://schemas.microsoft.com/office/drawing/2014/chart" uri="{C3380CC4-5D6E-409C-BE32-E72D297353CC}">
              <c16:uniqueId val="{00000000-B2C6-4ED1-89AC-9E1AC1BEC60E}"/>
            </c:ext>
          </c:extLst>
        </c:ser>
        <c:dLbls>
          <c:showLegendKey val="0"/>
          <c:showVal val="0"/>
          <c:showCatName val="0"/>
          <c:showSerName val="0"/>
          <c:showPercent val="0"/>
          <c:showBubbleSize val="0"/>
        </c:dLbls>
        <c:gapWidth val="219"/>
        <c:overlap val="-27"/>
        <c:axId val="512823583"/>
        <c:axId val="512824543"/>
      </c:barChart>
      <c:catAx>
        <c:axId val="512823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24543"/>
        <c:crosses val="autoZero"/>
        <c:auto val="1"/>
        <c:lblAlgn val="ctr"/>
        <c:lblOffset val="100"/>
        <c:noMultiLvlLbl val="0"/>
      </c:catAx>
      <c:valAx>
        <c:axId val="51282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2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18</xdr:col>
      <xdr:colOff>821266</xdr:colOff>
      <xdr:row>10</xdr:row>
      <xdr:rowOff>101599</xdr:rowOff>
    </xdr:from>
    <xdr:to>
      <xdr:col>21</xdr:col>
      <xdr:colOff>118532</xdr:colOff>
      <xdr:row>15</xdr:row>
      <xdr:rowOff>50800</xdr:rowOff>
    </xdr:to>
    <xdr:graphicFrame macro="">
      <xdr:nvGraphicFramePr>
        <xdr:cNvPr id="2" name="Chart 1">
          <a:extLst>
            <a:ext uri="{FF2B5EF4-FFF2-40B4-BE49-F238E27FC236}">
              <a16:creationId xmlns:a16="http://schemas.microsoft.com/office/drawing/2014/main" id="{C025B03C-A95C-38BC-AA4D-DDCC08071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3</xdr:row>
      <xdr:rowOff>76200</xdr:rowOff>
    </xdr:from>
    <xdr:to>
      <xdr:col>19</xdr:col>
      <xdr:colOff>220980</xdr:colOff>
      <xdr:row>14</xdr:row>
      <xdr:rowOff>7620</xdr:rowOff>
    </xdr:to>
    <xdr:grpSp>
      <xdr:nvGrpSpPr>
        <xdr:cNvPr id="21" name="Group 20">
          <a:extLst>
            <a:ext uri="{FF2B5EF4-FFF2-40B4-BE49-F238E27FC236}">
              <a16:creationId xmlns:a16="http://schemas.microsoft.com/office/drawing/2014/main" id="{0A8E197E-18A6-37A9-D342-4ECB621C2D3B}"/>
            </a:ext>
          </a:extLst>
        </xdr:cNvPr>
        <xdr:cNvGrpSpPr/>
      </xdr:nvGrpSpPr>
      <xdr:grpSpPr>
        <a:xfrm>
          <a:off x="4343400" y="624840"/>
          <a:ext cx="8930640" cy="1943100"/>
          <a:chOff x="5966460" y="182880"/>
          <a:chExt cx="8031480" cy="1943100"/>
        </a:xfrm>
      </xdr:grpSpPr>
      <xdr:sp macro="" textlink="B5">
        <xdr:nvSpPr>
          <xdr:cNvPr id="9" name="TextBox 8">
            <a:extLst>
              <a:ext uri="{FF2B5EF4-FFF2-40B4-BE49-F238E27FC236}">
                <a16:creationId xmlns:a16="http://schemas.microsoft.com/office/drawing/2014/main" id="{09525EC2-801C-4AE1-A8EA-612556BC279B}"/>
              </a:ext>
            </a:extLst>
          </xdr:cNvPr>
          <xdr:cNvSpPr txBox="1"/>
        </xdr:nvSpPr>
        <xdr:spPr>
          <a:xfrm>
            <a:off x="8702040" y="1043940"/>
            <a:ext cx="5029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4D7E81-B069-4DDA-94D8-57EFEE96F618}" type="TxLink">
              <a:rPr lang="en-US" sz="1100" b="0" i="0" u="none" strike="noStrike">
                <a:solidFill>
                  <a:srgbClr val="DEA900"/>
                </a:solidFill>
                <a:latin typeface="Aptos Narrow"/>
              </a:rPr>
              <a:pPr/>
              <a:t>18%</a:t>
            </a:fld>
            <a:endParaRPr lang="en-IN" sz="1100">
              <a:solidFill>
                <a:srgbClr val="DEA900"/>
              </a:solidFill>
            </a:endParaRPr>
          </a:p>
        </xdr:txBody>
      </xdr:sp>
      <xdr:grpSp>
        <xdr:nvGrpSpPr>
          <xdr:cNvPr id="25" name="Group 24">
            <a:extLst>
              <a:ext uri="{FF2B5EF4-FFF2-40B4-BE49-F238E27FC236}">
                <a16:creationId xmlns:a16="http://schemas.microsoft.com/office/drawing/2014/main" id="{D4720BA5-3349-E854-60CA-4AC8A475D4AA}"/>
              </a:ext>
            </a:extLst>
          </xdr:cNvPr>
          <xdr:cNvGrpSpPr/>
        </xdr:nvGrpSpPr>
        <xdr:grpSpPr>
          <a:xfrm>
            <a:off x="5966460" y="182880"/>
            <a:ext cx="8031480" cy="1943100"/>
            <a:chOff x="2385060" y="99060"/>
            <a:chExt cx="8031480" cy="1943100"/>
          </a:xfrm>
        </xdr:grpSpPr>
        <xdr:graphicFrame macro="">
          <xdr:nvGraphicFramePr>
            <xdr:cNvPr id="3" name="Chart 2">
              <a:extLst>
                <a:ext uri="{FF2B5EF4-FFF2-40B4-BE49-F238E27FC236}">
                  <a16:creationId xmlns:a16="http://schemas.microsoft.com/office/drawing/2014/main" id="{24B905FB-8404-4979-AFD8-D8EEB1C0DD11}"/>
                </a:ext>
              </a:extLst>
            </xdr:cNvPr>
            <xdr:cNvGraphicFramePr>
              <a:graphicFrameLocks/>
            </xdr:cNvGraphicFramePr>
          </xdr:nvGraphicFramePr>
          <xdr:xfrm>
            <a:off x="4318000" y="156210"/>
            <a:ext cx="2019300" cy="187833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BCE8B815-61B0-41C0-9782-76A90CDA42E7}"/>
                </a:ext>
              </a:extLst>
            </xdr:cNvPr>
            <xdr:cNvGraphicFramePr>
              <a:graphicFrameLocks/>
            </xdr:cNvGraphicFramePr>
          </xdr:nvGraphicFramePr>
          <xdr:xfrm>
            <a:off x="6250940" y="156210"/>
            <a:ext cx="2019300" cy="187833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DB1742FC-B85A-4822-B2F2-303C9AACDC73}"/>
                </a:ext>
              </a:extLst>
            </xdr:cNvPr>
            <xdr:cNvGraphicFramePr>
              <a:graphicFrameLocks/>
            </xdr:cNvGraphicFramePr>
          </xdr:nvGraphicFramePr>
          <xdr:xfrm>
            <a:off x="2385060" y="156210"/>
            <a:ext cx="2019300" cy="187833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39A3FB40-7864-4C37-A51B-7E4D983F3A45}"/>
                </a:ext>
              </a:extLst>
            </xdr:cNvPr>
            <xdr:cNvGraphicFramePr>
              <a:graphicFrameLocks/>
            </xdr:cNvGraphicFramePr>
          </xdr:nvGraphicFramePr>
          <xdr:xfrm>
            <a:off x="8183880" y="156210"/>
            <a:ext cx="2019300" cy="1878330"/>
          </xdr:xfrm>
          <a:graphic>
            <a:graphicData uri="http://schemas.openxmlformats.org/drawingml/2006/chart">
              <c:chart xmlns:c="http://schemas.openxmlformats.org/drawingml/2006/chart" xmlns:r="http://schemas.openxmlformats.org/officeDocument/2006/relationships" r:id="rId4"/>
            </a:graphicData>
          </a:graphic>
        </xdr:graphicFrame>
        <xdr:sp macro="" textlink="B4">
          <xdr:nvSpPr>
            <xdr:cNvPr id="8" name="TextBox 7">
              <a:extLst>
                <a:ext uri="{FF2B5EF4-FFF2-40B4-BE49-F238E27FC236}">
                  <a16:creationId xmlns:a16="http://schemas.microsoft.com/office/drawing/2014/main" id="{ACDC278C-2B04-6FA7-9996-041C9BE28DDF}"/>
                </a:ext>
              </a:extLst>
            </xdr:cNvPr>
            <xdr:cNvSpPr txBox="1"/>
          </xdr:nvSpPr>
          <xdr:spPr>
            <a:xfrm>
              <a:off x="3177540" y="952500"/>
              <a:ext cx="541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688BDE-023B-4016-9F11-38184B2B976B}" type="TxLink">
                <a:rPr lang="en-US" sz="1100" b="0" i="0" u="none" strike="noStrike">
                  <a:solidFill>
                    <a:srgbClr val="002060"/>
                  </a:solidFill>
                  <a:latin typeface="Aptos Narrow"/>
                </a:rPr>
                <a:pPr/>
                <a:t>21%</a:t>
              </a:fld>
              <a:endParaRPr lang="en-IN" sz="1100">
                <a:solidFill>
                  <a:srgbClr val="002060"/>
                </a:solidFill>
              </a:endParaRPr>
            </a:p>
          </xdr:txBody>
        </xdr:sp>
        <xdr:sp macro="" textlink="B6">
          <xdr:nvSpPr>
            <xdr:cNvPr id="10" name="TextBox 9">
              <a:extLst>
                <a:ext uri="{FF2B5EF4-FFF2-40B4-BE49-F238E27FC236}">
                  <a16:creationId xmlns:a16="http://schemas.microsoft.com/office/drawing/2014/main" id="{9C8E3E11-F024-438F-A2B7-71D07BD19CB4}"/>
                </a:ext>
              </a:extLst>
            </xdr:cNvPr>
            <xdr:cNvSpPr txBox="1"/>
          </xdr:nvSpPr>
          <xdr:spPr>
            <a:xfrm>
              <a:off x="7033260" y="960120"/>
              <a:ext cx="4724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F3B06E-F692-4574-9944-3E7036D5259E}" type="TxLink">
                <a:rPr lang="en-US" sz="1100" b="0" i="0" u="none" strike="noStrike">
                  <a:solidFill>
                    <a:schemeClr val="accent2">
                      <a:lumMod val="75000"/>
                    </a:schemeClr>
                  </a:solidFill>
                  <a:latin typeface="Aptos Narrow"/>
                </a:rPr>
                <a:pPr/>
                <a:t>39%</a:t>
              </a:fld>
              <a:endParaRPr lang="en-IN" sz="1100">
                <a:solidFill>
                  <a:schemeClr val="accent2">
                    <a:lumMod val="75000"/>
                  </a:schemeClr>
                </a:solidFill>
              </a:endParaRPr>
            </a:p>
          </xdr:txBody>
        </xdr:sp>
        <xdr:sp macro="" textlink="B7">
          <xdr:nvSpPr>
            <xdr:cNvPr id="11" name="TextBox 10">
              <a:extLst>
                <a:ext uri="{FF2B5EF4-FFF2-40B4-BE49-F238E27FC236}">
                  <a16:creationId xmlns:a16="http://schemas.microsoft.com/office/drawing/2014/main" id="{2F8F4FBD-7E88-4A76-A2D6-1299320F154B}"/>
                </a:ext>
              </a:extLst>
            </xdr:cNvPr>
            <xdr:cNvSpPr txBox="1"/>
          </xdr:nvSpPr>
          <xdr:spPr>
            <a:xfrm>
              <a:off x="8961120" y="944880"/>
              <a:ext cx="5105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D2E8C6-065B-42BE-AB7D-10F60A5C9D06}" type="TxLink">
                <a:rPr lang="en-US" sz="1100" b="0" i="0" u="none" strike="noStrike">
                  <a:solidFill>
                    <a:schemeClr val="accent5">
                      <a:lumMod val="75000"/>
                    </a:schemeClr>
                  </a:solidFill>
                  <a:latin typeface="Aptos Narrow"/>
                </a:rPr>
                <a:pPr/>
                <a:t>22%</a:t>
              </a:fld>
              <a:endParaRPr lang="en-IN" sz="1100">
                <a:solidFill>
                  <a:schemeClr val="accent5">
                    <a:lumMod val="75000"/>
                  </a:schemeClr>
                </a:solidFill>
              </a:endParaRPr>
            </a:p>
          </xdr:txBody>
        </xdr:sp>
        <xdr:sp macro="" textlink="$A$4">
          <xdr:nvSpPr>
            <xdr:cNvPr id="12" name="TextBox 11">
              <a:extLst>
                <a:ext uri="{FF2B5EF4-FFF2-40B4-BE49-F238E27FC236}">
                  <a16:creationId xmlns:a16="http://schemas.microsoft.com/office/drawing/2014/main" id="{2597062B-CD00-50C1-3861-391DC5275D6C}"/>
                </a:ext>
              </a:extLst>
            </xdr:cNvPr>
            <xdr:cNvSpPr txBox="1"/>
          </xdr:nvSpPr>
          <xdr:spPr>
            <a:xfrm>
              <a:off x="3048000" y="1783080"/>
              <a:ext cx="15925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F23B5E0-425B-4D3D-8CC3-55F6AABA3C2E}" type="TxLink">
                <a:rPr lang="en-US" sz="1400" b="0" i="0" u="none" strike="noStrike">
                  <a:solidFill>
                    <a:srgbClr val="002060"/>
                  </a:solidFill>
                  <a:latin typeface="Aptos Narrow"/>
                </a:rPr>
                <a:pPr algn="l"/>
                <a:t>Dance</a:t>
              </a:fld>
              <a:endParaRPr lang="en-IN" sz="1400">
                <a:solidFill>
                  <a:srgbClr val="002060"/>
                </a:solidFill>
              </a:endParaRPr>
            </a:p>
          </xdr:txBody>
        </xdr:sp>
        <xdr:sp macro="" textlink="$A$5">
          <xdr:nvSpPr>
            <xdr:cNvPr id="13" name="TextBox 12">
              <a:extLst>
                <a:ext uri="{FF2B5EF4-FFF2-40B4-BE49-F238E27FC236}">
                  <a16:creationId xmlns:a16="http://schemas.microsoft.com/office/drawing/2014/main" id="{512CD300-5F6A-4C6B-AB4E-1D5C3D46131F}"/>
                </a:ext>
              </a:extLst>
            </xdr:cNvPr>
            <xdr:cNvSpPr txBox="1"/>
          </xdr:nvSpPr>
          <xdr:spPr>
            <a:xfrm>
              <a:off x="4968240" y="1752600"/>
              <a:ext cx="15925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49B799F-B5D5-4B75-AD9B-4E1A5FFBE58C}" type="TxLink">
                <a:rPr lang="en-US" sz="1400" b="0" i="0" u="none" strike="noStrike">
                  <a:solidFill>
                    <a:srgbClr val="DEA900"/>
                  </a:solidFill>
                  <a:latin typeface="Aptos Narrow"/>
                </a:rPr>
                <a:pPr algn="l"/>
                <a:t>Drama</a:t>
              </a:fld>
              <a:endParaRPr lang="en-IN" sz="1400">
                <a:solidFill>
                  <a:srgbClr val="DEA900"/>
                </a:solidFill>
              </a:endParaRPr>
            </a:p>
          </xdr:txBody>
        </xdr:sp>
        <xdr:sp macro="" textlink="$A$6">
          <xdr:nvSpPr>
            <xdr:cNvPr id="14" name="TextBox 13">
              <a:extLst>
                <a:ext uri="{FF2B5EF4-FFF2-40B4-BE49-F238E27FC236}">
                  <a16:creationId xmlns:a16="http://schemas.microsoft.com/office/drawing/2014/main" id="{528ABBB3-B5C9-466B-8492-6EA39AA01974}"/>
                </a:ext>
              </a:extLst>
            </xdr:cNvPr>
            <xdr:cNvSpPr txBox="1"/>
          </xdr:nvSpPr>
          <xdr:spPr>
            <a:xfrm>
              <a:off x="7002780" y="1767840"/>
              <a:ext cx="15925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96D1C0A-B2D6-4D55-866E-641AA3D386F1}" type="TxLink">
                <a:rPr lang="en-US" sz="1400" b="0" i="0" u="none" strike="noStrike">
                  <a:solidFill>
                    <a:schemeClr val="accent2">
                      <a:lumMod val="75000"/>
                    </a:schemeClr>
                  </a:solidFill>
                  <a:latin typeface="Aptos Narrow"/>
                </a:rPr>
                <a:pPr algn="l"/>
                <a:t>None</a:t>
              </a:fld>
              <a:endParaRPr lang="en-IN" sz="1400">
                <a:solidFill>
                  <a:schemeClr val="accent2">
                    <a:lumMod val="75000"/>
                  </a:schemeClr>
                </a:solidFill>
              </a:endParaRPr>
            </a:p>
          </xdr:txBody>
        </xdr:sp>
        <xdr:sp macro="" textlink="$A$7">
          <xdr:nvSpPr>
            <xdr:cNvPr id="15" name="TextBox 14">
              <a:extLst>
                <a:ext uri="{FF2B5EF4-FFF2-40B4-BE49-F238E27FC236}">
                  <a16:creationId xmlns:a16="http://schemas.microsoft.com/office/drawing/2014/main" id="{D8C9F365-5BAF-4EB0-87FF-D19B5E23FEF4}"/>
                </a:ext>
              </a:extLst>
            </xdr:cNvPr>
            <xdr:cNvSpPr txBox="1"/>
          </xdr:nvSpPr>
          <xdr:spPr>
            <a:xfrm>
              <a:off x="8823960" y="1767840"/>
              <a:ext cx="15925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53EB6BE-7EA6-45C9-A46E-9A9D4D19DDB3}" type="TxLink">
                <a:rPr lang="en-US" sz="1400" b="0" i="0" u="none" strike="noStrike">
                  <a:solidFill>
                    <a:schemeClr val="accent5">
                      <a:lumMod val="75000"/>
                    </a:schemeClr>
                  </a:solidFill>
                  <a:latin typeface="Aptos Narrow"/>
                </a:rPr>
                <a:pPr algn="l"/>
                <a:t>Singing</a:t>
              </a:fld>
              <a:endParaRPr lang="en-IN" sz="1400">
                <a:solidFill>
                  <a:schemeClr val="accent5">
                    <a:lumMod val="75000"/>
                  </a:schemeClr>
                </a:solidFill>
              </a:endParaRPr>
            </a:p>
          </xdr:txBody>
        </xdr:sp>
        <xdr:sp macro="" textlink="C1">
          <xdr:nvSpPr>
            <xdr:cNvPr id="7" name="TextBox 6">
              <a:extLst>
                <a:ext uri="{FF2B5EF4-FFF2-40B4-BE49-F238E27FC236}">
                  <a16:creationId xmlns:a16="http://schemas.microsoft.com/office/drawing/2014/main" id="{4688E95C-EA2E-0ECD-E680-D27687711FC3}"/>
                </a:ext>
              </a:extLst>
            </xdr:cNvPr>
            <xdr:cNvSpPr txBox="1"/>
          </xdr:nvSpPr>
          <xdr:spPr>
            <a:xfrm>
              <a:off x="4358640" y="99060"/>
              <a:ext cx="52654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FBD2E2-463A-43F8-B60D-8AA814B4601E}" type="TxLink">
                <a:rPr lang="en-US" sz="1400" b="1" i="0" u="none" strike="noStrike">
                  <a:solidFill>
                    <a:srgbClr val="000000"/>
                  </a:solidFill>
                  <a:latin typeface="Aptos Narrow"/>
                </a:rPr>
                <a:pPr/>
                <a:t>Cultural Event Participation OF CLASS :(All)</a:t>
              </a:fld>
              <a:endParaRPr lang="en-IN" sz="1400" b="1"/>
            </a:p>
          </xdr:txBody>
        </xdr:sp>
      </xdr:grpSp>
    </xdr:grpSp>
    <xdr:clientData/>
  </xdr:twoCellAnchor>
  <xdr:twoCellAnchor editAs="oneCell">
    <xdr:from>
      <xdr:col>6</xdr:col>
      <xdr:colOff>175260</xdr:colOff>
      <xdr:row>0</xdr:row>
      <xdr:rowOff>91441</xdr:rowOff>
    </xdr:from>
    <xdr:to>
      <xdr:col>8</xdr:col>
      <xdr:colOff>784860</xdr:colOff>
      <xdr:row>4</xdr:row>
      <xdr:rowOff>60961</xdr:rowOff>
    </xdr:to>
    <mc:AlternateContent xmlns:mc="http://schemas.openxmlformats.org/markup-compatibility/2006" xmlns:a14="http://schemas.microsoft.com/office/drawing/2010/main">
      <mc:Choice Requires="a14">
        <xdr:graphicFrame macro="">
          <xdr:nvGraphicFramePr>
            <xdr:cNvPr id="26" name="Class">
              <a:extLst>
                <a:ext uri="{FF2B5EF4-FFF2-40B4-BE49-F238E27FC236}">
                  <a16:creationId xmlns:a16="http://schemas.microsoft.com/office/drawing/2014/main" id="{52853C7F-CEEC-66F6-EF6C-8327EBBDC047}"/>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4152900" y="91441"/>
              <a:ext cx="182880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358140</xdr:colOff>
      <xdr:row>19</xdr:row>
      <xdr:rowOff>121920</xdr:rowOff>
    </xdr:from>
    <xdr:to>
      <xdr:col>4</xdr:col>
      <xdr:colOff>243840</xdr:colOff>
      <xdr:row>29</xdr:row>
      <xdr:rowOff>106680</xdr:rowOff>
    </xdr:to>
    <mc:AlternateContent xmlns:mc="http://schemas.openxmlformats.org/markup-compatibility/2006" xmlns:a14="http://schemas.microsoft.com/office/drawing/2010/main">
      <mc:Choice Requires="a14">
        <xdr:graphicFrame macro="">
          <xdr:nvGraphicFramePr>
            <xdr:cNvPr id="20" name="Class 1">
              <a:extLst>
                <a:ext uri="{FF2B5EF4-FFF2-40B4-BE49-F238E27FC236}">
                  <a16:creationId xmlns:a16="http://schemas.microsoft.com/office/drawing/2014/main" id="{EEE0D5D0-849A-3D83-01A3-BDB7FB464548}"/>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2506980" y="3596640"/>
              <a:ext cx="62484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274320</xdr:colOff>
      <xdr:row>17</xdr:row>
      <xdr:rowOff>125095</xdr:rowOff>
    </xdr:from>
    <xdr:to>
      <xdr:col>21</xdr:col>
      <xdr:colOff>243840</xdr:colOff>
      <xdr:row>28</xdr:row>
      <xdr:rowOff>125095</xdr:rowOff>
    </xdr:to>
    <xdr:grpSp>
      <xdr:nvGrpSpPr>
        <xdr:cNvPr id="41" name="Group 40">
          <a:extLst>
            <a:ext uri="{FF2B5EF4-FFF2-40B4-BE49-F238E27FC236}">
              <a16:creationId xmlns:a16="http://schemas.microsoft.com/office/drawing/2014/main" id="{E5FEFD84-F0B7-CB63-844A-A4BCD70EE7C6}"/>
            </a:ext>
          </a:extLst>
        </xdr:cNvPr>
        <xdr:cNvGrpSpPr/>
      </xdr:nvGrpSpPr>
      <xdr:grpSpPr>
        <a:xfrm>
          <a:off x="3893820" y="3234055"/>
          <a:ext cx="10622280" cy="2011680"/>
          <a:chOff x="5219700" y="4026535"/>
          <a:chExt cx="9723120" cy="2011680"/>
        </a:xfrm>
      </xdr:grpSpPr>
      <xdr:grpSp>
        <xdr:nvGrpSpPr>
          <xdr:cNvPr id="18" name="Group 17">
            <a:extLst>
              <a:ext uri="{FF2B5EF4-FFF2-40B4-BE49-F238E27FC236}">
                <a16:creationId xmlns:a16="http://schemas.microsoft.com/office/drawing/2014/main" id="{68ADFD13-608E-BF24-9775-585C615A9D01}"/>
              </a:ext>
            </a:extLst>
          </xdr:cNvPr>
          <xdr:cNvGrpSpPr/>
        </xdr:nvGrpSpPr>
        <xdr:grpSpPr>
          <a:xfrm>
            <a:off x="5219700" y="4026535"/>
            <a:ext cx="9723120" cy="2011680"/>
            <a:chOff x="2834640" y="3797935"/>
            <a:chExt cx="9723120" cy="2011680"/>
          </a:xfrm>
        </xdr:grpSpPr>
        <xdr:grpSp>
          <xdr:nvGrpSpPr>
            <xdr:cNvPr id="27" name="Group 26">
              <a:extLst>
                <a:ext uri="{FF2B5EF4-FFF2-40B4-BE49-F238E27FC236}">
                  <a16:creationId xmlns:a16="http://schemas.microsoft.com/office/drawing/2014/main" id="{1240DC39-9D5B-4A44-84BA-A7D4EC68F1AF}"/>
                </a:ext>
              </a:extLst>
            </xdr:cNvPr>
            <xdr:cNvGrpSpPr/>
          </xdr:nvGrpSpPr>
          <xdr:grpSpPr>
            <a:xfrm>
              <a:off x="2834640" y="3797935"/>
              <a:ext cx="8229600" cy="2011680"/>
              <a:chOff x="2385060" y="30480"/>
              <a:chExt cx="8229600" cy="2011680"/>
            </a:xfrm>
          </xdr:grpSpPr>
          <xdr:graphicFrame macro="">
            <xdr:nvGraphicFramePr>
              <xdr:cNvPr id="28" name="Chart 27">
                <a:extLst>
                  <a:ext uri="{FF2B5EF4-FFF2-40B4-BE49-F238E27FC236}">
                    <a16:creationId xmlns:a16="http://schemas.microsoft.com/office/drawing/2014/main" id="{5D6742A3-B6D7-0BD4-F0FC-B8C1640985E3}"/>
                  </a:ext>
                </a:extLst>
              </xdr:cNvPr>
              <xdr:cNvGraphicFramePr>
                <a:graphicFrameLocks/>
              </xdr:cNvGraphicFramePr>
            </xdr:nvGraphicFramePr>
            <xdr:xfrm>
              <a:off x="4318000" y="156210"/>
              <a:ext cx="2019300" cy="187833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9" name="Chart 28">
                <a:extLst>
                  <a:ext uri="{FF2B5EF4-FFF2-40B4-BE49-F238E27FC236}">
                    <a16:creationId xmlns:a16="http://schemas.microsoft.com/office/drawing/2014/main" id="{FD39A97B-7B92-463F-ACFD-786DD74CBEFC}"/>
                  </a:ext>
                </a:extLst>
              </xdr:cNvPr>
              <xdr:cNvGraphicFramePr>
                <a:graphicFrameLocks/>
              </xdr:cNvGraphicFramePr>
            </xdr:nvGraphicFramePr>
            <xdr:xfrm>
              <a:off x="6250940" y="156210"/>
              <a:ext cx="2019300" cy="187833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0" name="Chart 29">
                <a:extLst>
                  <a:ext uri="{FF2B5EF4-FFF2-40B4-BE49-F238E27FC236}">
                    <a16:creationId xmlns:a16="http://schemas.microsoft.com/office/drawing/2014/main" id="{6633CABC-2362-7712-1E81-DE5DE3D37D48}"/>
                  </a:ext>
                </a:extLst>
              </xdr:cNvPr>
              <xdr:cNvGraphicFramePr>
                <a:graphicFrameLocks/>
              </xdr:cNvGraphicFramePr>
            </xdr:nvGraphicFramePr>
            <xdr:xfrm>
              <a:off x="2385060" y="156210"/>
              <a:ext cx="2019300" cy="187833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1" name="Chart 30">
                <a:extLst>
                  <a:ext uri="{FF2B5EF4-FFF2-40B4-BE49-F238E27FC236}">
                    <a16:creationId xmlns:a16="http://schemas.microsoft.com/office/drawing/2014/main" id="{7484AD84-2828-17C3-3B8A-C686C613C86F}"/>
                  </a:ext>
                </a:extLst>
              </xdr:cNvPr>
              <xdr:cNvGraphicFramePr>
                <a:graphicFrameLocks/>
              </xdr:cNvGraphicFramePr>
            </xdr:nvGraphicFramePr>
            <xdr:xfrm>
              <a:off x="8183880" y="156210"/>
              <a:ext cx="2019300" cy="1878330"/>
            </xdr:xfrm>
            <a:graphic>
              <a:graphicData uri="http://schemas.openxmlformats.org/drawingml/2006/chart">
                <c:chart xmlns:c="http://schemas.openxmlformats.org/drawingml/2006/chart" xmlns:r="http://schemas.openxmlformats.org/officeDocument/2006/relationships" r:id="rId8"/>
              </a:graphicData>
            </a:graphic>
          </xdr:graphicFrame>
          <xdr:sp macro="" textlink="V50">
            <xdr:nvSpPr>
              <xdr:cNvPr id="32" name="TextBox 31">
                <a:extLst>
                  <a:ext uri="{FF2B5EF4-FFF2-40B4-BE49-F238E27FC236}">
                    <a16:creationId xmlns:a16="http://schemas.microsoft.com/office/drawing/2014/main" id="{1C8DF007-0BB6-032A-6E75-99986731E672}"/>
                  </a:ext>
                </a:extLst>
              </xdr:cNvPr>
              <xdr:cNvSpPr txBox="1"/>
            </xdr:nvSpPr>
            <xdr:spPr>
              <a:xfrm>
                <a:off x="3177540" y="952500"/>
                <a:ext cx="541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48920E-1C42-41D9-8F69-41BFEC318555}" type="TxLink">
                  <a:rPr lang="en-US" sz="1100" b="0" i="0" u="none" strike="noStrike">
                    <a:solidFill>
                      <a:srgbClr val="000000"/>
                    </a:solidFill>
                    <a:latin typeface="Aptos Narrow"/>
                  </a:rPr>
                  <a:pPr/>
                  <a:t> </a:t>
                </a:fld>
                <a:endParaRPr lang="en-IN" sz="1100">
                  <a:solidFill>
                    <a:srgbClr val="002060"/>
                  </a:solidFill>
                </a:endParaRPr>
              </a:p>
            </xdr:txBody>
          </xdr:sp>
          <xdr:sp macro="" textlink="B24">
            <xdr:nvSpPr>
              <xdr:cNvPr id="33" name="TextBox 32">
                <a:extLst>
                  <a:ext uri="{FF2B5EF4-FFF2-40B4-BE49-F238E27FC236}">
                    <a16:creationId xmlns:a16="http://schemas.microsoft.com/office/drawing/2014/main" id="{E89158B9-1945-7773-3C01-C3A24A7EE454}"/>
                  </a:ext>
                </a:extLst>
              </xdr:cNvPr>
              <xdr:cNvSpPr txBox="1"/>
            </xdr:nvSpPr>
            <xdr:spPr>
              <a:xfrm>
                <a:off x="7033260" y="960120"/>
                <a:ext cx="4724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6D71D9-E8A8-4833-86FE-869DF55D1802}" type="TxLink">
                  <a:rPr lang="en-US" sz="1100" b="0" i="0" u="none" strike="noStrike">
                    <a:solidFill>
                      <a:srgbClr val="000000"/>
                    </a:solidFill>
                    <a:latin typeface="Aptos Narrow"/>
                  </a:rPr>
                  <a:pPr/>
                  <a:t>13%</a:t>
                </a:fld>
                <a:endParaRPr lang="en-IN" sz="1100">
                  <a:solidFill>
                    <a:schemeClr val="accent2">
                      <a:lumMod val="75000"/>
                    </a:schemeClr>
                  </a:solidFill>
                </a:endParaRPr>
              </a:p>
            </xdr:txBody>
          </xdr:sp>
          <xdr:sp macro="" textlink="B25">
            <xdr:nvSpPr>
              <xdr:cNvPr id="34" name="TextBox 33">
                <a:extLst>
                  <a:ext uri="{FF2B5EF4-FFF2-40B4-BE49-F238E27FC236}">
                    <a16:creationId xmlns:a16="http://schemas.microsoft.com/office/drawing/2014/main" id="{84781CAE-F207-F2E4-5ECC-163F0E21FF4B}"/>
                  </a:ext>
                </a:extLst>
              </xdr:cNvPr>
              <xdr:cNvSpPr txBox="1"/>
            </xdr:nvSpPr>
            <xdr:spPr>
              <a:xfrm>
                <a:off x="8961120" y="944880"/>
                <a:ext cx="5105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D624F2-38DD-4E44-B08F-9275B849EABB}" type="TxLink">
                  <a:rPr lang="en-US" sz="1100" b="0" i="0" u="none" strike="noStrike">
                    <a:solidFill>
                      <a:srgbClr val="000000"/>
                    </a:solidFill>
                    <a:latin typeface="Aptos Narrow"/>
                  </a:rPr>
                  <a:pPr/>
                  <a:t>16%</a:t>
                </a:fld>
                <a:endParaRPr lang="en-IN" sz="1100">
                  <a:solidFill>
                    <a:schemeClr val="accent5">
                      <a:lumMod val="75000"/>
                    </a:schemeClr>
                  </a:solidFill>
                </a:endParaRPr>
              </a:p>
            </xdr:txBody>
          </xdr:sp>
          <xdr:sp macro="" textlink="$A$22">
            <xdr:nvSpPr>
              <xdr:cNvPr id="35" name="TextBox 34">
                <a:extLst>
                  <a:ext uri="{FF2B5EF4-FFF2-40B4-BE49-F238E27FC236}">
                    <a16:creationId xmlns:a16="http://schemas.microsoft.com/office/drawing/2014/main" id="{D4EF3341-69FF-5755-0571-4E41BAA3AAD7}"/>
                  </a:ext>
                </a:extLst>
              </xdr:cNvPr>
              <xdr:cNvSpPr txBox="1"/>
            </xdr:nvSpPr>
            <xdr:spPr>
              <a:xfrm>
                <a:off x="3048000" y="1783080"/>
                <a:ext cx="15925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0C426CD-48C0-4B2E-A925-4783328F71DB}" type="TxLink">
                  <a:rPr lang="en-US" sz="1100" b="0" i="0" u="none" strike="noStrike">
                    <a:solidFill>
                      <a:srgbClr val="000000"/>
                    </a:solidFill>
                    <a:latin typeface="Aptos Narrow"/>
                  </a:rPr>
                  <a:pPr algn="l"/>
                  <a:t>Drawing</a:t>
                </a:fld>
                <a:endParaRPr lang="en-IN" sz="1400">
                  <a:solidFill>
                    <a:srgbClr val="002060"/>
                  </a:solidFill>
                </a:endParaRPr>
              </a:p>
            </xdr:txBody>
          </xdr:sp>
          <xdr:sp macro="" textlink="$A$23">
            <xdr:nvSpPr>
              <xdr:cNvPr id="36" name="TextBox 35">
                <a:extLst>
                  <a:ext uri="{FF2B5EF4-FFF2-40B4-BE49-F238E27FC236}">
                    <a16:creationId xmlns:a16="http://schemas.microsoft.com/office/drawing/2014/main" id="{4C9D9A03-A09B-7905-5B16-26279DCFD090}"/>
                  </a:ext>
                </a:extLst>
              </xdr:cNvPr>
              <xdr:cNvSpPr txBox="1"/>
            </xdr:nvSpPr>
            <xdr:spPr>
              <a:xfrm>
                <a:off x="4968240" y="1752600"/>
                <a:ext cx="15925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9D53D8C-C82D-483E-A334-1B0014C491E0}" type="TxLink">
                  <a:rPr lang="en-US" sz="1100" b="0" i="0" u="none" strike="noStrike">
                    <a:solidFill>
                      <a:srgbClr val="000000"/>
                    </a:solidFill>
                    <a:latin typeface="Aptos Narrow"/>
                  </a:rPr>
                  <a:pPr algn="l"/>
                  <a:t>None</a:t>
                </a:fld>
                <a:endParaRPr lang="en-IN" sz="1400">
                  <a:solidFill>
                    <a:srgbClr val="DEA900"/>
                  </a:solidFill>
                </a:endParaRPr>
              </a:p>
            </xdr:txBody>
          </xdr:sp>
          <xdr:sp macro="" textlink="$A$24">
            <xdr:nvSpPr>
              <xdr:cNvPr id="37" name="TextBox 36">
                <a:extLst>
                  <a:ext uri="{FF2B5EF4-FFF2-40B4-BE49-F238E27FC236}">
                    <a16:creationId xmlns:a16="http://schemas.microsoft.com/office/drawing/2014/main" id="{DB735AB4-5DEB-8AAA-2C18-06F6FCF841F9}"/>
                  </a:ext>
                </a:extLst>
              </xdr:cNvPr>
              <xdr:cNvSpPr txBox="1"/>
            </xdr:nvSpPr>
            <xdr:spPr>
              <a:xfrm>
                <a:off x="7002780" y="1767840"/>
                <a:ext cx="15925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6D444F8-5EE1-4EBD-AE86-CAB327C21C84}" type="TxLink">
                  <a:rPr lang="en-US" sz="1100" b="0" i="0" u="none" strike="noStrike">
                    <a:solidFill>
                      <a:srgbClr val="000000"/>
                    </a:solidFill>
                    <a:latin typeface="Aptos Narrow"/>
                  </a:rPr>
                  <a:pPr algn="l"/>
                  <a:t>Olympiad</a:t>
                </a:fld>
                <a:endParaRPr lang="en-IN" sz="1400">
                  <a:solidFill>
                    <a:schemeClr val="accent2">
                      <a:lumMod val="75000"/>
                    </a:schemeClr>
                  </a:solidFill>
                </a:endParaRPr>
              </a:p>
            </xdr:txBody>
          </xdr:sp>
          <xdr:sp macro="" textlink="$A$25">
            <xdr:nvSpPr>
              <xdr:cNvPr id="38" name="TextBox 37">
                <a:extLst>
                  <a:ext uri="{FF2B5EF4-FFF2-40B4-BE49-F238E27FC236}">
                    <a16:creationId xmlns:a16="http://schemas.microsoft.com/office/drawing/2014/main" id="{D8E1E2AD-6174-AB5B-4EFB-F62DB8F6E2AD}"/>
                  </a:ext>
                </a:extLst>
              </xdr:cNvPr>
              <xdr:cNvSpPr txBox="1"/>
            </xdr:nvSpPr>
            <xdr:spPr>
              <a:xfrm>
                <a:off x="8823960" y="1767840"/>
                <a:ext cx="15925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89A6FBC-9927-49ED-86E0-84AA2EBDD522}" type="TxLink">
                  <a:rPr lang="en-US" sz="1100" b="0" i="0" u="none" strike="noStrike">
                    <a:solidFill>
                      <a:srgbClr val="000000"/>
                    </a:solidFill>
                    <a:latin typeface="Aptos Narrow"/>
                  </a:rPr>
                  <a:pPr algn="l"/>
                  <a:t>Quiz</a:t>
                </a:fld>
                <a:endParaRPr lang="en-IN" sz="1400">
                  <a:solidFill>
                    <a:schemeClr val="accent5">
                      <a:lumMod val="75000"/>
                    </a:schemeClr>
                  </a:solidFill>
                </a:endParaRPr>
              </a:p>
            </xdr:txBody>
          </xdr:sp>
          <xdr:sp macro="" textlink="$C$19">
            <xdr:nvSpPr>
              <xdr:cNvPr id="39" name="TextBox 38">
                <a:extLst>
                  <a:ext uri="{FF2B5EF4-FFF2-40B4-BE49-F238E27FC236}">
                    <a16:creationId xmlns:a16="http://schemas.microsoft.com/office/drawing/2014/main" id="{8A757949-27A9-34D5-B155-B0AF317D85F3}"/>
                  </a:ext>
                </a:extLst>
              </xdr:cNvPr>
              <xdr:cNvSpPr txBox="1"/>
            </xdr:nvSpPr>
            <xdr:spPr>
              <a:xfrm>
                <a:off x="5349240" y="30480"/>
                <a:ext cx="52654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95E1C5-947E-4A68-A5D4-93CCFDE3CF06}" type="TxLink">
                  <a:rPr lang="en-US" sz="1400" b="1" i="0" u="none" strike="noStrike">
                    <a:solidFill>
                      <a:srgbClr val="000000"/>
                    </a:solidFill>
                    <a:latin typeface="Aptos Narrow"/>
                  </a:rPr>
                  <a:pPr/>
                  <a:t> Academic Event Participation OF CLASS :(All)</a:t>
                </a:fld>
                <a:endParaRPr lang="en-IN" sz="1800" b="1"/>
              </a:p>
            </xdr:txBody>
          </xdr:sp>
        </xdr:grpSp>
        <xdr:graphicFrame macro="">
          <xdr:nvGraphicFramePr>
            <xdr:cNvPr id="2" name="Chart 1">
              <a:extLst>
                <a:ext uri="{FF2B5EF4-FFF2-40B4-BE49-F238E27FC236}">
                  <a16:creationId xmlns:a16="http://schemas.microsoft.com/office/drawing/2014/main" id="{A7138FF7-8BFF-49EE-88E4-0DF59766F2DA}"/>
                </a:ext>
              </a:extLst>
            </xdr:cNvPr>
            <xdr:cNvGraphicFramePr>
              <a:graphicFrameLocks/>
            </xdr:cNvGraphicFramePr>
          </xdr:nvGraphicFramePr>
          <xdr:xfrm>
            <a:off x="10386060" y="3898900"/>
            <a:ext cx="2019300" cy="1878330"/>
          </xdr:xfrm>
          <a:graphic>
            <a:graphicData uri="http://schemas.openxmlformats.org/drawingml/2006/chart">
              <c:chart xmlns:c="http://schemas.openxmlformats.org/drawingml/2006/chart" xmlns:r="http://schemas.openxmlformats.org/officeDocument/2006/relationships" r:id="rId9"/>
            </a:graphicData>
          </a:graphic>
        </xdr:graphicFrame>
        <xdr:sp macro="" textlink="B26">
          <xdr:nvSpPr>
            <xdr:cNvPr id="16" name="TextBox 15">
              <a:extLst>
                <a:ext uri="{FF2B5EF4-FFF2-40B4-BE49-F238E27FC236}">
                  <a16:creationId xmlns:a16="http://schemas.microsoft.com/office/drawing/2014/main" id="{0B58E0D3-1B0D-46E0-9EBA-98652BF4383E}"/>
                </a:ext>
              </a:extLst>
            </xdr:cNvPr>
            <xdr:cNvSpPr txBox="1"/>
          </xdr:nvSpPr>
          <xdr:spPr>
            <a:xfrm>
              <a:off x="11209020" y="4735195"/>
              <a:ext cx="541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C10D14-C833-4C19-95A3-41BEB3BDDAF0}" type="TxLink">
                <a:rPr lang="en-US" sz="1100" b="0" i="0" u="none" strike="noStrike">
                  <a:solidFill>
                    <a:srgbClr val="000000"/>
                  </a:solidFill>
                  <a:latin typeface="Aptos Narrow"/>
                </a:rPr>
                <a:pPr/>
                <a:t>18%</a:t>
              </a:fld>
              <a:endParaRPr lang="en-IN" sz="1100">
                <a:solidFill>
                  <a:srgbClr val="002060"/>
                </a:solidFill>
              </a:endParaRPr>
            </a:p>
          </xdr:txBody>
        </xdr:sp>
        <xdr:sp macro="" textlink="$A$26">
          <xdr:nvSpPr>
            <xdr:cNvPr id="17" name="TextBox 16">
              <a:extLst>
                <a:ext uri="{FF2B5EF4-FFF2-40B4-BE49-F238E27FC236}">
                  <a16:creationId xmlns:a16="http://schemas.microsoft.com/office/drawing/2014/main" id="{35C40331-5851-4AD8-ADCE-AC846A0FFEC2}"/>
                </a:ext>
              </a:extLst>
            </xdr:cNvPr>
            <xdr:cNvSpPr txBox="1"/>
          </xdr:nvSpPr>
          <xdr:spPr>
            <a:xfrm>
              <a:off x="10965180" y="5470525"/>
              <a:ext cx="15925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AFB3098-9C86-4237-BD1C-12EBD0B13C68}" type="TxLink">
                <a:rPr lang="en-US" sz="1100" b="0" i="0" u="none" strike="noStrike">
                  <a:solidFill>
                    <a:srgbClr val="000000"/>
                  </a:solidFill>
                  <a:latin typeface="Aptos Narrow"/>
                </a:rPr>
                <a:pPr algn="l"/>
                <a:t>Science Fair</a:t>
              </a:fld>
              <a:endParaRPr lang="en-IN" sz="1400">
                <a:solidFill>
                  <a:srgbClr val="002060"/>
                </a:solidFill>
              </a:endParaRPr>
            </a:p>
          </xdr:txBody>
        </xdr:sp>
      </xdr:grpSp>
      <xdr:sp macro="" textlink="B22">
        <xdr:nvSpPr>
          <xdr:cNvPr id="22" name="TextBox 21">
            <a:extLst>
              <a:ext uri="{FF2B5EF4-FFF2-40B4-BE49-F238E27FC236}">
                <a16:creationId xmlns:a16="http://schemas.microsoft.com/office/drawing/2014/main" id="{D000573A-48BE-4B7A-B377-23F8643060F7}"/>
              </a:ext>
            </a:extLst>
          </xdr:cNvPr>
          <xdr:cNvSpPr txBox="1"/>
        </xdr:nvSpPr>
        <xdr:spPr>
          <a:xfrm>
            <a:off x="5996940" y="4975860"/>
            <a:ext cx="541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8A0F46-E77A-424F-8560-0FB9E20F14D3}" type="TxLink">
              <a:rPr lang="en-US" sz="1100" b="0" i="0" u="none" strike="noStrike">
                <a:solidFill>
                  <a:srgbClr val="000000"/>
                </a:solidFill>
                <a:latin typeface="Aptos Narrow"/>
              </a:rPr>
              <a:pPr/>
              <a:t>16%</a:t>
            </a:fld>
            <a:endParaRPr lang="en-IN" sz="1100">
              <a:solidFill>
                <a:srgbClr val="002060"/>
              </a:solidFill>
            </a:endParaRPr>
          </a:p>
        </xdr:txBody>
      </xdr:sp>
      <xdr:sp macro="" textlink="B23">
        <xdr:nvSpPr>
          <xdr:cNvPr id="24" name="TextBox 23">
            <a:extLst>
              <a:ext uri="{FF2B5EF4-FFF2-40B4-BE49-F238E27FC236}">
                <a16:creationId xmlns:a16="http://schemas.microsoft.com/office/drawing/2014/main" id="{794BE1DE-AEEB-0248-ECA9-AD41C56F881D}"/>
              </a:ext>
            </a:extLst>
          </xdr:cNvPr>
          <xdr:cNvSpPr txBox="1"/>
        </xdr:nvSpPr>
        <xdr:spPr>
          <a:xfrm>
            <a:off x="7947660" y="4953000"/>
            <a:ext cx="541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8E71FC-A690-46CC-B3CF-B95DF579786F}" type="TxLink">
              <a:rPr lang="en-US" sz="1100" b="0" i="0" u="none" strike="noStrike">
                <a:solidFill>
                  <a:srgbClr val="000000"/>
                </a:solidFill>
                <a:latin typeface="Aptos Narrow"/>
              </a:rPr>
              <a:pPr/>
              <a:t>36%</a:t>
            </a:fld>
            <a:endParaRPr lang="en-IN" sz="1100">
              <a:solidFill>
                <a:srgbClr val="002060"/>
              </a:solidFill>
            </a:endParaRPr>
          </a:p>
        </xdr:txBody>
      </xdr:sp>
    </xdr:grpSp>
    <xdr:clientData/>
  </xdr:twoCellAnchor>
  <xdr:twoCellAnchor editAs="oneCell">
    <xdr:from>
      <xdr:col>2</xdr:col>
      <xdr:colOff>60960</xdr:colOff>
      <xdr:row>30</xdr:row>
      <xdr:rowOff>22860</xdr:rowOff>
    </xdr:from>
    <xdr:to>
      <xdr:col>2</xdr:col>
      <xdr:colOff>678180</xdr:colOff>
      <xdr:row>40</xdr:row>
      <xdr:rowOff>22860</xdr:rowOff>
    </xdr:to>
    <mc:AlternateContent xmlns:mc="http://schemas.openxmlformats.org/markup-compatibility/2006">
      <mc:Choice xmlns:a14="http://schemas.microsoft.com/office/drawing/2010/main" Requires="a14">
        <xdr:graphicFrame macro="">
          <xdr:nvGraphicFramePr>
            <xdr:cNvPr id="42" name="Class 2">
              <a:extLst>
                <a:ext uri="{FF2B5EF4-FFF2-40B4-BE49-F238E27FC236}">
                  <a16:creationId xmlns:a16="http://schemas.microsoft.com/office/drawing/2014/main" id="{7DFB8906-B9E5-F8D3-0117-D23A4CC1391D}"/>
                </a:ext>
              </a:extLst>
            </xdr:cNvPr>
            <xdr:cNvGraphicFramePr/>
          </xdr:nvGraphicFramePr>
          <xdr:xfrm>
            <a:off x="0" y="0"/>
            <a:ext cx="0" cy="0"/>
          </xdr:xfrm>
          <a:graphic>
            <a:graphicData uri="http://schemas.microsoft.com/office/drawing/2010/slicer">
              <sle:slicer xmlns:sle="http://schemas.microsoft.com/office/drawing/2010/slicer" name="Class 2"/>
            </a:graphicData>
          </a:graphic>
        </xdr:graphicFrame>
      </mc:Choice>
      <mc:Fallback>
        <xdr:sp macro="" textlink="">
          <xdr:nvSpPr>
            <xdr:cNvPr id="0" name=""/>
            <xdr:cNvSpPr>
              <a:spLocks noTextEdit="1"/>
            </xdr:cNvSpPr>
          </xdr:nvSpPr>
          <xdr:spPr>
            <a:xfrm>
              <a:off x="1539240" y="5509260"/>
              <a:ext cx="61722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777240</xdr:colOff>
      <xdr:row>30</xdr:row>
      <xdr:rowOff>0</xdr:rowOff>
    </xdr:from>
    <xdr:to>
      <xdr:col>7</xdr:col>
      <xdr:colOff>60960</xdr:colOff>
      <xdr:row>40</xdr:row>
      <xdr:rowOff>7620</xdr:rowOff>
    </xdr:to>
    <xdr:graphicFrame macro="">
      <xdr:nvGraphicFramePr>
        <xdr:cNvPr id="43" name="Chart 42">
          <a:extLst>
            <a:ext uri="{FF2B5EF4-FFF2-40B4-BE49-F238E27FC236}">
              <a16:creationId xmlns:a16="http://schemas.microsoft.com/office/drawing/2014/main" id="{9B4EE3FB-3265-64EC-884E-B34130001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274320</xdr:colOff>
      <xdr:row>30</xdr:row>
      <xdr:rowOff>3810</xdr:rowOff>
    </xdr:from>
    <xdr:to>
      <xdr:col>12</xdr:col>
      <xdr:colOff>121920</xdr:colOff>
      <xdr:row>43</xdr:row>
      <xdr:rowOff>121920</xdr:rowOff>
    </xdr:to>
    <xdr:graphicFrame macro="">
      <xdr:nvGraphicFramePr>
        <xdr:cNvPr id="44" name="Chart 43">
          <a:extLst>
            <a:ext uri="{FF2B5EF4-FFF2-40B4-BE49-F238E27FC236}">
              <a16:creationId xmlns:a16="http://schemas.microsoft.com/office/drawing/2014/main" id="{3D8EA6CE-AC9D-72E9-42A2-9B8422B4F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60960</xdr:colOff>
      <xdr:row>30</xdr:row>
      <xdr:rowOff>91440</xdr:rowOff>
    </xdr:from>
    <xdr:to>
      <xdr:col>18</xdr:col>
      <xdr:colOff>0</xdr:colOff>
      <xdr:row>43</xdr:row>
      <xdr:rowOff>160020</xdr:rowOff>
    </xdr:to>
    <xdr:graphicFrame macro="">
      <xdr:nvGraphicFramePr>
        <xdr:cNvPr id="46" name="Chart 45">
          <a:extLst>
            <a:ext uri="{FF2B5EF4-FFF2-40B4-BE49-F238E27FC236}">
              <a16:creationId xmlns:a16="http://schemas.microsoft.com/office/drawing/2014/main" id="{0643E191-AF4D-224F-EA7C-7AEF1F4DD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ENDU" refreshedDate="46104.691072106485" createdVersion="8" refreshedVersion="8" minRefreshableVersion="3" recordCount="600" xr:uid="{ADFC3DCD-DF01-4C77-99E3-BBCB642F2090}">
  <cacheSource type="worksheet">
    <worksheetSource ref="A2:N602" sheet="Answers"/>
  </cacheSource>
  <cacheFields count="14">
    <cacheField name="Student Name" numFmtId="0">
      <sharedItems count="577">
        <s v="Garima Rajput"/>
        <s v="Navya Reddy"/>
        <s v="Poonam Bhatia"/>
        <s v="Palak Chauhan"/>
        <s v="Alok Tiwari"/>
        <s v="Tushar Chopra"/>
        <s v="Lakshay Mehta"/>
        <s v="Gaurav Sharma"/>
        <s v="Priyanshi Chopra"/>
        <s v="Rohit Roy"/>
        <s v="Oviya Tiwari"/>
        <s v="Yash Dubey"/>
        <s v="Khushi Rao"/>
        <s v="Anushka Singh"/>
        <s v="Neha Reddy"/>
        <s v="Akash Das"/>
        <s v="Jyoti Tiwari"/>
        <s v="Shikha Shukla"/>
        <s v="Sakshi Srivastava"/>
        <s v="Akash Roy"/>
        <s v="Dhruv Jain"/>
        <s v="Vishal Rajput"/>
        <s v="Arnav Mehta"/>
        <s v="Archana Malhotra"/>
        <s v="Bhavesh Tiwari"/>
        <s v="Arjun Sethi"/>
        <s v="Gaurav Rao"/>
        <s v="Garima Choudhary"/>
        <s v="Tarun Iyer"/>
        <s v="Ansh Tiwari"/>
        <s v="Chhavi Chopra"/>
        <s v="Ritika Joshi"/>
        <s v="Lokesh Pandey"/>
        <s v="Ansh Joshi"/>
        <s v="Trisha Mehta"/>
        <s v="Himanshu Naidu"/>
        <s v="Zara Bansal"/>
        <s v="Sanya Srivastava"/>
        <s v="Nikhil Khanna"/>
        <s v="Ayush Sharma"/>
        <s v="Vidya Singh"/>
        <s v="Karan Bajaj"/>
        <s v="Aarti Verma"/>
        <s v="Pooja Rajput"/>
        <s v="Nitin Menon"/>
        <s v="Ankit Srivastava"/>
        <s v="Rashmi Reddy"/>
        <s v="Diya Kapoor"/>
        <s v="Lokesh Yadav"/>
        <s v="Tarini Srivastava"/>
        <s v="Eesha Tiwari"/>
        <s v="Shikha Bajaj"/>
        <s v="Sejal Reddy"/>
        <s v="Akanksha Jain"/>
        <s v="Shubham Menon"/>
        <s v="Krish Kapoor"/>
        <s v="Riya Verma"/>
        <s v="Oviya Pandey"/>
        <s v="Parth Agarwal"/>
        <s v="Himanshi Chatterjee"/>
        <s v="Kunal Gupta"/>
        <s v="Swati Saxena"/>
        <s v="Naman Verma"/>
        <s v="Amit Roy"/>
        <s v="Kunal Das"/>
        <s v="Deepak Mishra"/>
        <s v="Priyanshi Ghosh"/>
        <s v="Atharv Shah"/>
        <s v="Rupali Khanna"/>
        <s v="Aditi Rao"/>
        <s v="Shubham Tripathi"/>
        <s v="Om Sen"/>
        <s v="Shubham Rajput"/>
        <s v="Jigyasa Mehta"/>
        <s v="Manish Verma"/>
        <s v="Gaurav Joshi"/>
        <s v="Vikas Mondal"/>
        <s v="Shreya Dwivedi"/>
        <s v="Rudra Arora"/>
        <s v="Krish Chauhan"/>
        <s v="Madhuri Dwivedi"/>
        <s v="Kriti Mishra"/>
        <s v="Aishwarya Malhotra"/>
        <s v="Mohit Paul"/>
        <s v="Ankita Jain"/>
        <s v="Simran Tripathi"/>
        <s v="Bhavesh Roy"/>
        <s v="Sanya Tiwari"/>
        <s v="Ridhi Mehta"/>
        <s v="Vidya Bhatia"/>
        <s v="Rishabh Khanna"/>
        <s v="Mansi Chopra"/>
        <s v="Poonam Tiwari"/>
        <s v="Deepika Srivastava"/>
        <s v="Madhav Gupta"/>
        <s v="Ankit Tiwari"/>
        <s v="Prachi Yadav"/>
        <s v="Raj Mondal"/>
        <s v="Krish Patel"/>
        <s v="Sandhya Pandey"/>
        <s v="Chhavi Mukherjee"/>
        <s v="Arnav Tripathi"/>
        <s v="Dev Gupta"/>
        <s v="Aarav Arora"/>
        <s v="Poonam Shah"/>
        <s v="Tanmay Khanna"/>
        <s v="Uday Yadav"/>
        <s v="Madhav Verma"/>
        <s v="Tarun Chauhan"/>
        <s v="Mahi Shukla"/>
        <s v="Ishaan Tripathi"/>
        <s v="Shlok Nair"/>
        <s v="Prateek Das"/>
        <s v="Akash Mehta"/>
        <s v="Sandhya Sen"/>
        <s v="Wridhi Chauhan"/>
        <s v="Samarth Chatterjee"/>
        <s v="Ishi Roy"/>
        <s v="Jay Mehta"/>
        <s v="Swati Tiwari"/>
        <s v="Rishabh Sethi"/>
        <s v="Rahul Menon"/>
        <s v="Farhan Das"/>
        <s v="Aishwarya Chauhan"/>
        <s v="Vivek Joshi"/>
        <s v="Neha Tiwari"/>
        <s v="Nikhil Bajaj"/>
        <s v="Archana Menon"/>
        <s v="Shubham Mondal"/>
        <s v="Sachin Tiwari"/>
        <s v="Shlok Rao"/>
        <s v="Rohit Naidu"/>
        <s v="Pranav Sen"/>
        <s v="Karan Chauhan"/>
        <s v="Aarti Ahuja"/>
        <s v="Kabir Das"/>
        <s v="Tanvi Khanna"/>
        <s v="Karan Tiwari"/>
        <s v="Priyanshi Tripathi"/>
        <s v="Rishabh Dubey"/>
        <s v="Samarth Paul"/>
        <s v="Himanshu Tiwari"/>
        <s v="Jigyasa Kumar"/>
        <s v="Muskan Pandey"/>
        <s v="Shikha Yadav"/>
        <s v="Unnati Roy"/>
        <s v="Neha Tripathi"/>
        <s v="Pragya Das"/>
        <s v="Yuvraj Mondal"/>
        <s v="Sanya Verma"/>
        <s v="Pallavi Verma"/>
        <s v="Tushar Menon"/>
        <s v="Eesha Reddy"/>
        <s v="Shreya Yadav"/>
        <s v="Shubham Choudhary"/>
        <s v="Jay Kapoor"/>
        <s v="Ankit Jain"/>
        <s v="Tanya Sethi"/>
        <s v="Eesha Pandey"/>
        <s v="Rudra Tiwari"/>
        <s v="Shikha Bansal"/>
        <s v="Kabir Mishra"/>
        <s v="Navya Bansal"/>
        <s v="Amrita Mondal"/>
        <s v="Yuvraj Roy"/>
        <s v="Ankit Shukla"/>
        <s v="Vishal Bhatia"/>
        <s v="Tanmay Tiwari"/>
        <s v="Kabir Pandey"/>
        <s v="Ridhi Shah"/>
        <s v="Prachi Sharma"/>
        <s v="Ridhi Mishra"/>
        <s v="Sachin Malhotra"/>
        <s v="Tushar Chatterjee"/>
        <s v="Ishi Mehta"/>
        <s v="Pallavi Menon"/>
        <s v="Prateek Naidu"/>
        <s v="Krish Rao"/>
        <s v="Nisha Roy"/>
        <s v="Nandini Nair"/>
        <s v="Sanya Kumar"/>
        <s v="Karan Gupta"/>
        <s v="Akash Dubey"/>
        <s v="Vishal Rao"/>
        <s v="Swati Mukherjee"/>
        <s v="Bhavesh Saxena"/>
        <s v="Muskan Jain"/>
        <s v="Riya Arora"/>
        <s v="Vidya Sharma"/>
        <s v="Prateek Sethi"/>
        <s v="Vidya Dubey"/>
        <s v="Palak Dubey"/>
        <s v="Aniket Bansal"/>
        <s v="Poonam Sharma"/>
        <s v="Aarav Joshi"/>
        <s v="Zoya Dwivedi"/>
        <s v="Akash Sethi"/>
        <s v="Amit Choudhary"/>
        <s v="Shikha Saxena"/>
        <s v="Himanshu Sethi"/>
        <s v="Ankit Dubey"/>
        <s v="Pallavi Dubey"/>
        <s v="Zara Srivastava"/>
        <s v="Tushar Arora"/>
        <s v="Tanmay Mukherjee"/>
        <s v="Om Chopra"/>
        <s v="Shlok Pandey"/>
        <s v="Devraj Mishra"/>
        <s v="Veer Singh"/>
        <s v="Sonam Ghosh"/>
        <s v="Ishaan Shah"/>
        <s v="Ritika Mishra"/>
        <s v="Ananya Roy"/>
        <s v="Pranav Verma"/>
        <s v="Uday Roy"/>
        <s v="Nisha Paul"/>
        <s v="Archana Shukla"/>
        <s v="Kabir Mehta"/>
        <s v="Sejal Bose"/>
        <s v="Kajal Gupta"/>
        <s v="Nikhil Chatterjee"/>
        <s v="Dev Kumar"/>
        <s v="Kartik Joshi"/>
        <s v="Divya Sethi"/>
        <s v="Jay Choudhary"/>
        <s v="Suraj Verma"/>
        <s v="Unnati Bajaj"/>
        <s v="Harshita Iyer"/>
        <s v="Vidya Khanna"/>
        <s v="Aditya Mukherjee"/>
        <s v="Shlok Naidu"/>
        <s v="Ritika Khanna"/>
        <s v="Hrithik Shah"/>
        <s v="Rahul Chauhan"/>
        <s v="Mansi Das"/>
        <s v="Yuvraj Yadav"/>
        <s v="Ananya Sen"/>
        <s v="Ayush Malhotra"/>
        <s v="Jigyasa Joshi"/>
        <s v="Amrita Rajput"/>
        <s v="Chirag Sharma"/>
        <s v="Atharv Chauhan"/>
        <s v="Tanya Roy"/>
        <s v="Deepak Gupta"/>
        <s v="Oviya Nair"/>
        <s v="Prachi Arora"/>
        <s v="Vidya Joshi"/>
        <s v="Shubham Chopra"/>
        <s v="Vidya Menon"/>
        <s v="Vivek Reddy"/>
        <s v="Simran Choudhary"/>
        <s v="Dhruv Tripathi"/>
        <s v="Wridhi Khanna"/>
        <s v="Rashmi Menon"/>
        <s v="Harsh Chauhan"/>
        <s v="Saurabh Srivastava"/>
        <s v="Monika Arora"/>
        <s v="Eesha Shukla"/>
        <s v="Yash Joshi"/>
        <s v="Jyoti Menon"/>
        <s v="Akanksha Pandey"/>
        <s v="Eesha Srivastava"/>
        <s v="Dhruv Bajaj"/>
        <s v="Sandhya Bajaj"/>
        <s v="Aparna Chatterjee"/>
        <s v="Ayush Gupta"/>
        <s v="Unnati Bansal"/>
        <s v="Varun Rao"/>
        <s v="Madhav Agarwal"/>
        <s v="Rohit Yadav"/>
        <s v="Rupali Kapoor"/>
        <s v="Sachin Sharma"/>
        <s v="Akhil Menon"/>
        <s v="Naman Tripathi"/>
        <s v="Ajay Chatterjee"/>
        <s v="Dhruv Nair"/>
        <s v="Devraj Agarwal"/>
        <s v="Chhavi Mehta"/>
        <s v="Tanvi Sethi"/>
        <s v="Sandhya Sethi"/>
        <s v="Shaurya Gupta"/>
        <s v="Jyoti Singh"/>
        <s v="Akanksha Roy"/>
        <s v="Oviya Yadav"/>
        <s v="Himanshu Shukla"/>
        <s v="Mahi Iyer"/>
        <s v="Sumit Rao"/>
        <s v="Ishan Sethi"/>
        <s v="Karan Dubey"/>
        <s v="Neha Bansal"/>
        <s v="Khushi Ahuja"/>
        <s v="Amit Shukla"/>
        <s v="Tanmay Chauhan"/>
        <s v="Raj Yadav"/>
        <s v="Abhinav Mukherjee"/>
        <s v="Sachin Paul"/>
        <s v="Khushi Reddy"/>
        <s v="Deepika Singh"/>
        <s v="Yamini Yadav"/>
        <s v="Jyoti Malhotra"/>
        <s v="Shubham Gupta"/>
        <s v="Sachin Nair"/>
        <s v="Nikhil Naidu"/>
        <s v="Veer Yadav"/>
        <s v="Nikita Malhotra"/>
        <s v="Navya Joshi"/>
        <s v="Prateek Singh"/>
        <s v="Shikha Tiwari"/>
        <s v="Aniket Sen"/>
        <s v="Madhav Pandey"/>
        <s v="Harsh Khanna"/>
        <s v="Ishaan Tiwari"/>
        <s v="Ritika Agarwal"/>
        <s v="Yamini Shukla"/>
        <s v="Ridhi Gupta"/>
        <s v="Tanmay Nair"/>
        <s v="Tushar Sharma"/>
        <s v="Yuvraj Mukherjee"/>
        <s v="Tarini Sen"/>
        <s v="Kartik Kumar"/>
        <s v="Nitin Yadav"/>
        <s v="Devraj Dwivedi"/>
        <s v="Atharv Patel"/>
        <s v="Zoya Iyer"/>
        <s v="Tanya Sen"/>
        <s v="Rahul Naidu"/>
        <s v="Bhavna Nair"/>
        <s v="Naman Nair"/>
        <s v="Prateek Saxena"/>
        <s v="Wridhi Tripathi"/>
        <s v="Arjun Malhotra"/>
        <s v="Ishan Khanna"/>
        <s v="Shubham Naidu"/>
        <s v="Pranav Khanna"/>
        <s v="Monika Chatterjee"/>
        <s v="Deepika Gupta"/>
        <s v="Riya Paul"/>
        <s v="Rudra Rao"/>
        <s v="Archana Joshi"/>
        <s v="Dhruv Gupta"/>
        <s v="Ritika Ghosh"/>
        <s v="Sejal Arora"/>
        <s v="Ananya Singh"/>
        <s v="Ankita Naidu"/>
        <s v="Tanya Kumar"/>
        <s v="Atharv Dwivedi"/>
        <s v="Abhinav Rao"/>
        <s v="Trisha Bajaj"/>
        <s v="Madhuri Ghosh"/>
        <s v="Vishal Sethi"/>
        <s v="Ishita Gupta"/>
        <s v="Zara Das"/>
        <s v="Navya Mondal"/>
        <s v="Parth Bansal"/>
        <s v="Lakshay Tiwari"/>
        <s v="Muskan Gupta"/>
        <s v="Garima Das"/>
        <s v="Vikas Verma"/>
        <s v="Sakshi Choudhary"/>
        <s v="Riya Sen"/>
        <s v="Sonam Choudhary"/>
        <s v="Akhil Saxena"/>
        <s v="Simran Reddy"/>
        <s v="Saurabh Kumar"/>
        <s v="Gaurav Mehta"/>
        <s v="Mohit Das"/>
        <s v="Vidya Kapoor"/>
        <s v="Komal Chauhan"/>
        <s v="Pallavi Shukla"/>
        <s v="Unnati Tiwari"/>
        <s v="Harsh Verma"/>
        <s v="Ishi Rajput"/>
        <s v="Simran Sen"/>
        <s v="Abhinav Jain"/>
        <s v="Lavanya Nair"/>
        <s v="Rishabh Paul"/>
        <s v="Chirag Roy"/>
        <s v="Abhinav Kapoor"/>
        <s v="Varsha Sethi"/>
        <s v="Vivek Rajput"/>
        <s v="Falguni Patel"/>
        <s v="Harsh Patel"/>
        <s v="Yamini Chatterjee"/>
        <s v="Vanya Bansal"/>
        <s v="Aniket Dubey"/>
        <s v="Megha Shah"/>
        <s v="Neha Agarwal"/>
        <s v="Aarav Malhotra"/>
        <s v="Priyanshi Ahuja"/>
        <s v="Priyanshi Menon"/>
        <s v="Piyush Singh"/>
        <s v="Vishal Bansal"/>
        <s v="Ishan Arora"/>
        <s v="Yuvraj Ghosh"/>
        <s v="Jay Sethi"/>
        <s v="Simran Singh"/>
        <s v="Pranav Bansal"/>
        <s v="Sonam Bansal"/>
        <s v="Mohit Chatterjee"/>
        <s v="Raj Joshi"/>
        <s v="Tarun Shah"/>
        <s v="Yamini Roy"/>
        <s v="Monika Singh"/>
        <s v="Yamini Menon"/>
        <s v="Kartik Patel"/>
        <s v="Himanshi Malhotra"/>
        <s v="Tarini Khanna"/>
        <s v="Tarini Bajaj"/>
        <s v="Poonam Chatterjee"/>
        <s v="Piyush Yadav"/>
        <s v="Pragya Mondal"/>
        <s v="Poonam Joshi"/>
        <s v="Piyush Agarwal"/>
        <s v="Sonam Saxena"/>
        <s v="Veer Malhotra"/>
        <s v="Pooja Pandey"/>
        <s v="Varun Tiwari"/>
        <s v="Madhuri Chopra"/>
        <s v="Krish Das"/>
        <s v="Aishwarya Chatterjee"/>
        <s v="Prachi Chauhan"/>
        <s v="Nandini Kapoor"/>
        <s v="Rohit Reddy"/>
        <s v="Shaurya Roy"/>
        <s v="Alok Kumar"/>
        <s v="Zaid Bansal"/>
        <s v="Anushka Yadav"/>
        <s v="Rajat Mukherjee"/>
        <s v="Varsha Tripathi"/>
        <s v="Shaurya Bajaj"/>
        <s v="Diya Shah"/>
        <s v="Ishita Khanna"/>
        <s v="Riya Naidu"/>
        <s v="Zoya Agarwal"/>
        <s v="Aniket Agarwal"/>
        <s v="Rohit Chopra"/>
        <s v="Gaurav Saxena"/>
        <s v="Kartik Mondal"/>
        <s v="Ishi Khanna"/>
        <s v="Akhil Arora"/>
        <s v="Rashmi Choudhary"/>
        <s v="Saloni Khanna"/>
        <s v="Abhinav Chatterjee"/>
        <s v="Aniket Shukla"/>
        <s v="Devraj Chauhan"/>
        <s v="Garima Kapoor"/>
        <s v="Varsha Jain"/>
        <s v="Saloni Tripathi"/>
        <s v="Rudra Iyer"/>
        <s v="Amit Verma"/>
        <s v="Riya Gupta"/>
        <s v="Sakshi Mehta"/>
        <s v="Nikhil Bansal"/>
        <s v="Neha Dubey"/>
        <s v="Monika Chauhan"/>
        <s v="Aarav Bhatia"/>
        <s v="Ishan Jain"/>
        <s v="Lokesh Bhatia"/>
        <s v="Prachi Bajaj"/>
        <s v="Varun Singh"/>
        <s v="Himanshu Joshi"/>
        <s v="Vishal Kapoor"/>
        <s v="Rupali Verma"/>
        <s v="Anushka Rajput"/>
        <s v="Yamini Paul"/>
        <s v="Jay Dwivedi"/>
        <s v="Pooja Dwivedi"/>
        <s v="Siddharth Tripathi"/>
        <s v="Swati Sethi"/>
        <s v="Abhinav Bhatia"/>
        <s v="Shreya Singh"/>
        <s v="Aditi Joshi"/>
        <s v="Siddharth Chopra"/>
        <s v="Vanya Dwivedi"/>
        <s v="Raj Bose"/>
        <s v="Prachi Shukla"/>
        <s v="Ayush Chopra"/>
        <s v="Priyanshi Sharma"/>
        <s v="Harshita Mukherjee"/>
        <s v="Harsh Iyer"/>
        <s v="Aparna Pandey"/>
        <s v="Yash Sharma"/>
        <s v="Khushi Roy"/>
        <s v="Navya Kumar"/>
        <s v="Yuvraj Tripathi"/>
        <s v="Swati Mishra"/>
        <s v="Mahi Paul"/>
        <s v="Eesha Das"/>
        <s v="Rohit Chatterjee"/>
        <s v="Nisha Dubey"/>
        <s v="Himanshu Mondal"/>
        <s v="Vikas Pandey"/>
        <s v="Lavanya Bajaj"/>
        <s v="Jay Arora"/>
        <s v="Arnav Srivastava"/>
        <s v="Tanya Agarwal"/>
        <s v="Sakshi Agarwal"/>
        <s v="Himanshi Menon"/>
        <s v="Rohit Agarwal"/>
        <s v="Yamini Khanna"/>
        <s v="Vidya Tiwari"/>
        <s v="Saurabh Mukherjee"/>
        <s v="Mahi Nair"/>
        <s v="Manish Sen"/>
        <s v="Kunal Reddy"/>
        <s v="Sumit Verma"/>
        <s v="Tarun Sen"/>
        <s v="Radhika Verma"/>
        <s v="Oviya Tripathi"/>
        <s v="Abhinav Sen"/>
        <s v="Farhan Mukherjee"/>
        <s v="Madhuri Tripathi"/>
        <s v="Aditya Bose"/>
        <s v="Priyanshi Naidu"/>
        <s v="Kajal Saxena"/>
        <s v="Prachi Dubey"/>
        <s v="Pallavi Ahuja"/>
        <s v="Sejal Shah"/>
        <s v="Wridhi Rajput"/>
        <s v="Simran Mukherjee"/>
        <s v="Kavya Chopra"/>
        <s v="Akash Sen"/>
        <s v="Shikha Kumar"/>
        <s v="Garima Bose"/>
        <s v="Pallavi Iyer"/>
        <s v="Tanvi Srivastava"/>
        <s v="Akash Chopra"/>
        <s v="Varsha Gupta"/>
        <s v="Suraj Ahuja"/>
        <s v="Zoya Srivastava"/>
        <s v="Hrithik Arora"/>
        <s v="Saloni Agarwal"/>
        <s v="Riya Mishra"/>
        <s v="Sakshi Pandey"/>
        <s v="Suraj Srivastava"/>
        <s v="Sonam Mishra"/>
        <s v="Prateek Mehta"/>
        <s v="Lakshay Reddy"/>
        <s v="Ankita Saxena"/>
        <s v="Harshita Sharma"/>
        <s v="Ajay Choudhary"/>
        <s v="Archana Paul"/>
        <s v="Rupali Shah"/>
        <s v="Amit Chatterjee"/>
        <s v="Aishwarya Saxena"/>
        <s v="Sakshi Reddy"/>
        <s v="Devraj Dubey"/>
        <s v="Devraj Rajput"/>
        <s v="Himanshu Iyer"/>
        <s v="Dev Rajput"/>
        <s v="Riya Joshi"/>
        <s v="Nitin Sharma"/>
        <s v="Nisha Dwivedi"/>
        <s v="Himanshu Rajput"/>
        <s v="Harsh Choudhary"/>
        <s v="Navya Das"/>
        <s v="Ridhi Shukla"/>
        <s v="Tanmay Choudhary"/>
        <s v="Aryan Nair"/>
        <s v="Aparna Sharma"/>
        <s v="Tanvi Tiwari"/>
        <s v="Kunal Mukherjee"/>
        <s v="Alok Saxena"/>
        <s v="Manish Choudhary"/>
        <s v="Akanksha Menon"/>
        <s v="Trisha Kapoor"/>
        <s v="Tushar Sen"/>
        <s v="Piyush Gupta"/>
        <s v="Radhika Tripathi"/>
        <s v="Palak Sharma"/>
        <s v="Vanya Kapoor"/>
        <s v="Mahi Ghosh"/>
        <s v="Kavya Naidu"/>
        <s v="Sneha Choudhary"/>
        <s v="Kartik Sethi"/>
        <s v="Saloni Sharma"/>
        <s v="Himanshi Shukla"/>
      </sharedItems>
    </cacheField>
    <cacheField name="Class" numFmtId="0">
      <sharedItems containsSemiMixedTypes="0" containsString="0" containsNumber="1" containsInteger="1" minValue="6" maxValue="10" count="5">
        <n v="6"/>
        <n v="7"/>
        <n v="8"/>
        <n v="9"/>
        <n v="10"/>
      </sharedItems>
    </cacheField>
    <cacheField name="Section" numFmtId="0">
      <sharedItems/>
    </cacheField>
    <cacheField name="Roll Number" numFmtId="0">
      <sharedItems containsSemiMixedTypes="0" containsString="0" containsNumber="1" containsInteger="1" minValue="1" maxValue="199"/>
    </cacheField>
    <cacheField name="Gender" numFmtId="0">
      <sharedItems/>
    </cacheField>
    <cacheField name="Age" numFmtId="0">
      <sharedItems containsSemiMixedTypes="0" containsString="0" containsNumber="1" containsInteger="1" minValue="11" maxValue="16"/>
    </cacheField>
    <cacheField name="Fee Status" numFmtId="0">
      <sharedItems count="2">
        <s v="Due"/>
        <s v="Paid"/>
      </sharedItems>
    </cacheField>
    <cacheField name="Entry Pass Collected" numFmtId="0">
      <sharedItems/>
    </cacheField>
    <cacheField name="Food Preference" numFmtId="0">
      <sharedItems/>
    </cacheField>
    <cacheField name="Academic Event Participation" numFmtId="0">
      <sharedItems count="5">
        <s v="Drawing"/>
        <s v="None"/>
        <s v="Quiz"/>
        <s v="Science Fair"/>
        <s v="Olympiad"/>
      </sharedItems>
    </cacheField>
    <cacheField name="Cultural Event Participation" numFmtId="0">
      <sharedItems count="4">
        <s v="None"/>
        <s v="Drama"/>
        <s v="Singing"/>
        <s v="Dance"/>
      </sharedItems>
    </cacheField>
    <cacheField name="Group" numFmtId="0">
      <sharedItems count="2">
        <s v="Junior"/>
        <s v="Senior"/>
      </sharedItems>
    </cacheField>
    <cacheField name="Fee Remark" numFmtId="0">
      <sharedItems count="2">
        <s v="Pending"/>
        <s v="OK"/>
      </sharedItems>
    </cacheField>
    <cacheField name="Expected Fee" numFmtId="0">
      <sharedItems containsSemiMixedTypes="0" containsString="0" containsNumber="1" containsInteger="1" minValue="50" maxValue="90"/>
    </cacheField>
  </cacheFields>
  <extLst>
    <ext xmlns:x14="http://schemas.microsoft.com/office/spreadsheetml/2009/9/main" uri="{725AE2AE-9491-48be-B2B4-4EB974FC3084}">
      <x14:pivotCacheDefinition pivotCacheId="623023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ENDU" refreshedDate="46105.376495138888" createdVersion="8" refreshedVersion="8" minRefreshableVersion="3" recordCount="5" xr:uid="{C64CC4D5-7E6A-46FF-A81A-34E659F6E764}">
  <cacheSource type="worksheet">
    <worksheetSource ref="V18:Y23" sheet="Answers"/>
  </cacheSource>
  <cacheFields count="4">
    <cacheField name="Class" numFmtId="0">
      <sharedItems containsSemiMixedTypes="0" containsString="0" containsNumber="1" containsInteger="1" minValue="6" maxValue="10" count="5">
        <n v="6"/>
        <n v="7"/>
        <n v="8"/>
        <n v="9"/>
        <n v="10"/>
      </sharedItems>
    </cacheField>
    <cacheField name="Paid" numFmtId="0">
      <sharedItems containsSemiMixedTypes="0" containsString="0" containsNumber="1" containsInteger="1" minValue="58" maxValue="89"/>
    </cacheField>
    <cacheField name="Due:" numFmtId="0">
      <sharedItems containsSemiMixedTypes="0" containsString="0" containsNumber="1" containsInteger="1" minValue="48" maxValue="58"/>
    </cacheField>
    <cacheField name="Revenue" numFmtId="0">
      <sharedItems containsSemiMixedTypes="0" containsString="0" containsNumber="1" containsInteger="1" minValue="2900" maxValue="6120"/>
    </cacheField>
  </cacheFields>
  <extLst>
    <ext xmlns:x14="http://schemas.microsoft.com/office/spreadsheetml/2009/9/main" uri="{725AE2AE-9491-48be-B2B4-4EB974FC3084}">
      <x14:pivotCacheDefinition pivotCacheId="329675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x v="0"/>
    <s v="A"/>
    <n v="7"/>
    <s v="Female"/>
    <n v="12"/>
    <x v="0"/>
    <s v="Yes"/>
    <s v="Non-Veg"/>
    <x v="0"/>
    <x v="0"/>
    <x v="0"/>
    <x v="0"/>
    <n v="50"/>
  </r>
  <r>
    <x v="1"/>
    <x v="0"/>
    <s v="A"/>
    <n v="14"/>
    <s v="Female"/>
    <n v="11"/>
    <x v="0"/>
    <s v="No"/>
    <s v="Non-Veg"/>
    <x v="1"/>
    <x v="1"/>
    <x v="0"/>
    <x v="0"/>
    <n v="50"/>
  </r>
  <r>
    <x v="2"/>
    <x v="0"/>
    <s v="A"/>
    <n v="25"/>
    <s v="Female"/>
    <n v="12"/>
    <x v="1"/>
    <s v="No"/>
    <s v="Non-Veg"/>
    <x v="1"/>
    <x v="0"/>
    <x v="0"/>
    <x v="1"/>
    <n v="50"/>
  </r>
  <r>
    <x v="3"/>
    <x v="0"/>
    <s v="A"/>
    <n v="29"/>
    <s v="Female"/>
    <n v="11"/>
    <x v="0"/>
    <s v="No"/>
    <s v="Veg"/>
    <x v="1"/>
    <x v="2"/>
    <x v="0"/>
    <x v="0"/>
    <n v="50"/>
  </r>
  <r>
    <x v="4"/>
    <x v="0"/>
    <s v="A"/>
    <n v="31"/>
    <s v="Male"/>
    <n v="12"/>
    <x v="0"/>
    <s v="No"/>
    <s v="Non-Veg"/>
    <x v="1"/>
    <x v="2"/>
    <x v="0"/>
    <x v="0"/>
    <n v="50"/>
  </r>
  <r>
    <x v="5"/>
    <x v="0"/>
    <s v="A"/>
    <n v="32"/>
    <s v="Male"/>
    <n v="12"/>
    <x v="1"/>
    <s v="No"/>
    <s v="Veg"/>
    <x v="2"/>
    <x v="0"/>
    <x v="0"/>
    <x v="1"/>
    <n v="50"/>
  </r>
  <r>
    <x v="6"/>
    <x v="0"/>
    <s v="A"/>
    <n v="43"/>
    <s v="Male"/>
    <n v="12"/>
    <x v="0"/>
    <s v="Yes"/>
    <s v="Non-Veg"/>
    <x v="0"/>
    <x v="1"/>
    <x v="0"/>
    <x v="0"/>
    <n v="50"/>
  </r>
  <r>
    <x v="7"/>
    <x v="0"/>
    <s v="A"/>
    <n v="50"/>
    <s v="Male"/>
    <n v="12"/>
    <x v="0"/>
    <s v="Yes"/>
    <s v="Non-Veg"/>
    <x v="1"/>
    <x v="1"/>
    <x v="0"/>
    <x v="0"/>
    <n v="50"/>
  </r>
  <r>
    <x v="8"/>
    <x v="0"/>
    <s v="A"/>
    <n v="56"/>
    <s v="Female"/>
    <n v="11"/>
    <x v="1"/>
    <s v="Yes"/>
    <s v="Non-Veg"/>
    <x v="2"/>
    <x v="2"/>
    <x v="0"/>
    <x v="1"/>
    <n v="50"/>
  </r>
  <r>
    <x v="9"/>
    <x v="0"/>
    <s v="A"/>
    <n v="58"/>
    <s v="Male"/>
    <n v="11"/>
    <x v="1"/>
    <s v="No"/>
    <s v="Non-Veg"/>
    <x v="2"/>
    <x v="3"/>
    <x v="0"/>
    <x v="1"/>
    <n v="50"/>
  </r>
  <r>
    <x v="10"/>
    <x v="0"/>
    <s v="A"/>
    <n v="59"/>
    <s v="Female"/>
    <n v="12"/>
    <x v="1"/>
    <s v="Yes"/>
    <s v="Veg"/>
    <x v="2"/>
    <x v="1"/>
    <x v="0"/>
    <x v="1"/>
    <n v="50"/>
  </r>
  <r>
    <x v="11"/>
    <x v="0"/>
    <s v="A"/>
    <n v="64"/>
    <s v="Male"/>
    <n v="11"/>
    <x v="0"/>
    <s v="Yes"/>
    <s v="Non-Veg"/>
    <x v="2"/>
    <x v="3"/>
    <x v="0"/>
    <x v="0"/>
    <n v="50"/>
  </r>
  <r>
    <x v="12"/>
    <x v="0"/>
    <s v="A"/>
    <n v="69"/>
    <s v="Female"/>
    <n v="12"/>
    <x v="0"/>
    <s v="Yes"/>
    <s v="Veg"/>
    <x v="3"/>
    <x v="2"/>
    <x v="0"/>
    <x v="0"/>
    <n v="50"/>
  </r>
  <r>
    <x v="13"/>
    <x v="0"/>
    <s v="A"/>
    <n v="71"/>
    <s v="Female"/>
    <n v="12"/>
    <x v="1"/>
    <s v="No"/>
    <s v="Veg"/>
    <x v="1"/>
    <x v="2"/>
    <x v="0"/>
    <x v="1"/>
    <n v="50"/>
  </r>
  <r>
    <x v="14"/>
    <x v="0"/>
    <s v="A"/>
    <n v="75"/>
    <s v="Female"/>
    <n v="11"/>
    <x v="0"/>
    <s v="Yes"/>
    <s v="Veg"/>
    <x v="3"/>
    <x v="3"/>
    <x v="0"/>
    <x v="0"/>
    <n v="50"/>
  </r>
  <r>
    <x v="15"/>
    <x v="0"/>
    <s v="A"/>
    <n v="81"/>
    <s v="Male"/>
    <n v="12"/>
    <x v="0"/>
    <s v="No"/>
    <s v="Veg"/>
    <x v="1"/>
    <x v="0"/>
    <x v="0"/>
    <x v="0"/>
    <n v="50"/>
  </r>
  <r>
    <x v="16"/>
    <x v="0"/>
    <s v="A"/>
    <n v="87"/>
    <s v="Female"/>
    <n v="12"/>
    <x v="1"/>
    <s v="No"/>
    <s v="Veg"/>
    <x v="0"/>
    <x v="3"/>
    <x v="0"/>
    <x v="1"/>
    <n v="50"/>
  </r>
  <r>
    <x v="17"/>
    <x v="0"/>
    <s v="A"/>
    <n v="89"/>
    <s v="Female"/>
    <n v="12"/>
    <x v="1"/>
    <s v="Yes"/>
    <s v="Non-Veg"/>
    <x v="3"/>
    <x v="0"/>
    <x v="0"/>
    <x v="1"/>
    <n v="50"/>
  </r>
  <r>
    <x v="18"/>
    <x v="0"/>
    <s v="A"/>
    <n v="95"/>
    <s v="Female"/>
    <n v="12"/>
    <x v="1"/>
    <s v="Yes"/>
    <s v="Veg"/>
    <x v="2"/>
    <x v="3"/>
    <x v="0"/>
    <x v="1"/>
    <n v="50"/>
  </r>
  <r>
    <x v="19"/>
    <x v="0"/>
    <s v="A"/>
    <n v="107"/>
    <s v="Male"/>
    <n v="12"/>
    <x v="1"/>
    <s v="Yes"/>
    <s v="Veg"/>
    <x v="4"/>
    <x v="2"/>
    <x v="0"/>
    <x v="1"/>
    <n v="50"/>
  </r>
  <r>
    <x v="20"/>
    <x v="0"/>
    <s v="A"/>
    <n v="126"/>
    <s v="Male"/>
    <n v="11"/>
    <x v="0"/>
    <s v="No"/>
    <s v="Non-Veg"/>
    <x v="1"/>
    <x v="2"/>
    <x v="0"/>
    <x v="0"/>
    <n v="50"/>
  </r>
  <r>
    <x v="21"/>
    <x v="0"/>
    <s v="A"/>
    <n v="128"/>
    <s v="Male"/>
    <n v="11"/>
    <x v="0"/>
    <s v="Yes"/>
    <s v="Veg"/>
    <x v="4"/>
    <x v="0"/>
    <x v="0"/>
    <x v="0"/>
    <n v="50"/>
  </r>
  <r>
    <x v="22"/>
    <x v="0"/>
    <s v="A"/>
    <n v="132"/>
    <s v="Male"/>
    <n v="12"/>
    <x v="0"/>
    <s v="No"/>
    <s v="Veg"/>
    <x v="1"/>
    <x v="2"/>
    <x v="0"/>
    <x v="0"/>
    <n v="50"/>
  </r>
  <r>
    <x v="23"/>
    <x v="0"/>
    <s v="A"/>
    <n v="144"/>
    <s v="Female"/>
    <n v="12"/>
    <x v="1"/>
    <s v="No"/>
    <s v="Non-Veg"/>
    <x v="4"/>
    <x v="0"/>
    <x v="0"/>
    <x v="1"/>
    <n v="50"/>
  </r>
  <r>
    <x v="24"/>
    <x v="0"/>
    <s v="A"/>
    <n v="154"/>
    <s v="Male"/>
    <n v="11"/>
    <x v="0"/>
    <s v="Yes"/>
    <s v="Non-Veg"/>
    <x v="0"/>
    <x v="1"/>
    <x v="0"/>
    <x v="0"/>
    <n v="50"/>
  </r>
  <r>
    <x v="25"/>
    <x v="0"/>
    <s v="A"/>
    <n v="158"/>
    <s v="Male"/>
    <n v="11"/>
    <x v="1"/>
    <s v="Yes"/>
    <s v="Non-Veg"/>
    <x v="1"/>
    <x v="3"/>
    <x v="0"/>
    <x v="1"/>
    <n v="50"/>
  </r>
  <r>
    <x v="26"/>
    <x v="0"/>
    <s v="A"/>
    <n v="175"/>
    <s v="Male"/>
    <n v="11"/>
    <x v="1"/>
    <s v="No"/>
    <s v="Veg"/>
    <x v="1"/>
    <x v="1"/>
    <x v="0"/>
    <x v="1"/>
    <n v="50"/>
  </r>
  <r>
    <x v="27"/>
    <x v="0"/>
    <s v="A"/>
    <n v="181"/>
    <s v="Female"/>
    <n v="12"/>
    <x v="1"/>
    <s v="Yes"/>
    <s v="Non-Veg"/>
    <x v="4"/>
    <x v="0"/>
    <x v="0"/>
    <x v="1"/>
    <n v="50"/>
  </r>
  <r>
    <x v="28"/>
    <x v="0"/>
    <s v="B"/>
    <n v="8"/>
    <s v="Male"/>
    <n v="12"/>
    <x v="1"/>
    <s v="Yes"/>
    <s v="Veg"/>
    <x v="2"/>
    <x v="1"/>
    <x v="0"/>
    <x v="1"/>
    <n v="50"/>
  </r>
  <r>
    <x v="29"/>
    <x v="0"/>
    <s v="B"/>
    <n v="11"/>
    <s v="Male"/>
    <n v="11"/>
    <x v="0"/>
    <s v="Yes"/>
    <s v="Non-Veg"/>
    <x v="0"/>
    <x v="3"/>
    <x v="0"/>
    <x v="0"/>
    <n v="50"/>
  </r>
  <r>
    <x v="30"/>
    <x v="0"/>
    <s v="B"/>
    <n v="19"/>
    <s v="Female"/>
    <n v="12"/>
    <x v="1"/>
    <s v="No"/>
    <s v="Veg"/>
    <x v="0"/>
    <x v="2"/>
    <x v="0"/>
    <x v="1"/>
    <n v="50"/>
  </r>
  <r>
    <x v="31"/>
    <x v="0"/>
    <s v="B"/>
    <n v="24"/>
    <s v="Female"/>
    <n v="11"/>
    <x v="1"/>
    <s v="No"/>
    <s v="Non-Veg"/>
    <x v="4"/>
    <x v="0"/>
    <x v="0"/>
    <x v="1"/>
    <n v="50"/>
  </r>
  <r>
    <x v="32"/>
    <x v="0"/>
    <s v="B"/>
    <n v="33"/>
    <s v="Male"/>
    <n v="12"/>
    <x v="0"/>
    <s v="No"/>
    <s v="Veg"/>
    <x v="2"/>
    <x v="3"/>
    <x v="0"/>
    <x v="0"/>
    <n v="50"/>
  </r>
  <r>
    <x v="33"/>
    <x v="0"/>
    <s v="B"/>
    <n v="55"/>
    <s v="Male"/>
    <n v="11"/>
    <x v="0"/>
    <s v="Yes"/>
    <s v="Veg"/>
    <x v="0"/>
    <x v="0"/>
    <x v="0"/>
    <x v="0"/>
    <n v="50"/>
  </r>
  <r>
    <x v="34"/>
    <x v="0"/>
    <s v="B"/>
    <n v="63"/>
    <s v="Female"/>
    <n v="12"/>
    <x v="0"/>
    <s v="No"/>
    <s v="Non-Veg"/>
    <x v="3"/>
    <x v="1"/>
    <x v="0"/>
    <x v="0"/>
    <n v="50"/>
  </r>
  <r>
    <x v="35"/>
    <x v="0"/>
    <s v="B"/>
    <n v="65"/>
    <s v="Male"/>
    <n v="12"/>
    <x v="0"/>
    <s v="Yes"/>
    <s v="Veg"/>
    <x v="0"/>
    <x v="0"/>
    <x v="0"/>
    <x v="0"/>
    <n v="50"/>
  </r>
  <r>
    <x v="36"/>
    <x v="0"/>
    <s v="B"/>
    <n v="76"/>
    <s v="Female"/>
    <n v="12"/>
    <x v="1"/>
    <s v="Yes"/>
    <s v="Non-Veg"/>
    <x v="4"/>
    <x v="3"/>
    <x v="0"/>
    <x v="1"/>
    <n v="50"/>
  </r>
  <r>
    <x v="37"/>
    <x v="0"/>
    <s v="B"/>
    <n v="85"/>
    <s v="Female"/>
    <n v="12"/>
    <x v="0"/>
    <s v="No"/>
    <s v="Veg"/>
    <x v="1"/>
    <x v="2"/>
    <x v="0"/>
    <x v="0"/>
    <n v="50"/>
  </r>
  <r>
    <x v="38"/>
    <x v="0"/>
    <s v="B"/>
    <n v="86"/>
    <s v="Male"/>
    <n v="11"/>
    <x v="1"/>
    <s v="Yes"/>
    <s v="Non-Veg"/>
    <x v="1"/>
    <x v="2"/>
    <x v="0"/>
    <x v="1"/>
    <n v="50"/>
  </r>
  <r>
    <x v="39"/>
    <x v="0"/>
    <s v="B"/>
    <n v="96"/>
    <s v="Male"/>
    <n v="11"/>
    <x v="0"/>
    <s v="No"/>
    <s v="Non-Veg"/>
    <x v="2"/>
    <x v="2"/>
    <x v="0"/>
    <x v="0"/>
    <n v="50"/>
  </r>
  <r>
    <x v="40"/>
    <x v="0"/>
    <s v="B"/>
    <n v="119"/>
    <s v="Female"/>
    <n v="12"/>
    <x v="1"/>
    <s v="Yes"/>
    <s v="Non-Veg"/>
    <x v="2"/>
    <x v="0"/>
    <x v="0"/>
    <x v="1"/>
    <n v="50"/>
  </r>
  <r>
    <x v="41"/>
    <x v="0"/>
    <s v="B"/>
    <n v="123"/>
    <s v="Male"/>
    <n v="11"/>
    <x v="0"/>
    <s v="No"/>
    <s v="Non-Veg"/>
    <x v="1"/>
    <x v="1"/>
    <x v="0"/>
    <x v="0"/>
    <n v="50"/>
  </r>
  <r>
    <x v="42"/>
    <x v="0"/>
    <s v="B"/>
    <n v="136"/>
    <s v="Female"/>
    <n v="12"/>
    <x v="1"/>
    <s v="Yes"/>
    <s v="Non-Veg"/>
    <x v="2"/>
    <x v="3"/>
    <x v="0"/>
    <x v="1"/>
    <n v="50"/>
  </r>
  <r>
    <x v="43"/>
    <x v="0"/>
    <s v="B"/>
    <n v="140"/>
    <s v="Female"/>
    <n v="11"/>
    <x v="0"/>
    <s v="No"/>
    <s v="Veg"/>
    <x v="0"/>
    <x v="1"/>
    <x v="0"/>
    <x v="0"/>
    <n v="50"/>
  </r>
  <r>
    <x v="44"/>
    <x v="0"/>
    <s v="B"/>
    <n v="141"/>
    <s v="Male"/>
    <n v="11"/>
    <x v="0"/>
    <s v="No"/>
    <s v="Veg"/>
    <x v="4"/>
    <x v="0"/>
    <x v="0"/>
    <x v="0"/>
    <n v="50"/>
  </r>
  <r>
    <x v="45"/>
    <x v="0"/>
    <s v="B"/>
    <n v="143"/>
    <s v="Male"/>
    <n v="11"/>
    <x v="1"/>
    <s v="Yes"/>
    <s v="Veg"/>
    <x v="0"/>
    <x v="0"/>
    <x v="0"/>
    <x v="1"/>
    <n v="50"/>
  </r>
  <r>
    <x v="46"/>
    <x v="0"/>
    <s v="B"/>
    <n v="169"/>
    <s v="Female"/>
    <n v="11"/>
    <x v="1"/>
    <s v="Yes"/>
    <s v="Non-Veg"/>
    <x v="2"/>
    <x v="2"/>
    <x v="0"/>
    <x v="1"/>
    <n v="50"/>
  </r>
  <r>
    <x v="47"/>
    <x v="0"/>
    <s v="B"/>
    <n v="173"/>
    <s v="Female"/>
    <n v="11"/>
    <x v="1"/>
    <s v="No"/>
    <s v="Non-Veg"/>
    <x v="1"/>
    <x v="3"/>
    <x v="0"/>
    <x v="1"/>
    <n v="50"/>
  </r>
  <r>
    <x v="48"/>
    <x v="0"/>
    <s v="B"/>
    <n v="180"/>
    <s v="Male"/>
    <n v="11"/>
    <x v="0"/>
    <s v="No"/>
    <s v="Non-Veg"/>
    <x v="0"/>
    <x v="1"/>
    <x v="0"/>
    <x v="0"/>
    <n v="50"/>
  </r>
  <r>
    <x v="49"/>
    <x v="0"/>
    <s v="B"/>
    <n v="191"/>
    <s v="Female"/>
    <n v="12"/>
    <x v="1"/>
    <s v="Yes"/>
    <s v="Non-Veg"/>
    <x v="2"/>
    <x v="2"/>
    <x v="0"/>
    <x v="1"/>
    <n v="50"/>
  </r>
  <r>
    <x v="50"/>
    <x v="0"/>
    <s v="B"/>
    <n v="192"/>
    <s v="Female"/>
    <n v="12"/>
    <x v="0"/>
    <s v="Yes"/>
    <s v="Veg"/>
    <x v="0"/>
    <x v="2"/>
    <x v="0"/>
    <x v="0"/>
    <n v="50"/>
  </r>
  <r>
    <x v="51"/>
    <x v="0"/>
    <s v="B"/>
    <n v="193"/>
    <s v="Female"/>
    <n v="11"/>
    <x v="0"/>
    <s v="No"/>
    <s v="Veg"/>
    <x v="0"/>
    <x v="0"/>
    <x v="0"/>
    <x v="0"/>
    <n v="50"/>
  </r>
  <r>
    <x v="52"/>
    <x v="0"/>
    <s v="B"/>
    <n v="197"/>
    <s v="Female"/>
    <n v="11"/>
    <x v="1"/>
    <s v="No"/>
    <s v="Veg"/>
    <x v="0"/>
    <x v="3"/>
    <x v="0"/>
    <x v="1"/>
    <n v="50"/>
  </r>
  <r>
    <x v="53"/>
    <x v="0"/>
    <s v="C"/>
    <n v="2"/>
    <s v="Female"/>
    <n v="11"/>
    <x v="0"/>
    <s v="Yes"/>
    <s v="Veg"/>
    <x v="1"/>
    <x v="0"/>
    <x v="0"/>
    <x v="0"/>
    <n v="50"/>
  </r>
  <r>
    <x v="54"/>
    <x v="0"/>
    <s v="C"/>
    <n v="5"/>
    <s v="Male"/>
    <n v="11"/>
    <x v="0"/>
    <s v="No"/>
    <s v="Veg"/>
    <x v="0"/>
    <x v="0"/>
    <x v="0"/>
    <x v="0"/>
    <n v="50"/>
  </r>
  <r>
    <x v="55"/>
    <x v="0"/>
    <s v="C"/>
    <n v="10"/>
    <s v="Male"/>
    <n v="11"/>
    <x v="1"/>
    <s v="Yes"/>
    <s v="Veg"/>
    <x v="1"/>
    <x v="3"/>
    <x v="0"/>
    <x v="1"/>
    <n v="50"/>
  </r>
  <r>
    <x v="56"/>
    <x v="0"/>
    <s v="C"/>
    <n v="45"/>
    <s v="Female"/>
    <n v="12"/>
    <x v="1"/>
    <s v="No"/>
    <s v="Veg"/>
    <x v="2"/>
    <x v="1"/>
    <x v="0"/>
    <x v="1"/>
    <n v="50"/>
  </r>
  <r>
    <x v="57"/>
    <x v="0"/>
    <s v="C"/>
    <n v="67"/>
    <s v="Female"/>
    <n v="11"/>
    <x v="1"/>
    <s v="No"/>
    <s v="Non-Veg"/>
    <x v="1"/>
    <x v="3"/>
    <x v="0"/>
    <x v="1"/>
    <n v="50"/>
  </r>
  <r>
    <x v="58"/>
    <x v="0"/>
    <s v="C"/>
    <n v="68"/>
    <s v="Male"/>
    <n v="11"/>
    <x v="1"/>
    <s v="No"/>
    <s v="Non-Veg"/>
    <x v="1"/>
    <x v="0"/>
    <x v="0"/>
    <x v="1"/>
    <n v="50"/>
  </r>
  <r>
    <x v="59"/>
    <x v="0"/>
    <s v="C"/>
    <n v="73"/>
    <s v="Female"/>
    <n v="11"/>
    <x v="0"/>
    <s v="Yes"/>
    <s v="Non-Veg"/>
    <x v="1"/>
    <x v="2"/>
    <x v="0"/>
    <x v="0"/>
    <n v="50"/>
  </r>
  <r>
    <x v="60"/>
    <x v="0"/>
    <s v="C"/>
    <n v="84"/>
    <s v="Male"/>
    <n v="12"/>
    <x v="0"/>
    <s v="Yes"/>
    <s v="Veg"/>
    <x v="1"/>
    <x v="0"/>
    <x v="0"/>
    <x v="0"/>
    <n v="50"/>
  </r>
  <r>
    <x v="61"/>
    <x v="0"/>
    <s v="C"/>
    <n v="88"/>
    <s v="Female"/>
    <n v="12"/>
    <x v="1"/>
    <s v="Yes"/>
    <s v="Veg"/>
    <x v="1"/>
    <x v="0"/>
    <x v="0"/>
    <x v="1"/>
    <n v="50"/>
  </r>
  <r>
    <x v="62"/>
    <x v="0"/>
    <s v="C"/>
    <n v="112"/>
    <s v="Male"/>
    <n v="11"/>
    <x v="0"/>
    <s v="No"/>
    <s v="Veg"/>
    <x v="2"/>
    <x v="2"/>
    <x v="0"/>
    <x v="0"/>
    <n v="50"/>
  </r>
  <r>
    <x v="63"/>
    <x v="0"/>
    <s v="C"/>
    <n v="117"/>
    <s v="Male"/>
    <n v="12"/>
    <x v="1"/>
    <s v="No"/>
    <s v="Veg"/>
    <x v="3"/>
    <x v="0"/>
    <x v="0"/>
    <x v="1"/>
    <n v="50"/>
  </r>
  <r>
    <x v="64"/>
    <x v="0"/>
    <s v="C"/>
    <n v="133"/>
    <s v="Male"/>
    <n v="12"/>
    <x v="0"/>
    <s v="No"/>
    <s v="Veg"/>
    <x v="1"/>
    <x v="0"/>
    <x v="0"/>
    <x v="0"/>
    <n v="50"/>
  </r>
  <r>
    <x v="65"/>
    <x v="0"/>
    <s v="C"/>
    <n v="137"/>
    <s v="Male"/>
    <n v="11"/>
    <x v="1"/>
    <s v="No"/>
    <s v="Veg"/>
    <x v="2"/>
    <x v="3"/>
    <x v="0"/>
    <x v="1"/>
    <n v="50"/>
  </r>
  <r>
    <x v="66"/>
    <x v="0"/>
    <s v="C"/>
    <n v="147"/>
    <s v="Female"/>
    <n v="12"/>
    <x v="0"/>
    <s v="No"/>
    <s v="Veg"/>
    <x v="2"/>
    <x v="2"/>
    <x v="0"/>
    <x v="0"/>
    <n v="50"/>
  </r>
  <r>
    <x v="67"/>
    <x v="0"/>
    <s v="C"/>
    <n v="153"/>
    <s v="Male"/>
    <n v="12"/>
    <x v="0"/>
    <s v="No"/>
    <s v="Non-Veg"/>
    <x v="1"/>
    <x v="0"/>
    <x v="0"/>
    <x v="0"/>
    <n v="50"/>
  </r>
  <r>
    <x v="68"/>
    <x v="0"/>
    <s v="C"/>
    <n v="161"/>
    <s v="Female"/>
    <n v="11"/>
    <x v="1"/>
    <s v="Yes"/>
    <s v="Veg"/>
    <x v="4"/>
    <x v="2"/>
    <x v="0"/>
    <x v="1"/>
    <n v="50"/>
  </r>
  <r>
    <x v="69"/>
    <x v="0"/>
    <s v="C"/>
    <n v="164"/>
    <s v="Female"/>
    <n v="12"/>
    <x v="1"/>
    <s v="Yes"/>
    <s v="Veg"/>
    <x v="2"/>
    <x v="0"/>
    <x v="0"/>
    <x v="1"/>
    <n v="50"/>
  </r>
  <r>
    <x v="70"/>
    <x v="0"/>
    <s v="C"/>
    <n v="171"/>
    <s v="Male"/>
    <n v="11"/>
    <x v="1"/>
    <s v="Yes"/>
    <s v="Veg"/>
    <x v="4"/>
    <x v="1"/>
    <x v="0"/>
    <x v="1"/>
    <n v="50"/>
  </r>
  <r>
    <x v="71"/>
    <x v="0"/>
    <s v="C"/>
    <n v="178"/>
    <s v="Male"/>
    <n v="12"/>
    <x v="1"/>
    <s v="Yes"/>
    <s v="Non-Veg"/>
    <x v="1"/>
    <x v="1"/>
    <x v="0"/>
    <x v="1"/>
    <n v="50"/>
  </r>
  <r>
    <x v="72"/>
    <x v="0"/>
    <s v="C"/>
    <n v="195"/>
    <s v="Male"/>
    <n v="12"/>
    <x v="1"/>
    <s v="Yes"/>
    <s v="Veg"/>
    <x v="1"/>
    <x v="1"/>
    <x v="0"/>
    <x v="1"/>
    <n v="50"/>
  </r>
  <r>
    <x v="73"/>
    <x v="0"/>
    <s v="C"/>
    <n v="199"/>
    <s v="Female"/>
    <n v="12"/>
    <x v="1"/>
    <s v="Yes"/>
    <s v="Non-Veg"/>
    <x v="3"/>
    <x v="0"/>
    <x v="0"/>
    <x v="1"/>
    <n v="50"/>
  </r>
  <r>
    <x v="74"/>
    <x v="0"/>
    <s v="D"/>
    <n v="3"/>
    <s v="Male"/>
    <n v="11"/>
    <x v="0"/>
    <s v="Yes"/>
    <s v="Non-Veg"/>
    <x v="4"/>
    <x v="0"/>
    <x v="0"/>
    <x v="0"/>
    <n v="50"/>
  </r>
  <r>
    <x v="75"/>
    <x v="0"/>
    <s v="D"/>
    <n v="4"/>
    <s v="Male"/>
    <n v="12"/>
    <x v="0"/>
    <s v="Yes"/>
    <s v="Veg"/>
    <x v="1"/>
    <x v="0"/>
    <x v="0"/>
    <x v="0"/>
    <n v="50"/>
  </r>
  <r>
    <x v="76"/>
    <x v="0"/>
    <s v="D"/>
    <n v="17"/>
    <s v="Male"/>
    <n v="11"/>
    <x v="1"/>
    <s v="No"/>
    <s v="Non-Veg"/>
    <x v="4"/>
    <x v="3"/>
    <x v="0"/>
    <x v="1"/>
    <n v="50"/>
  </r>
  <r>
    <x v="77"/>
    <x v="0"/>
    <s v="D"/>
    <n v="27"/>
    <s v="Female"/>
    <n v="12"/>
    <x v="1"/>
    <s v="Yes"/>
    <s v="Non-Veg"/>
    <x v="0"/>
    <x v="1"/>
    <x v="0"/>
    <x v="1"/>
    <n v="50"/>
  </r>
  <r>
    <x v="78"/>
    <x v="0"/>
    <s v="D"/>
    <n v="35"/>
    <s v="Male"/>
    <n v="11"/>
    <x v="1"/>
    <s v="Yes"/>
    <s v="Veg"/>
    <x v="2"/>
    <x v="3"/>
    <x v="0"/>
    <x v="1"/>
    <n v="50"/>
  </r>
  <r>
    <x v="79"/>
    <x v="0"/>
    <s v="D"/>
    <n v="54"/>
    <s v="Male"/>
    <n v="12"/>
    <x v="0"/>
    <s v="Yes"/>
    <s v="Non-Veg"/>
    <x v="3"/>
    <x v="0"/>
    <x v="0"/>
    <x v="0"/>
    <n v="50"/>
  </r>
  <r>
    <x v="80"/>
    <x v="0"/>
    <s v="D"/>
    <n v="60"/>
    <s v="Female"/>
    <n v="11"/>
    <x v="0"/>
    <s v="Yes"/>
    <s v="Non-Veg"/>
    <x v="0"/>
    <x v="0"/>
    <x v="0"/>
    <x v="0"/>
    <n v="50"/>
  </r>
  <r>
    <x v="81"/>
    <x v="0"/>
    <s v="D"/>
    <n v="66"/>
    <s v="Female"/>
    <n v="12"/>
    <x v="1"/>
    <s v="No"/>
    <s v="Non-Veg"/>
    <x v="1"/>
    <x v="0"/>
    <x v="0"/>
    <x v="1"/>
    <n v="50"/>
  </r>
  <r>
    <x v="82"/>
    <x v="0"/>
    <s v="D"/>
    <n v="70"/>
    <s v="Female"/>
    <n v="11"/>
    <x v="0"/>
    <s v="Yes"/>
    <s v="Veg"/>
    <x v="3"/>
    <x v="1"/>
    <x v="0"/>
    <x v="0"/>
    <n v="50"/>
  </r>
  <r>
    <x v="83"/>
    <x v="0"/>
    <s v="D"/>
    <n v="74"/>
    <s v="Male"/>
    <n v="11"/>
    <x v="0"/>
    <s v="Yes"/>
    <s v="Non-Veg"/>
    <x v="1"/>
    <x v="3"/>
    <x v="0"/>
    <x v="0"/>
    <n v="50"/>
  </r>
  <r>
    <x v="84"/>
    <x v="0"/>
    <s v="D"/>
    <n v="80"/>
    <s v="Female"/>
    <n v="12"/>
    <x v="0"/>
    <s v="Yes"/>
    <s v="Non-Veg"/>
    <x v="0"/>
    <x v="3"/>
    <x v="0"/>
    <x v="0"/>
    <n v="50"/>
  </r>
  <r>
    <x v="85"/>
    <x v="0"/>
    <s v="D"/>
    <n v="83"/>
    <s v="Female"/>
    <n v="12"/>
    <x v="1"/>
    <s v="Yes"/>
    <s v="Non-Veg"/>
    <x v="0"/>
    <x v="0"/>
    <x v="0"/>
    <x v="1"/>
    <n v="50"/>
  </r>
  <r>
    <x v="86"/>
    <x v="0"/>
    <s v="D"/>
    <n v="91"/>
    <s v="Male"/>
    <n v="12"/>
    <x v="0"/>
    <s v="No"/>
    <s v="Veg"/>
    <x v="2"/>
    <x v="0"/>
    <x v="0"/>
    <x v="0"/>
    <n v="50"/>
  </r>
  <r>
    <x v="87"/>
    <x v="0"/>
    <s v="D"/>
    <n v="92"/>
    <s v="Female"/>
    <n v="11"/>
    <x v="0"/>
    <s v="Yes"/>
    <s v="Veg"/>
    <x v="1"/>
    <x v="0"/>
    <x v="0"/>
    <x v="0"/>
    <n v="50"/>
  </r>
  <r>
    <x v="88"/>
    <x v="0"/>
    <s v="D"/>
    <n v="115"/>
    <s v="Female"/>
    <n v="12"/>
    <x v="1"/>
    <s v="Yes"/>
    <s v="Veg"/>
    <x v="0"/>
    <x v="2"/>
    <x v="0"/>
    <x v="1"/>
    <n v="50"/>
  </r>
  <r>
    <x v="89"/>
    <x v="0"/>
    <s v="D"/>
    <n v="118"/>
    <s v="Female"/>
    <n v="12"/>
    <x v="1"/>
    <s v="No"/>
    <s v="Veg"/>
    <x v="0"/>
    <x v="0"/>
    <x v="0"/>
    <x v="1"/>
    <n v="50"/>
  </r>
  <r>
    <x v="90"/>
    <x v="0"/>
    <s v="D"/>
    <n v="120"/>
    <s v="Male"/>
    <n v="11"/>
    <x v="1"/>
    <s v="No"/>
    <s v="Non-Veg"/>
    <x v="1"/>
    <x v="2"/>
    <x v="0"/>
    <x v="1"/>
    <n v="50"/>
  </r>
  <r>
    <x v="91"/>
    <x v="0"/>
    <s v="D"/>
    <n v="121"/>
    <s v="Female"/>
    <n v="12"/>
    <x v="1"/>
    <s v="Yes"/>
    <s v="Veg"/>
    <x v="4"/>
    <x v="0"/>
    <x v="0"/>
    <x v="1"/>
    <n v="50"/>
  </r>
  <r>
    <x v="92"/>
    <x v="0"/>
    <s v="D"/>
    <n v="124"/>
    <s v="Female"/>
    <n v="12"/>
    <x v="0"/>
    <s v="No"/>
    <s v="Veg"/>
    <x v="3"/>
    <x v="0"/>
    <x v="0"/>
    <x v="0"/>
    <n v="50"/>
  </r>
  <r>
    <x v="93"/>
    <x v="0"/>
    <s v="D"/>
    <n v="130"/>
    <s v="Female"/>
    <n v="11"/>
    <x v="1"/>
    <s v="Yes"/>
    <s v="Veg"/>
    <x v="3"/>
    <x v="0"/>
    <x v="0"/>
    <x v="1"/>
    <n v="50"/>
  </r>
  <r>
    <x v="94"/>
    <x v="0"/>
    <s v="D"/>
    <n v="134"/>
    <s v="Male"/>
    <n v="12"/>
    <x v="0"/>
    <s v="Yes"/>
    <s v="Veg"/>
    <x v="2"/>
    <x v="2"/>
    <x v="0"/>
    <x v="0"/>
    <n v="50"/>
  </r>
  <r>
    <x v="95"/>
    <x v="0"/>
    <s v="D"/>
    <n v="142"/>
    <s v="Male"/>
    <n v="11"/>
    <x v="1"/>
    <s v="No"/>
    <s v="Non-Veg"/>
    <x v="1"/>
    <x v="0"/>
    <x v="0"/>
    <x v="1"/>
    <n v="50"/>
  </r>
  <r>
    <x v="96"/>
    <x v="0"/>
    <s v="D"/>
    <n v="151"/>
    <s v="Female"/>
    <n v="11"/>
    <x v="1"/>
    <s v="No"/>
    <s v="Non-Veg"/>
    <x v="1"/>
    <x v="3"/>
    <x v="0"/>
    <x v="1"/>
    <n v="50"/>
  </r>
  <r>
    <x v="97"/>
    <x v="0"/>
    <s v="D"/>
    <n v="152"/>
    <s v="Male"/>
    <n v="11"/>
    <x v="1"/>
    <s v="No"/>
    <s v="Veg"/>
    <x v="3"/>
    <x v="3"/>
    <x v="0"/>
    <x v="1"/>
    <n v="50"/>
  </r>
  <r>
    <x v="98"/>
    <x v="0"/>
    <s v="D"/>
    <n v="174"/>
    <s v="Male"/>
    <n v="11"/>
    <x v="1"/>
    <s v="Yes"/>
    <s v="Veg"/>
    <x v="1"/>
    <x v="2"/>
    <x v="0"/>
    <x v="1"/>
    <n v="50"/>
  </r>
  <r>
    <x v="99"/>
    <x v="0"/>
    <s v="D"/>
    <n v="179"/>
    <s v="Female"/>
    <n v="12"/>
    <x v="1"/>
    <s v="No"/>
    <s v="Non-Veg"/>
    <x v="2"/>
    <x v="3"/>
    <x v="0"/>
    <x v="1"/>
    <n v="50"/>
  </r>
  <r>
    <x v="100"/>
    <x v="0"/>
    <s v="D"/>
    <n v="182"/>
    <s v="Female"/>
    <n v="11"/>
    <x v="0"/>
    <s v="No"/>
    <s v="Veg"/>
    <x v="3"/>
    <x v="1"/>
    <x v="0"/>
    <x v="0"/>
    <n v="50"/>
  </r>
  <r>
    <x v="101"/>
    <x v="0"/>
    <s v="D"/>
    <n v="183"/>
    <s v="Male"/>
    <n v="11"/>
    <x v="0"/>
    <s v="No"/>
    <s v="Veg"/>
    <x v="0"/>
    <x v="2"/>
    <x v="0"/>
    <x v="0"/>
    <n v="50"/>
  </r>
  <r>
    <x v="102"/>
    <x v="0"/>
    <s v="D"/>
    <n v="184"/>
    <s v="Male"/>
    <n v="12"/>
    <x v="1"/>
    <s v="Yes"/>
    <s v="Non-Veg"/>
    <x v="0"/>
    <x v="3"/>
    <x v="0"/>
    <x v="1"/>
    <n v="50"/>
  </r>
  <r>
    <x v="95"/>
    <x v="0"/>
    <s v="D"/>
    <n v="187"/>
    <s v="Male"/>
    <n v="11"/>
    <x v="1"/>
    <s v="No"/>
    <s v="Veg"/>
    <x v="4"/>
    <x v="0"/>
    <x v="0"/>
    <x v="1"/>
    <n v="50"/>
  </r>
  <r>
    <x v="103"/>
    <x v="0"/>
    <s v="D"/>
    <n v="189"/>
    <s v="Male"/>
    <n v="12"/>
    <x v="1"/>
    <s v="Yes"/>
    <s v="Non-Veg"/>
    <x v="0"/>
    <x v="0"/>
    <x v="0"/>
    <x v="1"/>
    <n v="50"/>
  </r>
  <r>
    <x v="104"/>
    <x v="0"/>
    <s v="D"/>
    <n v="190"/>
    <s v="Female"/>
    <n v="12"/>
    <x v="1"/>
    <s v="Yes"/>
    <s v="Non-Veg"/>
    <x v="1"/>
    <x v="0"/>
    <x v="0"/>
    <x v="1"/>
    <n v="50"/>
  </r>
  <r>
    <x v="105"/>
    <x v="1"/>
    <s v="A"/>
    <n v="2"/>
    <s v="Male"/>
    <n v="13"/>
    <x v="0"/>
    <s v="Yes"/>
    <s v="Veg"/>
    <x v="1"/>
    <x v="3"/>
    <x v="0"/>
    <x v="0"/>
    <n v="60"/>
  </r>
  <r>
    <x v="106"/>
    <x v="1"/>
    <s v="A"/>
    <n v="11"/>
    <s v="Male"/>
    <n v="12"/>
    <x v="1"/>
    <s v="Yes"/>
    <s v="Non-Veg"/>
    <x v="0"/>
    <x v="0"/>
    <x v="0"/>
    <x v="1"/>
    <n v="60"/>
  </r>
  <r>
    <x v="107"/>
    <x v="1"/>
    <s v="A"/>
    <n v="12"/>
    <s v="Male"/>
    <n v="12"/>
    <x v="0"/>
    <s v="No"/>
    <s v="Veg"/>
    <x v="1"/>
    <x v="0"/>
    <x v="0"/>
    <x v="0"/>
    <n v="60"/>
  </r>
  <r>
    <x v="108"/>
    <x v="1"/>
    <s v="A"/>
    <n v="18"/>
    <s v="Male"/>
    <n v="12"/>
    <x v="1"/>
    <s v="Yes"/>
    <s v="Veg"/>
    <x v="4"/>
    <x v="2"/>
    <x v="0"/>
    <x v="1"/>
    <n v="60"/>
  </r>
  <r>
    <x v="109"/>
    <x v="1"/>
    <s v="A"/>
    <n v="25"/>
    <s v="Female"/>
    <n v="13"/>
    <x v="1"/>
    <s v="Yes"/>
    <s v="Veg"/>
    <x v="1"/>
    <x v="2"/>
    <x v="0"/>
    <x v="1"/>
    <n v="60"/>
  </r>
  <r>
    <x v="110"/>
    <x v="1"/>
    <s v="A"/>
    <n v="28"/>
    <s v="Male"/>
    <n v="12"/>
    <x v="0"/>
    <s v="No"/>
    <s v="Veg"/>
    <x v="0"/>
    <x v="2"/>
    <x v="0"/>
    <x v="0"/>
    <n v="60"/>
  </r>
  <r>
    <x v="111"/>
    <x v="1"/>
    <s v="A"/>
    <n v="31"/>
    <s v="Male"/>
    <n v="12"/>
    <x v="0"/>
    <s v="No"/>
    <s v="Non-Veg"/>
    <x v="4"/>
    <x v="3"/>
    <x v="0"/>
    <x v="0"/>
    <n v="60"/>
  </r>
  <r>
    <x v="112"/>
    <x v="1"/>
    <s v="A"/>
    <n v="32"/>
    <s v="Male"/>
    <n v="12"/>
    <x v="1"/>
    <s v="Yes"/>
    <s v="Non-Veg"/>
    <x v="3"/>
    <x v="0"/>
    <x v="0"/>
    <x v="1"/>
    <n v="60"/>
  </r>
  <r>
    <x v="113"/>
    <x v="1"/>
    <s v="A"/>
    <n v="33"/>
    <s v="Male"/>
    <n v="13"/>
    <x v="1"/>
    <s v="Yes"/>
    <s v="Non-Veg"/>
    <x v="2"/>
    <x v="0"/>
    <x v="0"/>
    <x v="1"/>
    <n v="60"/>
  </r>
  <r>
    <x v="114"/>
    <x v="1"/>
    <s v="A"/>
    <n v="40"/>
    <s v="Female"/>
    <n v="13"/>
    <x v="1"/>
    <s v="No"/>
    <s v="Veg"/>
    <x v="4"/>
    <x v="0"/>
    <x v="0"/>
    <x v="1"/>
    <n v="60"/>
  </r>
  <r>
    <x v="115"/>
    <x v="1"/>
    <s v="A"/>
    <n v="44"/>
    <s v="Female"/>
    <n v="13"/>
    <x v="0"/>
    <s v="Yes"/>
    <s v="Veg"/>
    <x v="2"/>
    <x v="0"/>
    <x v="0"/>
    <x v="0"/>
    <n v="60"/>
  </r>
  <r>
    <x v="116"/>
    <x v="1"/>
    <s v="A"/>
    <n v="45"/>
    <s v="Male"/>
    <n v="13"/>
    <x v="1"/>
    <s v="Yes"/>
    <s v="Veg"/>
    <x v="0"/>
    <x v="0"/>
    <x v="0"/>
    <x v="1"/>
    <n v="60"/>
  </r>
  <r>
    <x v="117"/>
    <x v="1"/>
    <s v="A"/>
    <n v="61"/>
    <s v="Female"/>
    <n v="13"/>
    <x v="1"/>
    <s v="Yes"/>
    <s v="Non-Veg"/>
    <x v="3"/>
    <x v="2"/>
    <x v="0"/>
    <x v="1"/>
    <n v="60"/>
  </r>
  <r>
    <x v="118"/>
    <x v="1"/>
    <s v="A"/>
    <n v="75"/>
    <s v="Male"/>
    <n v="12"/>
    <x v="1"/>
    <s v="Yes"/>
    <s v="Non-Veg"/>
    <x v="1"/>
    <x v="1"/>
    <x v="0"/>
    <x v="1"/>
    <n v="60"/>
  </r>
  <r>
    <x v="119"/>
    <x v="1"/>
    <s v="A"/>
    <n v="87"/>
    <s v="Female"/>
    <n v="13"/>
    <x v="1"/>
    <s v="Yes"/>
    <s v="Non-Veg"/>
    <x v="1"/>
    <x v="2"/>
    <x v="0"/>
    <x v="1"/>
    <n v="60"/>
  </r>
  <r>
    <x v="120"/>
    <x v="1"/>
    <s v="A"/>
    <n v="92"/>
    <s v="Male"/>
    <n v="13"/>
    <x v="1"/>
    <s v="No"/>
    <s v="Veg"/>
    <x v="0"/>
    <x v="1"/>
    <x v="0"/>
    <x v="1"/>
    <n v="60"/>
  </r>
  <r>
    <x v="121"/>
    <x v="1"/>
    <s v="A"/>
    <n v="95"/>
    <s v="Male"/>
    <n v="13"/>
    <x v="0"/>
    <s v="No"/>
    <s v="Veg"/>
    <x v="1"/>
    <x v="3"/>
    <x v="0"/>
    <x v="0"/>
    <n v="60"/>
  </r>
  <r>
    <x v="122"/>
    <x v="1"/>
    <s v="A"/>
    <n v="107"/>
    <s v="Male"/>
    <n v="12"/>
    <x v="0"/>
    <s v="Yes"/>
    <s v="Veg"/>
    <x v="1"/>
    <x v="1"/>
    <x v="0"/>
    <x v="0"/>
    <n v="60"/>
  </r>
  <r>
    <x v="123"/>
    <x v="1"/>
    <s v="A"/>
    <n v="110"/>
    <s v="Female"/>
    <n v="13"/>
    <x v="0"/>
    <s v="No"/>
    <s v="Veg"/>
    <x v="0"/>
    <x v="0"/>
    <x v="0"/>
    <x v="0"/>
    <n v="60"/>
  </r>
  <r>
    <x v="124"/>
    <x v="1"/>
    <s v="A"/>
    <n v="111"/>
    <s v="Male"/>
    <n v="13"/>
    <x v="1"/>
    <s v="No"/>
    <s v="Veg"/>
    <x v="0"/>
    <x v="2"/>
    <x v="0"/>
    <x v="1"/>
    <n v="60"/>
  </r>
  <r>
    <x v="125"/>
    <x v="1"/>
    <s v="A"/>
    <n v="112"/>
    <s v="Female"/>
    <n v="12"/>
    <x v="1"/>
    <s v="No"/>
    <s v="Veg"/>
    <x v="1"/>
    <x v="0"/>
    <x v="0"/>
    <x v="1"/>
    <n v="60"/>
  </r>
  <r>
    <x v="126"/>
    <x v="1"/>
    <s v="A"/>
    <n v="119"/>
    <s v="Male"/>
    <n v="13"/>
    <x v="1"/>
    <s v="Yes"/>
    <s v="Non-Veg"/>
    <x v="3"/>
    <x v="0"/>
    <x v="0"/>
    <x v="1"/>
    <n v="60"/>
  </r>
  <r>
    <x v="127"/>
    <x v="1"/>
    <s v="A"/>
    <n v="134"/>
    <s v="Female"/>
    <n v="13"/>
    <x v="0"/>
    <s v="Yes"/>
    <s v="Veg"/>
    <x v="2"/>
    <x v="1"/>
    <x v="0"/>
    <x v="0"/>
    <n v="60"/>
  </r>
  <r>
    <x v="128"/>
    <x v="1"/>
    <s v="A"/>
    <n v="147"/>
    <s v="Male"/>
    <n v="12"/>
    <x v="1"/>
    <s v="Yes"/>
    <s v="Non-Veg"/>
    <x v="2"/>
    <x v="2"/>
    <x v="0"/>
    <x v="1"/>
    <n v="60"/>
  </r>
  <r>
    <x v="129"/>
    <x v="1"/>
    <s v="A"/>
    <n v="155"/>
    <s v="Male"/>
    <n v="12"/>
    <x v="1"/>
    <s v="Yes"/>
    <s v="Non-Veg"/>
    <x v="2"/>
    <x v="1"/>
    <x v="0"/>
    <x v="1"/>
    <n v="60"/>
  </r>
  <r>
    <x v="130"/>
    <x v="1"/>
    <s v="A"/>
    <n v="156"/>
    <s v="Male"/>
    <n v="13"/>
    <x v="1"/>
    <s v="Yes"/>
    <s v="Non-Veg"/>
    <x v="1"/>
    <x v="0"/>
    <x v="0"/>
    <x v="1"/>
    <n v="60"/>
  </r>
  <r>
    <x v="131"/>
    <x v="1"/>
    <s v="A"/>
    <n v="164"/>
    <s v="Male"/>
    <n v="13"/>
    <x v="1"/>
    <s v="Yes"/>
    <s v="Veg"/>
    <x v="1"/>
    <x v="3"/>
    <x v="0"/>
    <x v="1"/>
    <n v="60"/>
  </r>
  <r>
    <x v="132"/>
    <x v="1"/>
    <s v="A"/>
    <n v="168"/>
    <s v="Male"/>
    <n v="13"/>
    <x v="0"/>
    <s v="No"/>
    <s v="Veg"/>
    <x v="3"/>
    <x v="0"/>
    <x v="0"/>
    <x v="0"/>
    <n v="60"/>
  </r>
  <r>
    <x v="133"/>
    <x v="1"/>
    <s v="A"/>
    <n v="169"/>
    <s v="Male"/>
    <n v="12"/>
    <x v="1"/>
    <s v="Yes"/>
    <s v="Veg"/>
    <x v="1"/>
    <x v="0"/>
    <x v="0"/>
    <x v="1"/>
    <n v="60"/>
  </r>
  <r>
    <x v="134"/>
    <x v="1"/>
    <s v="A"/>
    <n v="170"/>
    <s v="Female"/>
    <n v="13"/>
    <x v="1"/>
    <s v="No"/>
    <s v="Non-Veg"/>
    <x v="0"/>
    <x v="3"/>
    <x v="0"/>
    <x v="1"/>
    <n v="60"/>
  </r>
  <r>
    <x v="135"/>
    <x v="1"/>
    <s v="A"/>
    <n v="172"/>
    <s v="Male"/>
    <n v="12"/>
    <x v="1"/>
    <s v="Yes"/>
    <s v="Non-Veg"/>
    <x v="2"/>
    <x v="3"/>
    <x v="0"/>
    <x v="1"/>
    <n v="60"/>
  </r>
  <r>
    <x v="136"/>
    <x v="1"/>
    <s v="A"/>
    <n v="177"/>
    <s v="Female"/>
    <n v="12"/>
    <x v="0"/>
    <s v="Yes"/>
    <s v="Non-Veg"/>
    <x v="3"/>
    <x v="0"/>
    <x v="0"/>
    <x v="0"/>
    <n v="60"/>
  </r>
  <r>
    <x v="137"/>
    <x v="1"/>
    <s v="A"/>
    <n v="187"/>
    <s v="Male"/>
    <n v="12"/>
    <x v="1"/>
    <s v="No"/>
    <s v="Non-Veg"/>
    <x v="3"/>
    <x v="3"/>
    <x v="0"/>
    <x v="1"/>
    <n v="60"/>
  </r>
  <r>
    <x v="138"/>
    <x v="1"/>
    <s v="A"/>
    <n v="190"/>
    <s v="Female"/>
    <n v="13"/>
    <x v="1"/>
    <s v="No"/>
    <s v="Non-Veg"/>
    <x v="3"/>
    <x v="3"/>
    <x v="0"/>
    <x v="1"/>
    <n v="60"/>
  </r>
  <r>
    <x v="139"/>
    <x v="1"/>
    <s v="B"/>
    <n v="14"/>
    <s v="Male"/>
    <n v="13"/>
    <x v="1"/>
    <s v="Yes"/>
    <s v="Veg"/>
    <x v="1"/>
    <x v="0"/>
    <x v="0"/>
    <x v="1"/>
    <n v="60"/>
  </r>
  <r>
    <x v="140"/>
    <x v="1"/>
    <s v="B"/>
    <n v="17"/>
    <s v="Male"/>
    <n v="12"/>
    <x v="1"/>
    <s v="No"/>
    <s v="Non-Veg"/>
    <x v="3"/>
    <x v="0"/>
    <x v="0"/>
    <x v="1"/>
    <n v="60"/>
  </r>
  <r>
    <x v="141"/>
    <x v="1"/>
    <s v="B"/>
    <n v="36"/>
    <s v="Male"/>
    <n v="13"/>
    <x v="1"/>
    <s v="Yes"/>
    <s v="Non-Veg"/>
    <x v="0"/>
    <x v="3"/>
    <x v="0"/>
    <x v="1"/>
    <n v="60"/>
  </r>
  <r>
    <x v="142"/>
    <x v="1"/>
    <s v="B"/>
    <n v="37"/>
    <s v="Female"/>
    <n v="13"/>
    <x v="0"/>
    <s v="Yes"/>
    <s v="Non-Veg"/>
    <x v="1"/>
    <x v="0"/>
    <x v="0"/>
    <x v="0"/>
    <n v="60"/>
  </r>
  <r>
    <x v="143"/>
    <x v="1"/>
    <s v="B"/>
    <n v="38"/>
    <s v="Female"/>
    <n v="12"/>
    <x v="1"/>
    <s v="No"/>
    <s v="Non-Veg"/>
    <x v="1"/>
    <x v="0"/>
    <x v="0"/>
    <x v="1"/>
    <n v="60"/>
  </r>
  <r>
    <x v="144"/>
    <x v="1"/>
    <s v="B"/>
    <n v="48"/>
    <s v="Female"/>
    <n v="12"/>
    <x v="0"/>
    <s v="No"/>
    <s v="Non-Veg"/>
    <x v="1"/>
    <x v="0"/>
    <x v="0"/>
    <x v="0"/>
    <n v="60"/>
  </r>
  <r>
    <x v="145"/>
    <x v="1"/>
    <s v="B"/>
    <n v="49"/>
    <s v="Female"/>
    <n v="12"/>
    <x v="1"/>
    <s v="No"/>
    <s v="Non-Veg"/>
    <x v="3"/>
    <x v="1"/>
    <x v="0"/>
    <x v="1"/>
    <n v="60"/>
  </r>
  <r>
    <x v="146"/>
    <x v="1"/>
    <s v="B"/>
    <n v="50"/>
    <s v="Female"/>
    <n v="12"/>
    <x v="0"/>
    <s v="No"/>
    <s v="Non-Veg"/>
    <x v="2"/>
    <x v="2"/>
    <x v="0"/>
    <x v="0"/>
    <n v="60"/>
  </r>
  <r>
    <x v="147"/>
    <x v="1"/>
    <s v="B"/>
    <n v="55"/>
    <s v="Female"/>
    <n v="12"/>
    <x v="1"/>
    <s v="No"/>
    <s v="Non-Veg"/>
    <x v="3"/>
    <x v="0"/>
    <x v="0"/>
    <x v="1"/>
    <n v="60"/>
  </r>
  <r>
    <x v="148"/>
    <x v="1"/>
    <s v="B"/>
    <n v="57"/>
    <s v="Male"/>
    <n v="13"/>
    <x v="1"/>
    <s v="No"/>
    <s v="Non-Veg"/>
    <x v="0"/>
    <x v="0"/>
    <x v="0"/>
    <x v="1"/>
    <n v="60"/>
  </r>
  <r>
    <x v="149"/>
    <x v="1"/>
    <s v="B"/>
    <n v="63"/>
    <s v="Female"/>
    <n v="12"/>
    <x v="1"/>
    <s v="No"/>
    <s v="Veg"/>
    <x v="2"/>
    <x v="1"/>
    <x v="0"/>
    <x v="1"/>
    <n v="60"/>
  </r>
  <r>
    <x v="150"/>
    <x v="1"/>
    <s v="B"/>
    <n v="67"/>
    <s v="Female"/>
    <n v="12"/>
    <x v="0"/>
    <s v="No"/>
    <s v="Veg"/>
    <x v="3"/>
    <x v="1"/>
    <x v="0"/>
    <x v="0"/>
    <n v="60"/>
  </r>
  <r>
    <x v="151"/>
    <x v="1"/>
    <s v="B"/>
    <n v="68"/>
    <s v="Male"/>
    <n v="13"/>
    <x v="0"/>
    <s v="No"/>
    <s v="Non-Veg"/>
    <x v="4"/>
    <x v="3"/>
    <x v="0"/>
    <x v="0"/>
    <n v="60"/>
  </r>
  <r>
    <x v="152"/>
    <x v="1"/>
    <s v="B"/>
    <n v="70"/>
    <s v="Female"/>
    <n v="13"/>
    <x v="0"/>
    <s v="Yes"/>
    <s v="Non-Veg"/>
    <x v="0"/>
    <x v="1"/>
    <x v="0"/>
    <x v="0"/>
    <n v="60"/>
  </r>
  <r>
    <x v="153"/>
    <x v="1"/>
    <s v="B"/>
    <n v="73"/>
    <s v="Female"/>
    <n v="12"/>
    <x v="1"/>
    <s v="No"/>
    <s v="Veg"/>
    <x v="1"/>
    <x v="3"/>
    <x v="0"/>
    <x v="1"/>
    <n v="60"/>
  </r>
  <r>
    <x v="103"/>
    <x v="1"/>
    <s v="B"/>
    <n v="77"/>
    <s v="Male"/>
    <n v="12"/>
    <x v="1"/>
    <s v="Yes"/>
    <s v="Non-Veg"/>
    <x v="1"/>
    <x v="0"/>
    <x v="0"/>
    <x v="1"/>
    <n v="60"/>
  </r>
  <r>
    <x v="88"/>
    <x v="1"/>
    <s v="B"/>
    <n v="79"/>
    <s v="Female"/>
    <n v="12"/>
    <x v="0"/>
    <s v="No"/>
    <s v="Non-Veg"/>
    <x v="2"/>
    <x v="3"/>
    <x v="0"/>
    <x v="0"/>
    <n v="60"/>
  </r>
  <r>
    <x v="154"/>
    <x v="1"/>
    <s v="B"/>
    <n v="94"/>
    <s v="Male"/>
    <n v="13"/>
    <x v="1"/>
    <s v="No"/>
    <s v="Non-Veg"/>
    <x v="4"/>
    <x v="3"/>
    <x v="0"/>
    <x v="1"/>
    <n v="60"/>
  </r>
  <r>
    <x v="155"/>
    <x v="1"/>
    <s v="B"/>
    <n v="98"/>
    <s v="Male"/>
    <n v="12"/>
    <x v="1"/>
    <s v="Yes"/>
    <s v="Veg"/>
    <x v="0"/>
    <x v="2"/>
    <x v="0"/>
    <x v="1"/>
    <n v="60"/>
  </r>
  <r>
    <x v="156"/>
    <x v="1"/>
    <s v="B"/>
    <n v="100"/>
    <s v="Male"/>
    <n v="12"/>
    <x v="0"/>
    <s v="No"/>
    <s v="Veg"/>
    <x v="2"/>
    <x v="0"/>
    <x v="0"/>
    <x v="0"/>
    <n v="60"/>
  </r>
  <r>
    <x v="157"/>
    <x v="1"/>
    <s v="B"/>
    <n v="104"/>
    <s v="Female"/>
    <n v="12"/>
    <x v="0"/>
    <s v="No"/>
    <s v="Non-Veg"/>
    <x v="0"/>
    <x v="0"/>
    <x v="0"/>
    <x v="0"/>
    <n v="60"/>
  </r>
  <r>
    <x v="158"/>
    <x v="1"/>
    <s v="B"/>
    <n v="114"/>
    <s v="Female"/>
    <n v="13"/>
    <x v="1"/>
    <s v="Yes"/>
    <s v="Veg"/>
    <x v="1"/>
    <x v="3"/>
    <x v="0"/>
    <x v="1"/>
    <n v="60"/>
  </r>
  <r>
    <x v="159"/>
    <x v="1"/>
    <s v="B"/>
    <n v="122"/>
    <s v="Male"/>
    <n v="13"/>
    <x v="1"/>
    <s v="Yes"/>
    <s v="Non-Veg"/>
    <x v="3"/>
    <x v="0"/>
    <x v="0"/>
    <x v="1"/>
    <n v="60"/>
  </r>
  <r>
    <x v="160"/>
    <x v="1"/>
    <s v="B"/>
    <n v="123"/>
    <s v="Female"/>
    <n v="12"/>
    <x v="1"/>
    <s v="Yes"/>
    <s v="Non-Veg"/>
    <x v="1"/>
    <x v="1"/>
    <x v="0"/>
    <x v="1"/>
    <n v="60"/>
  </r>
  <r>
    <x v="161"/>
    <x v="1"/>
    <s v="B"/>
    <n v="139"/>
    <s v="Male"/>
    <n v="12"/>
    <x v="0"/>
    <s v="No"/>
    <s v="Non-Veg"/>
    <x v="1"/>
    <x v="3"/>
    <x v="0"/>
    <x v="0"/>
    <n v="60"/>
  </r>
  <r>
    <x v="162"/>
    <x v="1"/>
    <s v="B"/>
    <n v="142"/>
    <s v="Female"/>
    <n v="13"/>
    <x v="0"/>
    <s v="No"/>
    <s v="Veg"/>
    <x v="1"/>
    <x v="1"/>
    <x v="0"/>
    <x v="0"/>
    <n v="60"/>
  </r>
  <r>
    <x v="163"/>
    <x v="1"/>
    <s v="B"/>
    <n v="149"/>
    <s v="Female"/>
    <n v="12"/>
    <x v="1"/>
    <s v="No"/>
    <s v="Veg"/>
    <x v="3"/>
    <x v="3"/>
    <x v="0"/>
    <x v="1"/>
    <n v="60"/>
  </r>
  <r>
    <x v="164"/>
    <x v="1"/>
    <s v="B"/>
    <n v="157"/>
    <s v="Male"/>
    <n v="13"/>
    <x v="0"/>
    <s v="Yes"/>
    <s v="Non-Veg"/>
    <x v="1"/>
    <x v="1"/>
    <x v="0"/>
    <x v="0"/>
    <n v="60"/>
  </r>
  <r>
    <x v="165"/>
    <x v="1"/>
    <s v="B"/>
    <n v="161"/>
    <s v="Male"/>
    <n v="13"/>
    <x v="1"/>
    <s v="No"/>
    <s v="Veg"/>
    <x v="0"/>
    <x v="0"/>
    <x v="0"/>
    <x v="1"/>
    <n v="60"/>
  </r>
  <r>
    <x v="166"/>
    <x v="1"/>
    <s v="B"/>
    <n v="163"/>
    <s v="Male"/>
    <n v="12"/>
    <x v="1"/>
    <s v="Yes"/>
    <s v="Non-Veg"/>
    <x v="1"/>
    <x v="3"/>
    <x v="0"/>
    <x v="1"/>
    <n v="60"/>
  </r>
  <r>
    <x v="167"/>
    <x v="1"/>
    <s v="B"/>
    <n v="166"/>
    <s v="Male"/>
    <n v="12"/>
    <x v="0"/>
    <s v="No"/>
    <s v="Non-Veg"/>
    <x v="1"/>
    <x v="3"/>
    <x v="0"/>
    <x v="0"/>
    <n v="60"/>
  </r>
  <r>
    <x v="168"/>
    <x v="1"/>
    <s v="B"/>
    <n v="189"/>
    <s v="Male"/>
    <n v="12"/>
    <x v="1"/>
    <s v="No"/>
    <s v="Veg"/>
    <x v="4"/>
    <x v="0"/>
    <x v="0"/>
    <x v="1"/>
    <n v="60"/>
  </r>
  <r>
    <x v="169"/>
    <x v="1"/>
    <s v="B"/>
    <n v="193"/>
    <s v="Female"/>
    <n v="12"/>
    <x v="1"/>
    <s v="No"/>
    <s v="Veg"/>
    <x v="3"/>
    <x v="3"/>
    <x v="0"/>
    <x v="1"/>
    <n v="60"/>
  </r>
  <r>
    <x v="170"/>
    <x v="1"/>
    <s v="B"/>
    <n v="196"/>
    <s v="Female"/>
    <n v="13"/>
    <x v="1"/>
    <s v="No"/>
    <s v="Veg"/>
    <x v="2"/>
    <x v="0"/>
    <x v="0"/>
    <x v="1"/>
    <n v="60"/>
  </r>
  <r>
    <x v="171"/>
    <x v="1"/>
    <s v="C"/>
    <n v="3"/>
    <s v="Female"/>
    <n v="12"/>
    <x v="1"/>
    <s v="Yes"/>
    <s v="Veg"/>
    <x v="4"/>
    <x v="0"/>
    <x v="0"/>
    <x v="1"/>
    <n v="60"/>
  </r>
  <r>
    <x v="172"/>
    <x v="1"/>
    <s v="C"/>
    <n v="4"/>
    <s v="Male"/>
    <n v="12"/>
    <x v="0"/>
    <s v="Yes"/>
    <s v="Non-Veg"/>
    <x v="1"/>
    <x v="0"/>
    <x v="0"/>
    <x v="0"/>
    <n v="60"/>
  </r>
  <r>
    <x v="173"/>
    <x v="1"/>
    <s v="C"/>
    <n v="10"/>
    <s v="Male"/>
    <n v="13"/>
    <x v="1"/>
    <s v="No"/>
    <s v="Veg"/>
    <x v="2"/>
    <x v="0"/>
    <x v="0"/>
    <x v="1"/>
    <n v="60"/>
  </r>
  <r>
    <x v="174"/>
    <x v="1"/>
    <s v="C"/>
    <n v="15"/>
    <s v="Female"/>
    <n v="12"/>
    <x v="1"/>
    <s v="Yes"/>
    <s v="Veg"/>
    <x v="1"/>
    <x v="0"/>
    <x v="0"/>
    <x v="1"/>
    <n v="60"/>
  </r>
  <r>
    <x v="175"/>
    <x v="1"/>
    <s v="C"/>
    <n v="16"/>
    <s v="Female"/>
    <n v="13"/>
    <x v="1"/>
    <s v="No"/>
    <s v="Non-Veg"/>
    <x v="0"/>
    <x v="0"/>
    <x v="0"/>
    <x v="1"/>
    <n v="60"/>
  </r>
  <r>
    <x v="176"/>
    <x v="1"/>
    <s v="C"/>
    <n v="24"/>
    <s v="Male"/>
    <n v="12"/>
    <x v="1"/>
    <s v="Yes"/>
    <s v="Veg"/>
    <x v="0"/>
    <x v="2"/>
    <x v="0"/>
    <x v="1"/>
    <n v="60"/>
  </r>
  <r>
    <x v="177"/>
    <x v="1"/>
    <s v="C"/>
    <n v="30"/>
    <s v="Male"/>
    <n v="13"/>
    <x v="1"/>
    <s v="No"/>
    <s v="Non-Veg"/>
    <x v="3"/>
    <x v="2"/>
    <x v="0"/>
    <x v="1"/>
    <n v="60"/>
  </r>
  <r>
    <x v="178"/>
    <x v="1"/>
    <s v="C"/>
    <n v="35"/>
    <s v="Female"/>
    <n v="12"/>
    <x v="1"/>
    <s v="No"/>
    <s v="Non-Veg"/>
    <x v="1"/>
    <x v="1"/>
    <x v="0"/>
    <x v="1"/>
    <n v="60"/>
  </r>
  <r>
    <x v="179"/>
    <x v="1"/>
    <s v="C"/>
    <n v="39"/>
    <s v="Female"/>
    <n v="13"/>
    <x v="1"/>
    <s v="No"/>
    <s v="Non-Veg"/>
    <x v="1"/>
    <x v="3"/>
    <x v="0"/>
    <x v="1"/>
    <n v="60"/>
  </r>
  <r>
    <x v="180"/>
    <x v="1"/>
    <s v="C"/>
    <n v="60"/>
    <s v="Female"/>
    <n v="13"/>
    <x v="1"/>
    <s v="No"/>
    <s v="Non-Veg"/>
    <x v="0"/>
    <x v="0"/>
    <x v="0"/>
    <x v="1"/>
    <n v="60"/>
  </r>
  <r>
    <x v="181"/>
    <x v="1"/>
    <s v="C"/>
    <n v="62"/>
    <s v="Male"/>
    <n v="12"/>
    <x v="1"/>
    <s v="Yes"/>
    <s v="Veg"/>
    <x v="1"/>
    <x v="0"/>
    <x v="0"/>
    <x v="1"/>
    <n v="60"/>
  </r>
  <r>
    <x v="182"/>
    <x v="1"/>
    <s v="C"/>
    <n v="65"/>
    <s v="Male"/>
    <n v="12"/>
    <x v="1"/>
    <s v="No"/>
    <s v="Veg"/>
    <x v="4"/>
    <x v="3"/>
    <x v="0"/>
    <x v="1"/>
    <n v="60"/>
  </r>
  <r>
    <x v="183"/>
    <x v="1"/>
    <s v="C"/>
    <n v="76"/>
    <s v="Male"/>
    <n v="13"/>
    <x v="0"/>
    <s v="No"/>
    <s v="Non-Veg"/>
    <x v="1"/>
    <x v="0"/>
    <x v="0"/>
    <x v="0"/>
    <n v="60"/>
  </r>
  <r>
    <x v="184"/>
    <x v="1"/>
    <s v="C"/>
    <n v="82"/>
    <s v="Female"/>
    <n v="12"/>
    <x v="1"/>
    <s v="Yes"/>
    <s v="Non-Veg"/>
    <x v="1"/>
    <x v="1"/>
    <x v="0"/>
    <x v="1"/>
    <n v="60"/>
  </r>
  <r>
    <x v="185"/>
    <x v="1"/>
    <s v="C"/>
    <n v="84"/>
    <s v="Male"/>
    <n v="12"/>
    <x v="1"/>
    <s v="No"/>
    <s v="Veg"/>
    <x v="1"/>
    <x v="0"/>
    <x v="0"/>
    <x v="1"/>
    <n v="60"/>
  </r>
  <r>
    <x v="186"/>
    <x v="1"/>
    <s v="C"/>
    <n v="101"/>
    <s v="Female"/>
    <n v="12"/>
    <x v="0"/>
    <s v="No"/>
    <s v="Veg"/>
    <x v="3"/>
    <x v="0"/>
    <x v="0"/>
    <x v="0"/>
    <n v="60"/>
  </r>
  <r>
    <x v="187"/>
    <x v="1"/>
    <s v="C"/>
    <n v="108"/>
    <s v="Female"/>
    <n v="13"/>
    <x v="0"/>
    <s v="No"/>
    <s v="Non-Veg"/>
    <x v="0"/>
    <x v="2"/>
    <x v="0"/>
    <x v="0"/>
    <n v="60"/>
  </r>
  <r>
    <x v="188"/>
    <x v="1"/>
    <s v="C"/>
    <n v="109"/>
    <s v="Female"/>
    <n v="12"/>
    <x v="0"/>
    <s v="No"/>
    <s v="Veg"/>
    <x v="1"/>
    <x v="2"/>
    <x v="0"/>
    <x v="0"/>
    <n v="60"/>
  </r>
  <r>
    <x v="189"/>
    <x v="1"/>
    <s v="C"/>
    <n v="117"/>
    <s v="Male"/>
    <n v="13"/>
    <x v="0"/>
    <s v="No"/>
    <s v="Non-Veg"/>
    <x v="1"/>
    <x v="2"/>
    <x v="0"/>
    <x v="0"/>
    <n v="60"/>
  </r>
  <r>
    <x v="190"/>
    <x v="1"/>
    <s v="C"/>
    <n v="128"/>
    <s v="Female"/>
    <n v="12"/>
    <x v="1"/>
    <s v="No"/>
    <s v="Veg"/>
    <x v="2"/>
    <x v="0"/>
    <x v="0"/>
    <x v="1"/>
    <n v="60"/>
  </r>
  <r>
    <x v="191"/>
    <x v="1"/>
    <s v="C"/>
    <n v="131"/>
    <s v="Female"/>
    <n v="13"/>
    <x v="1"/>
    <s v="Yes"/>
    <s v="Veg"/>
    <x v="0"/>
    <x v="0"/>
    <x v="0"/>
    <x v="1"/>
    <n v="60"/>
  </r>
  <r>
    <x v="192"/>
    <x v="1"/>
    <s v="C"/>
    <n v="148"/>
    <s v="Male"/>
    <n v="13"/>
    <x v="1"/>
    <s v="Yes"/>
    <s v="Non-Veg"/>
    <x v="1"/>
    <x v="2"/>
    <x v="0"/>
    <x v="1"/>
    <n v="60"/>
  </r>
  <r>
    <x v="193"/>
    <x v="1"/>
    <s v="C"/>
    <n v="152"/>
    <s v="Female"/>
    <n v="13"/>
    <x v="0"/>
    <s v="No"/>
    <s v="Veg"/>
    <x v="0"/>
    <x v="2"/>
    <x v="0"/>
    <x v="0"/>
    <n v="60"/>
  </r>
  <r>
    <x v="194"/>
    <x v="1"/>
    <s v="C"/>
    <n v="153"/>
    <s v="Male"/>
    <n v="13"/>
    <x v="1"/>
    <s v="Yes"/>
    <s v="Veg"/>
    <x v="4"/>
    <x v="0"/>
    <x v="0"/>
    <x v="1"/>
    <n v="60"/>
  </r>
  <r>
    <x v="195"/>
    <x v="1"/>
    <s v="C"/>
    <n v="154"/>
    <s v="Female"/>
    <n v="12"/>
    <x v="1"/>
    <s v="No"/>
    <s v="Non-Veg"/>
    <x v="2"/>
    <x v="2"/>
    <x v="0"/>
    <x v="1"/>
    <n v="60"/>
  </r>
  <r>
    <x v="196"/>
    <x v="1"/>
    <s v="C"/>
    <n v="174"/>
    <s v="Male"/>
    <n v="12"/>
    <x v="1"/>
    <s v="Yes"/>
    <s v="Non-Veg"/>
    <x v="3"/>
    <x v="0"/>
    <x v="0"/>
    <x v="1"/>
    <n v="60"/>
  </r>
  <r>
    <x v="197"/>
    <x v="1"/>
    <s v="D"/>
    <n v="1"/>
    <s v="Male"/>
    <n v="12"/>
    <x v="1"/>
    <s v="Yes"/>
    <s v="Non-Veg"/>
    <x v="2"/>
    <x v="0"/>
    <x v="0"/>
    <x v="1"/>
    <n v="60"/>
  </r>
  <r>
    <x v="198"/>
    <x v="1"/>
    <s v="D"/>
    <n v="9"/>
    <s v="Female"/>
    <n v="13"/>
    <x v="0"/>
    <s v="No"/>
    <s v="Veg"/>
    <x v="2"/>
    <x v="2"/>
    <x v="0"/>
    <x v="0"/>
    <n v="60"/>
  </r>
  <r>
    <x v="199"/>
    <x v="1"/>
    <s v="D"/>
    <n v="13"/>
    <s v="Male"/>
    <n v="13"/>
    <x v="0"/>
    <s v="No"/>
    <s v="Non-Veg"/>
    <x v="1"/>
    <x v="0"/>
    <x v="0"/>
    <x v="0"/>
    <n v="60"/>
  </r>
  <r>
    <x v="200"/>
    <x v="1"/>
    <s v="D"/>
    <n v="19"/>
    <s v="Male"/>
    <n v="12"/>
    <x v="1"/>
    <s v="No"/>
    <s v="Veg"/>
    <x v="1"/>
    <x v="0"/>
    <x v="0"/>
    <x v="1"/>
    <n v="60"/>
  </r>
  <r>
    <x v="201"/>
    <x v="1"/>
    <s v="D"/>
    <n v="20"/>
    <s v="Female"/>
    <n v="13"/>
    <x v="0"/>
    <s v="No"/>
    <s v="Veg"/>
    <x v="2"/>
    <x v="0"/>
    <x v="0"/>
    <x v="0"/>
    <n v="60"/>
  </r>
  <r>
    <x v="202"/>
    <x v="1"/>
    <s v="D"/>
    <n v="21"/>
    <s v="Female"/>
    <n v="13"/>
    <x v="0"/>
    <s v="No"/>
    <s v="Non-Veg"/>
    <x v="4"/>
    <x v="2"/>
    <x v="0"/>
    <x v="0"/>
    <n v="60"/>
  </r>
  <r>
    <x v="203"/>
    <x v="1"/>
    <s v="D"/>
    <n v="22"/>
    <s v="Male"/>
    <n v="13"/>
    <x v="0"/>
    <s v="Yes"/>
    <s v="Veg"/>
    <x v="1"/>
    <x v="0"/>
    <x v="0"/>
    <x v="0"/>
    <n v="60"/>
  </r>
  <r>
    <x v="204"/>
    <x v="1"/>
    <s v="D"/>
    <n v="23"/>
    <s v="Male"/>
    <n v="12"/>
    <x v="1"/>
    <s v="Yes"/>
    <s v="Non-Veg"/>
    <x v="4"/>
    <x v="1"/>
    <x v="0"/>
    <x v="1"/>
    <n v="60"/>
  </r>
  <r>
    <x v="205"/>
    <x v="1"/>
    <s v="D"/>
    <n v="34"/>
    <s v="Male"/>
    <n v="12"/>
    <x v="1"/>
    <s v="Yes"/>
    <s v="Veg"/>
    <x v="1"/>
    <x v="2"/>
    <x v="0"/>
    <x v="1"/>
    <n v="60"/>
  </r>
  <r>
    <x v="206"/>
    <x v="1"/>
    <s v="D"/>
    <n v="47"/>
    <s v="Male"/>
    <n v="12"/>
    <x v="1"/>
    <s v="No"/>
    <s v="Non-Veg"/>
    <x v="3"/>
    <x v="1"/>
    <x v="0"/>
    <x v="1"/>
    <n v="60"/>
  </r>
  <r>
    <x v="207"/>
    <x v="1"/>
    <s v="D"/>
    <n v="52"/>
    <s v="Male"/>
    <n v="13"/>
    <x v="0"/>
    <s v="No"/>
    <s v="Veg"/>
    <x v="1"/>
    <x v="0"/>
    <x v="0"/>
    <x v="0"/>
    <n v="60"/>
  </r>
  <r>
    <x v="208"/>
    <x v="1"/>
    <s v="D"/>
    <n v="54"/>
    <s v="Male"/>
    <n v="13"/>
    <x v="0"/>
    <s v="No"/>
    <s v="Veg"/>
    <x v="1"/>
    <x v="1"/>
    <x v="0"/>
    <x v="0"/>
    <n v="60"/>
  </r>
  <r>
    <x v="209"/>
    <x v="1"/>
    <s v="D"/>
    <n v="64"/>
    <s v="Female"/>
    <n v="12"/>
    <x v="0"/>
    <s v="No"/>
    <s v="Non-Veg"/>
    <x v="3"/>
    <x v="2"/>
    <x v="0"/>
    <x v="0"/>
    <n v="60"/>
  </r>
  <r>
    <x v="210"/>
    <x v="1"/>
    <s v="D"/>
    <n v="66"/>
    <s v="Male"/>
    <n v="12"/>
    <x v="1"/>
    <s v="Yes"/>
    <s v="Veg"/>
    <x v="4"/>
    <x v="3"/>
    <x v="0"/>
    <x v="1"/>
    <n v="60"/>
  </r>
  <r>
    <x v="211"/>
    <x v="1"/>
    <s v="D"/>
    <n v="74"/>
    <s v="Female"/>
    <n v="13"/>
    <x v="0"/>
    <s v="Yes"/>
    <s v="Veg"/>
    <x v="1"/>
    <x v="3"/>
    <x v="0"/>
    <x v="0"/>
    <n v="60"/>
  </r>
  <r>
    <x v="212"/>
    <x v="1"/>
    <s v="D"/>
    <n v="81"/>
    <s v="Female"/>
    <n v="12"/>
    <x v="1"/>
    <s v="Yes"/>
    <s v="Veg"/>
    <x v="1"/>
    <x v="2"/>
    <x v="0"/>
    <x v="1"/>
    <n v="60"/>
  </r>
  <r>
    <x v="213"/>
    <x v="1"/>
    <s v="D"/>
    <n v="96"/>
    <s v="Male"/>
    <n v="13"/>
    <x v="0"/>
    <s v="No"/>
    <s v="Veg"/>
    <x v="1"/>
    <x v="2"/>
    <x v="0"/>
    <x v="0"/>
    <n v="60"/>
  </r>
  <r>
    <x v="214"/>
    <x v="1"/>
    <s v="D"/>
    <n v="113"/>
    <s v="Male"/>
    <n v="12"/>
    <x v="0"/>
    <s v="Yes"/>
    <s v="Veg"/>
    <x v="4"/>
    <x v="2"/>
    <x v="0"/>
    <x v="0"/>
    <n v="60"/>
  </r>
  <r>
    <x v="215"/>
    <x v="1"/>
    <s v="D"/>
    <n v="120"/>
    <s v="Female"/>
    <n v="13"/>
    <x v="1"/>
    <s v="Yes"/>
    <s v="Veg"/>
    <x v="4"/>
    <x v="1"/>
    <x v="0"/>
    <x v="1"/>
    <n v="60"/>
  </r>
  <r>
    <x v="71"/>
    <x v="1"/>
    <s v="D"/>
    <n v="125"/>
    <s v="Male"/>
    <n v="13"/>
    <x v="0"/>
    <s v="Yes"/>
    <s v="Non-Veg"/>
    <x v="0"/>
    <x v="0"/>
    <x v="0"/>
    <x v="0"/>
    <n v="60"/>
  </r>
  <r>
    <x v="216"/>
    <x v="1"/>
    <s v="D"/>
    <n v="130"/>
    <s v="Female"/>
    <n v="13"/>
    <x v="1"/>
    <s v="No"/>
    <s v="Veg"/>
    <x v="1"/>
    <x v="0"/>
    <x v="0"/>
    <x v="1"/>
    <n v="60"/>
  </r>
  <r>
    <x v="217"/>
    <x v="1"/>
    <s v="D"/>
    <n v="133"/>
    <s v="Male"/>
    <n v="12"/>
    <x v="0"/>
    <s v="Yes"/>
    <s v="Veg"/>
    <x v="0"/>
    <x v="0"/>
    <x v="0"/>
    <x v="0"/>
    <n v="60"/>
  </r>
  <r>
    <x v="218"/>
    <x v="1"/>
    <s v="D"/>
    <n v="137"/>
    <s v="Female"/>
    <n v="13"/>
    <x v="1"/>
    <s v="Yes"/>
    <s v="Veg"/>
    <x v="1"/>
    <x v="2"/>
    <x v="0"/>
    <x v="1"/>
    <n v="60"/>
  </r>
  <r>
    <x v="219"/>
    <x v="1"/>
    <s v="D"/>
    <n v="138"/>
    <s v="Female"/>
    <n v="12"/>
    <x v="0"/>
    <s v="No"/>
    <s v="Non-Veg"/>
    <x v="2"/>
    <x v="0"/>
    <x v="0"/>
    <x v="0"/>
    <n v="60"/>
  </r>
  <r>
    <x v="220"/>
    <x v="1"/>
    <s v="D"/>
    <n v="141"/>
    <s v="Male"/>
    <n v="12"/>
    <x v="1"/>
    <s v="No"/>
    <s v="Non-Veg"/>
    <x v="0"/>
    <x v="0"/>
    <x v="0"/>
    <x v="1"/>
    <n v="60"/>
  </r>
  <r>
    <x v="221"/>
    <x v="1"/>
    <s v="D"/>
    <n v="143"/>
    <s v="Male"/>
    <n v="13"/>
    <x v="1"/>
    <s v="No"/>
    <s v="Non-Veg"/>
    <x v="0"/>
    <x v="3"/>
    <x v="0"/>
    <x v="1"/>
    <n v="60"/>
  </r>
  <r>
    <x v="222"/>
    <x v="1"/>
    <s v="D"/>
    <n v="145"/>
    <s v="Male"/>
    <n v="12"/>
    <x v="0"/>
    <s v="Yes"/>
    <s v="Veg"/>
    <x v="2"/>
    <x v="0"/>
    <x v="0"/>
    <x v="0"/>
    <n v="60"/>
  </r>
  <r>
    <x v="223"/>
    <x v="1"/>
    <s v="D"/>
    <n v="146"/>
    <s v="Female"/>
    <n v="13"/>
    <x v="1"/>
    <s v="No"/>
    <s v="Veg"/>
    <x v="1"/>
    <x v="2"/>
    <x v="0"/>
    <x v="1"/>
    <n v="60"/>
  </r>
  <r>
    <x v="224"/>
    <x v="1"/>
    <s v="D"/>
    <n v="151"/>
    <s v="Male"/>
    <n v="13"/>
    <x v="1"/>
    <s v="No"/>
    <s v="Veg"/>
    <x v="3"/>
    <x v="0"/>
    <x v="0"/>
    <x v="1"/>
    <n v="60"/>
  </r>
  <r>
    <x v="225"/>
    <x v="1"/>
    <s v="D"/>
    <n v="158"/>
    <s v="Male"/>
    <n v="13"/>
    <x v="1"/>
    <s v="Yes"/>
    <s v="Non-Veg"/>
    <x v="0"/>
    <x v="3"/>
    <x v="0"/>
    <x v="1"/>
    <n v="60"/>
  </r>
  <r>
    <x v="226"/>
    <x v="1"/>
    <s v="D"/>
    <n v="159"/>
    <s v="Female"/>
    <n v="13"/>
    <x v="1"/>
    <s v="No"/>
    <s v="Non-Veg"/>
    <x v="1"/>
    <x v="0"/>
    <x v="0"/>
    <x v="1"/>
    <n v="60"/>
  </r>
  <r>
    <x v="227"/>
    <x v="1"/>
    <s v="D"/>
    <n v="165"/>
    <s v="Female"/>
    <n v="13"/>
    <x v="1"/>
    <s v="No"/>
    <s v="Non-Veg"/>
    <x v="1"/>
    <x v="0"/>
    <x v="0"/>
    <x v="1"/>
    <n v="60"/>
  </r>
  <r>
    <x v="228"/>
    <x v="1"/>
    <s v="D"/>
    <n v="175"/>
    <s v="Female"/>
    <n v="13"/>
    <x v="1"/>
    <s v="Yes"/>
    <s v="Non-Veg"/>
    <x v="1"/>
    <x v="1"/>
    <x v="0"/>
    <x v="1"/>
    <n v="60"/>
  </r>
  <r>
    <x v="229"/>
    <x v="1"/>
    <s v="D"/>
    <n v="178"/>
    <s v="Male"/>
    <n v="12"/>
    <x v="0"/>
    <s v="Yes"/>
    <s v="Non-Veg"/>
    <x v="0"/>
    <x v="1"/>
    <x v="0"/>
    <x v="0"/>
    <n v="60"/>
  </r>
  <r>
    <x v="230"/>
    <x v="1"/>
    <s v="D"/>
    <n v="181"/>
    <s v="Male"/>
    <n v="13"/>
    <x v="1"/>
    <s v="Yes"/>
    <s v="Veg"/>
    <x v="1"/>
    <x v="3"/>
    <x v="0"/>
    <x v="1"/>
    <n v="60"/>
  </r>
  <r>
    <x v="231"/>
    <x v="1"/>
    <s v="D"/>
    <n v="185"/>
    <s v="Female"/>
    <n v="13"/>
    <x v="1"/>
    <s v="Yes"/>
    <s v="Non-Veg"/>
    <x v="2"/>
    <x v="2"/>
    <x v="0"/>
    <x v="1"/>
    <n v="60"/>
  </r>
  <r>
    <x v="232"/>
    <x v="1"/>
    <s v="D"/>
    <n v="186"/>
    <s v="Male"/>
    <n v="13"/>
    <x v="1"/>
    <s v="No"/>
    <s v="Veg"/>
    <x v="1"/>
    <x v="0"/>
    <x v="0"/>
    <x v="1"/>
    <n v="60"/>
  </r>
  <r>
    <x v="233"/>
    <x v="1"/>
    <s v="D"/>
    <n v="188"/>
    <s v="Male"/>
    <n v="12"/>
    <x v="1"/>
    <s v="No"/>
    <s v="Non-Veg"/>
    <x v="3"/>
    <x v="0"/>
    <x v="0"/>
    <x v="1"/>
    <n v="60"/>
  </r>
  <r>
    <x v="234"/>
    <x v="1"/>
    <s v="D"/>
    <n v="191"/>
    <s v="Female"/>
    <n v="12"/>
    <x v="0"/>
    <s v="No"/>
    <s v="Veg"/>
    <x v="0"/>
    <x v="0"/>
    <x v="0"/>
    <x v="0"/>
    <n v="60"/>
  </r>
  <r>
    <x v="235"/>
    <x v="1"/>
    <s v="D"/>
    <n v="192"/>
    <s v="Male"/>
    <n v="13"/>
    <x v="1"/>
    <s v="No"/>
    <s v="Veg"/>
    <x v="2"/>
    <x v="0"/>
    <x v="0"/>
    <x v="1"/>
    <n v="60"/>
  </r>
  <r>
    <x v="236"/>
    <x v="1"/>
    <s v="D"/>
    <n v="194"/>
    <s v="Female"/>
    <n v="13"/>
    <x v="1"/>
    <s v="No"/>
    <s v="Veg"/>
    <x v="3"/>
    <x v="3"/>
    <x v="0"/>
    <x v="1"/>
    <n v="60"/>
  </r>
  <r>
    <x v="237"/>
    <x v="1"/>
    <s v="D"/>
    <n v="195"/>
    <s v="Male"/>
    <n v="13"/>
    <x v="1"/>
    <s v="No"/>
    <s v="Veg"/>
    <x v="1"/>
    <x v="2"/>
    <x v="0"/>
    <x v="1"/>
    <n v="60"/>
  </r>
  <r>
    <x v="238"/>
    <x v="1"/>
    <s v="D"/>
    <n v="197"/>
    <s v="Female"/>
    <n v="12"/>
    <x v="0"/>
    <s v="Yes"/>
    <s v="Non-Veg"/>
    <x v="1"/>
    <x v="1"/>
    <x v="0"/>
    <x v="0"/>
    <n v="60"/>
  </r>
  <r>
    <x v="239"/>
    <x v="1"/>
    <s v="D"/>
    <n v="198"/>
    <s v="Female"/>
    <n v="12"/>
    <x v="1"/>
    <s v="No"/>
    <s v="Veg"/>
    <x v="4"/>
    <x v="3"/>
    <x v="0"/>
    <x v="1"/>
    <n v="60"/>
  </r>
  <r>
    <x v="240"/>
    <x v="2"/>
    <s v="A"/>
    <n v="5"/>
    <s v="Male"/>
    <n v="13"/>
    <x v="0"/>
    <s v="No"/>
    <s v="Veg"/>
    <x v="2"/>
    <x v="3"/>
    <x v="1"/>
    <x v="0"/>
    <n v="70"/>
  </r>
  <r>
    <x v="241"/>
    <x v="2"/>
    <s v="A"/>
    <n v="8"/>
    <s v="Male"/>
    <n v="14"/>
    <x v="1"/>
    <s v="Yes"/>
    <s v="Non-Veg"/>
    <x v="0"/>
    <x v="1"/>
    <x v="1"/>
    <x v="1"/>
    <n v="70"/>
  </r>
  <r>
    <x v="242"/>
    <x v="2"/>
    <s v="A"/>
    <n v="12"/>
    <s v="Female"/>
    <n v="13"/>
    <x v="0"/>
    <s v="No"/>
    <s v="Veg"/>
    <x v="4"/>
    <x v="2"/>
    <x v="1"/>
    <x v="0"/>
    <n v="70"/>
  </r>
  <r>
    <x v="243"/>
    <x v="2"/>
    <s v="A"/>
    <n v="14"/>
    <s v="Male"/>
    <n v="13"/>
    <x v="1"/>
    <s v="Yes"/>
    <s v="Non-Veg"/>
    <x v="0"/>
    <x v="0"/>
    <x v="1"/>
    <x v="1"/>
    <n v="70"/>
  </r>
  <r>
    <x v="244"/>
    <x v="2"/>
    <s v="A"/>
    <n v="21"/>
    <s v="Female"/>
    <n v="14"/>
    <x v="0"/>
    <s v="Yes"/>
    <s v="Veg"/>
    <x v="3"/>
    <x v="3"/>
    <x v="1"/>
    <x v="0"/>
    <n v="70"/>
  </r>
  <r>
    <x v="245"/>
    <x v="2"/>
    <s v="A"/>
    <n v="24"/>
    <s v="Female"/>
    <n v="14"/>
    <x v="1"/>
    <s v="Yes"/>
    <s v="Veg"/>
    <x v="3"/>
    <x v="1"/>
    <x v="1"/>
    <x v="1"/>
    <n v="70"/>
  </r>
  <r>
    <x v="246"/>
    <x v="2"/>
    <s v="A"/>
    <n v="30"/>
    <s v="Female"/>
    <n v="14"/>
    <x v="1"/>
    <s v="Yes"/>
    <s v="Veg"/>
    <x v="4"/>
    <x v="2"/>
    <x v="1"/>
    <x v="1"/>
    <n v="70"/>
  </r>
  <r>
    <x v="247"/>
    <x v="2"/>
    <s v="A"/>
    <n v="37"/>
    <s v="Male"/>
    <n v="13"/>
    <x v="0"/>
    <s v="Yes"/>
    <s v="Veg"/>
    <x v="1"/>
    <x v="0"/>
    <x v="1"/>
    <x v="0"/>
    <n v="70"/>
  </r>
  <r>
    <x v="248"/>
    <x v="2"/>
    <s v="A"/>
    <n v="40"/>
    <s v="Female"/>
    <n v="14"/>
    <x v="1"/>
    <s v="Yes"/>
    <s v="Veg"/>
    <x v="1"/>
    <x v="1"/>
    <x v="1"/>
    <x v="1"/>
    <n v="70"/>
  </r>
  <r>
    <x v="249"/>
    <x v="2"/>
    <s v="A"/>
    <n v="42"/>
    <s v="Male"/>
    <n v="14"/>
    <x v="0"/>
    <s v="Yes"/>
    <s v="Non-Veg"/>
    <x v="4"/>
    <x v="3"/>
    <x v="1"/>
    <x v="0"/>
    <n v="70"/>
  </r>
  <r>
    <x v="250"/>
    <x v="2"/>
    <s v="A"/>
    <n v="46"/>
    <s v="Female"/>
    <n v="13"/>
    <x v="0"/>
    <s v="No"/>
    <s v="Veg"/>
    <x v="4"/>
    <x v="3"/>
    <x v="1"/>
    <x v="0"/>
    <n v="70"/>
  </r>
  <r>
    <x v="251"/>
    <x v="2"/>
    <s v="A"/>
    <n v="52"/>
    <s v="Male"/>
    <n v="14"/>
    <x v="0"/>
    <s v="Yes"/>
    <s v="Non-Veg"/>
    <x v="3"/>
    <x v="2"/>
    <x v="1"/>
    <x v="0"/>
    <n v="70"/>
  </r>
  <r>
    <x v="252"/>
    <x v="2"/>
    <s v="A"/>
    <n v="54"/>
    <s v="Female"/>
    <n v="14"/>
    <x v="0"/>
    <s v="No"/>
    <s v="Veg"/>
    <x v="0"/>
    <x v="1"/>
    <x v="1"/>
    <x v="0"/>
    <n v="70"/>
  </r>
  <r>
    <x v="253"/>
    <x v="2"/>
    <s v="A"/>
    <n v="64"/>
    <s v="Female"/>
    <n v="14"/>
    <x v="0"/>
    <s v="Yes"/>
    <s v="Veg"/>
    <x v="1"/>
    <x v="0"/>
    <x v="1"/>
    <x v="0"/>
    <n v="70"/>
  </r>
  <r>
    <x v="254"/>
    <x v="2"/>
    <s v="A"/>
    <n v="80"/>
    <s v="Male"/>
    <n v="14"/>
    <x v="1"/>
    <s v="No"/>
    <s v="Veg"/>
    <x v="1"/>
    <x v="0"/>
    <x v="1"/>
    <x v="1"/>
    <n v="70"/>
  </r>
  <r>
    <x v="255"/>
    <x v="2"/>
    <s v="A"/>
    <n v="84"/>
    <s v="Male"/>
    <n v="14"/>
    <x v="0"/>
    <s v="No"/>
    <s v="Non-Veg"/>
    <x v="1"/>
    <x v="2"/>
    <x v="1"/>
    <x v="0"/>
    <n v="70"/>
  </r>
  <r>
    <x v="256"/>
    <x v="2"/>
    <s v="A"/>
    <n v="93"/>
    <s v="Female"/>
    <n v="13"/>
    <x v="1"/>
    <s v="Yes"/>
    <s v="Veg"/>
    <x v="1"/>
    <x v="0"/>
    <x v="1"/>
    <x v="1"/>
    <n v="70"/>
  </r>
  <r>
    <x v="257"/>
    <x v="2"/>
    <s v="A"/>
    <n v="105"/>
    <s v="Female"/>
    <n v="13"/>
    <x v="1"/>
    <s v="No"/>
    <s v="Non-Veg"/>
    <x v="1"/>
    <x v="1"/>
    <x v="1"/>
    <x v="1"/>
    <n v="70"/>
  </r>
  <r>
    <x v="258"/>
    <x v="2"/>
    <s v="A"/>
    <n v="109"/>
    <s v="Male"/>
    <n v="13"/>
    <x v="1"/>
    <s v="No"/>
    <s v="Veg"/>
    <x v="3"/>
    <x v="3"/>
    <x v="1"/>
    <x v="1"/>
    <n v="70"/>
  </r>
  <r>
    <x v="259"/>
    <x v="2"/>
    <s v="A"/>
    <n v="141"/>
    <s v="Female"/>
    <n v="14"/>
    <x v="1"/>
    <s v="No"/>
    <s v="Veg"/>
    <x v="4"/>
    <x v="0"/>
    <x v="1"/>
    <x v="1"/>
    <n v="70"/>
  </r>
  <r>
    <x v="260"/>
    <x v="2"/>
    <s v="A"/>
    <n v="143"/>
    <s v="Female"/>
    <n v="13"/>
    <x v="1"/>
    <s v="Yes"/>
    <s v="Non-Veg"/>
    <x v="1"/>
    <x v="1"/>
    <x v="1"/>
    <x v="1"/>
    <n v="70"/>
  </r>
  <r>
    <x v="261"/>
    <x v="2"/>
    <s v="A"/>
    <n v="144"/>
    <s v="Female"/>
    <n v="14"/>
    <x v="0"/>
    <s v="No"/>
    <s v="Non-Veg"/>
    <x v="2"/>
    <x v="2"/>
    <x v="1"/>
    <x v="0"/>
    <n v="70"/>
  </r>
  <r>
    <x v="262"/>
    <x v="2"/>
    <s v="A"/>
    <n v="160"/>
    <s v="Male"/>
    <n v="13"/>
    <x v="0"/>
    <s v="Yes"/>
    <s v="Veg"/>
    <x v="0"/>
    <x v="0"/>
    <x v="1"/>
    <x v="0"/>
    <n v="70"/>
  </r>
  <r>
    <x v="263"/>
    <x v="2"/>
    <s v="A"/>
    <n v="161"/>
    <s v="Female"/>
    <n v="14"/>
    <x v="1"/>
    <s v="Yes"/>
    <s v="Non-Veg"/>
    <x v="2"/>
    <x v="0"/>
    <x v="1"/>
    <x v="1"/>
    <n v="70"/>
  </r>
  <r>
    <x v="264"/>
    <x v="2"/>
    <s v="A"/>
    <n v="171"/>
    <s v="Female"/>
    <n v="14"/>
    <x v="1"/>
    <s v="Yes"/>
    <s v="Veg"/>
    <x v="1"/>
    <x v="0"/>
    <x v="1"/>
    <x v="1"/>
    <n v="70"/>
  </r>
  <r>
    <x v="265"/>
    <x v="2"/>
    <s v="A"/>
    <n v="176"/>
    <s v="Male"/>
    <n v="13"/>
    <x v="1"/>
    <s v="Yes"/>
    <s v="Veg"/>
    <x v="1"/>
    <x v="3"/>
    <x v="1"/>
    <x v="1"/>
    <n v="70"/>
  </r>
  <r>
    <x v="266"/>
    <x v="2"/>
    <s v="A"/>
    <n v="179"/>
    <s v="Female"/>
    <n v="13"/>
    <x v="0"/>
    <s v="No"/>
    <s v="Veg"/>
    <x v="1"/>
    <x v="0"/>
    <x v="1"/>
    <x v="0"/>
    <n v="70"/>
  </r>
  <r>
    <x v="267"/>
    <x v="2"/>
    <s v="A"/>
    <n v="183"/>
    <s v="Male"/>
    <n v="13"/>
    <x v="1"/>
    <s v="Yes"/>
    <s v="Non-Veg"/>
    <x v="1"/>
    <x v="1"/>
    <x v="1"/>
    <x v="1"/>
    <n v="70"/>
  </r>
  <r>
    <x v="268"/>
    <x v="2"/>
    <s v="A"/>
    <n v="187"/>
    <s v="Male"/>
    <n v="14"/>
    <x v="0"/>
    <s v="No"/>
    <s v="Veg"/>
    <x v="3"/>
    <x v="0"/>
    <x v="1"/>
    <x v="0"/>
    <n v="70"/>
  </r>
  <r>
    <x v="269"/>
    <x v="2"/>
    <s v="A"/>
    <n v="189"/>
    <s v="Male"/>
    <n v="13"/>
    <x v="0"/>
    <s v="Yes"/>
    <s v="Non-Veg"/>
    <x v="4"/>
    <x v="1"/>
    <x v="1"/>
    <x v="0"/>
    <n v="70"/>
  </r>
  <r>
    <x v="270"/>
    <x v="2"/>
    <s v="A"/>
    <n v="198"/>
    <s v="Female"/>
    <n v="14"/>
    <x v="0"/>
    <s v="Yes"/>
    <s v="Veg"/>
    <x v="3"/>
    <x v="0"/>
    <x v="1"/>
    <x v="0"/>
    <n v="70"/>
  </r>
  <r>
    <x v="271"/>
    <x v="2"/>
    <s v="B"/>
    <n v="9"/>
    <s v="Male"/>
    <n v="13"/>
    <x v="1"/>
    <s v="Yes"/>
    <s v="Veg"/>
    <x v="4"/>
    <x v="2"/>
    <x v="1"/>
    <x v="1"/>
    <n v="70"/>
  </r>
  <r>
    <x v="272"/>
    <x v="2"/>
    <s v="B"/>
    <n v="11"/>
    <s v="Male"/>
    <n v="14"/>
    <x v="0"/>
    <s v="Yes"/>
    <s v="Veg"/>
    <x v="3"/>
    <x v="1"/>
    <x v="1"/>
    <x v="0"/>
    <n v="70"/>
  </r>
  <r>
    <x v="273"/>
    <x v="2"/>
    <s v="B"/>
    <n v="16"/>
    <s v="Male"/>
    <n v="13"/>
    <x v="0"/>
    <s v="Yes"/>
    <s v="Non-Veg"/>
    <x v="1"/>
    <x v="1"/>
    <x v="1"/>
    <x v="0"/>
    <n v="70"/>
  </r>
  <r>
    <x v="274"/>
    <x v="2"/>
    <s v="B"/>
    <n v="23"/>
    <s v="Male"/>
    <n v="14"/>
    <x v="1"/>
    <s v="Yes"/>
    <s v="Veg"/>
    <x v="3"/>
    <x v="1"/>
    <x v="1"/>
    <x v="1"/>
    <n v="70"/>
  </r>
  <r>
    <x v="275"/>
    <x v="2"/>
    <s v="B"/>
    <n v="28"/>
    <s v="Male"/>
    <n v="13"/>
    <x v="1"/>
    <s v="No"/>
    <s v="Non-Veg"/>
    <x v="1"/>
    <x v="1"/>
    <x v="1"/>
    <x v="1"/>
    <n v="70"/>
  </r>
  <r>
    <x v="276"/>
    <x v="2"/>
    <s v="B"/>
    <n v="43"/>
    <s v="Male"/>
    <n v="14"/>
    <x v="0"/>
    <s v="Yes"/>
    <s v="Veg"/>
    <x v="1"/>
    <x v="2"/>
    <x v="1"/>
    <x v="0"/>
    <n v="70"/>
  </r>
  <r>
    <x v="277"/>
    <x v="2"/>
    <s v="B"/>
    <n v="58"/>
    <s v="Female"/>
    <n v="13"/>
    <x v="1"/>
    <s v="Yes"/>
    <s v="Non-Veg"/>
    <x v="3"/>
    <x v="2"/>
    <x v="1"/>
    <x v="1"/>
    <n v="70"/>
  </r>
  <r>
    <x v="278"/>
    <x v="2"/>
    <s v="B"/>
    <n v="62"/>
    <s v="Female"/>
    <n v="14"/>
    <x v="0"/>
    <s v="Yes"/>
    <s v="Veg"/>
    <x v="1"/>
    <x v="3"/>
    <x v="1"/>
    <x v="0"/>
    <n v="70"/>
  </r>
  <r>
    <x v="279"/>
    <x v="2"/>
    <s v="B"/>
    <n v="75"/>
    <s v="Female"/>
    <n v="14"/>
    <x v="0"/>
    <s v="Yes"/>
    <s v="Non-Veg"/>
    <x v="0"/>
    <x v="1"/>
    <x v="1"/>
    <x v="0"/>
    <n v="70"/>
  </r>
  <r>
    <x v="280"/>
    <x v="2"/>
    <s v="B"/>
    <n v="87"/>
    <s v="Male"/>
    <n v="13"/>
    <x v="1"/>
    <s v="No"/>
    <s v="Veg"/>
    <x v="0"/>
    <x v="1"/>
    <x v="1"/>
    <x v="1"/>
    <n v="70"/>
  </r>
  <r>
    <x v="281"/>
    <x v="2"/>
    <s v="B"/>
    <n v="88"/>
    <s v="Female"/>
    <n v="14"/>
    <x v="0"/>
    <s v="Yes"/>
    <s v="Veg"/>
    <x v="2"/>
    <x v="0"/>
    <x v="1"/>
    <x v="0"/>
    <n v="70"/>
  </r>
  <r>
    <x v="282"/>
    <x v="2"/>
    <s v="B"/>
    <n v="104"/>
    <s v="Female"/>
    <n v="14"/>
    <x v="1"/>
    <s v="No"/>
    <s v="Non-Veg"/>
    <x v="3"/>
    <x v="3"/>
    <x v="1"/>
    <x v="1"/>
    <n v="70"/>
  </r>
  <r>
    <x v="283"/>
    <x v="2"/>
    <s v="B"/>
    <n v="108"/>
    <s v="Female"/>
    <n v="14"/>
    <x v="1"/>
    <s v="No"/>
    <s v="Non-Veg"/>
    <x v="0"/>
    <x v="0"/>
    <x v="1"/>
    <x v="1"/>
    <n v="70"/>
  </r>
  <r>
    <x v="284"/>
    <x v="2"/>
    <s v="B"/>
    <n v="112"/>
    <s v="Male"/>
    <n v="13"/>
    <x v="1"/>
    <s v="No"/>
    <s v="Non-Veg"/>
    <x v="1"/>
    <x v="1"/>
    <x v="1"/>
    <x v="1"/>
    <n v="70"/>
  </r>
  <r>
    <x v="285"/>
    <x v="2"/>
    <s v="B"/>
    <n v="114"/>
    <s v="Female"/>
    <n v="14"/>
    <x v="0"/>
    <s v="Yes"/>
    <s v="Non-Veg"/>
    <x v="3"/>
    <x v="2"/>
    <x v="1"/>
    <x v="0"/>
    <n v="70"/>
  </r>
  <r>
    <x v="286"/>
    <x v="2"/>
    <s v="B"/>
    <n v="126"/>
    <s v="Male"/>
    <n v="14"/>
    <x v="1"/>
    <s v="No"/>
    <s v="Non-Veg"/>
    <x v="2"/>
    <x v="2"/>
    <x v="1"/>
    <x v="1"/>
    <n v="70"/>
  </r>
  <r>
    <x v="287"/>
    <x v="2"/>
    <s v="B"/>
    <n v="139"/>
    <s v="Male"/>
    <n v="13"/>
    <x v="1"/>
    <s v="Yes"/>
    <s v="Non-Veg"/>
    <x v="1"/>
    <x v="0"/>
    <x v="1"/>
    <x v="1"/>
    <n v="70"/>
  </r>
  <r>
    <x v="288"/>
    <x v="2"/>
    <s v="B"/>
    <n v="142"/>
    <s v="Male"/>
    <n v="13"/>
    <x v="0"/>
    <s v="No"/>
    <s v="Veg"/>
    <x v="1"/>
    <x v="0"/>
    <x v="1"/>
    <x v="0"/>
    <n v="70"/>
  </r>
  <r>
    <x v="289"/>
    <x v="2"/>
    <s v="B"/>
    <n v="147"/>
    <s v="Female"/>
    <n v="13"/>
    <x v="1"/>
    <s v="No"/>
    <s v="Non-Veg"/>
    <x v="1"/>
    <x v="2"/>
    <x v="1"/>
    <x v="1"/>
    <n v="70"/>
  </r>
  <r>
    <x v="290"/>
    <x v="2"/>
    <s v="B"/>
    <n v="152"/>
    <s v="Female"/>
    <n v="13"/>
    <x v="0"/>
    <s v="Yes"/>
    <s v="Non-Veg"/>
    <x v="1"/>
    <x v="0"/>
    <x v="1"/>
    <x v="0"/>
    <n v="70"/>
  </r>
  <r>
    <x v="291"/>
    <x v="2"/>
    <s v="B"/>
    <n v="154"/>
    <s v="Male"/>
    <n v="13"/>
    <x v="0"/>
    <s v="No"/>
    <s v="Non-Veg"/>
    <x v="3"/>
    <x v="2"/>
    <x v="1"/>
    <x v="0"/>
    <n v="70"/>
  </r>
  <r>
    <x v="292"/>
    <x v="2"/>
    <s v="B"/>
    <n v="156"/>
    <s v="Male"/>
    <n v="13"/>
    <x v="1"/>
    <s v="Yes"/>
    <s v="Veg"/>
    <x v="0"/>
    <x v="2"/>
    <x v="1"/>
    <x v="1"/>
    <n v="70"/>
  </r>
  <r>
    <x v="293"/>
    <x v="2"/>
    <s v="B"/>
    <n v="162"/>
    <s v="Male"/>
    <n v="14"/>
    <x v="0"/>
    <s v="No"/>
    <s v="Non-Veg"/>
    <x v="3"/>
    <x v="0"/>
    <x v="1"/>
    <x v="0"/>
    <n v="70"/>
  </r>
  <r>
    <x v="294"/>
    <x v="2"/>
    <s v="B"/>
    <n v="166"/>
    <s v="Male"/>
    <n v="14"/>
    <x v="0"/>
    <s v="No"/>
    <s v="Non-Veg"/>
    <x v="1"/>
    <x v="2"/>
    <x v="1"/>
    <x v="0"/>
    <n v="70"/>
  </r>
  <r>
    <x v="295"/>
    <x v="2"/>
    <s v="B"/>
    <n v="167"/>
    <s v="Male"/>
    <n v="13"/>
    <x v="1"/>
    <s v="No"/>
    <s v="Non-Veg"/>
    <x v="1"/>
    <x v="0"/>
    <x v="1"/>
    <x v="1"/>
    <n v="70"/>
  </r>
  <r>
    <x v="296"/>
    <x v="2"/>
    <s v="B"/>
    <n v="170"/>
    <s v="Female"/>
    <n v="13"/>
    <x v="1"/>
    <s v="Yes"/>
    <s v="Non-Veg"/>
    <x v="0"/>
    <x v="3"/>
    <x v="1"/>
    <x v="1"/>
    <n v="70"/>
  </r>
  <r>
    <x v="297"/>
    <x v="2"/>
    <s v="B"/>
    <n v="182"/>
    <s v="Female"/>
    <n v="13"/>
    <x v="1"/>
    <s v="Yes"/>
    <s v="Non-Veg"/>
    <x v="4"/>
    <x v="0"/>
    <x v="1"/>
    <x v="1"/>
    <n v="70"/>
  </r>
  <r>
    <x v="298"/>
    <x v="2"/>
    <s v="B"/>
    <n v="191"/>
    <s v="Female"/>
    <n v="14"/>
    <x v="1"/>
    <s v="Yes"/>
    <s v="Non-Veg"/>
    <x v="0"/>
    <x v="0"/>
    <x v="1"/>
    <x v="1"/>
    <n v="70"/>
  </r>
  <r>
    <x v="299"/>
    <x v="2"/>
    <s v="B"/>
    <n v="193"/>
    <s v="Female"/>
    <n v="13"/>
    <x v="1"/>
    <s v="No"/>
    <s v="Veg"/>
    <x v="3"/>
    <x v="1"/>
    <x v="1"/>
    <x v="1"/>
    <n v="70"/>
  </r>
  <r>
    <x v="300"/>
    <x v="2"/>
    <s v="B"/>
    <n v="197"/>
    <s v="Male"/>
    <n v="14"/>
    <x v="0"/>
    <s v="Yes"/>
    <s v="Veg"/>
    <x v="1"/>
    <x v="3"/>
    <x v="1"/>
    <x v="0"/>
    <n v="70"/>
  </r>
  <r>
    <x v="301"/>
    <x v="2"/>
    <s v="B"/>
    <n v="199"/>
    <s v="Male"/>
    <n v="13"/>
    <x v="1"/>
    <s v="No"/>
    <s v="Veg"/>
    <x v="3"/>
    <x v="3"/>
    <x v="1"/>
    <x v="1"/>
    <n v="70"/>
  </r>
  <r>
    <x v="213"/>
    <x v="2"/>
    <s v="C"/>
    <n v="3"/>
    <s v="Male"/>
    <n v="14"/>
    <x v="1"/>
    <s v="No"/>
    <s v="Non-Veg"/>
    <x v="2"/>
    <x v="2"/>
    <x v="1"/>
    <x v="1"/>
    <n v="70"/>
  </r>
  <r>
    <x v="302"/>
    <x v="2"/>
    <s v="C"/>
    <n v="4"/>
    <s v="Male"/>
    <n v="13"/>
    <x v="1"/>
    <s v="Yes"/>
    <s v="Veg"/>
    <x v="1"/>
    <x v="1"/>
    <x v="1"/>
    <x v="1"/>
    <n v="70"/>
  </r>
  <r>
    <x v="303"/>
    <x v="2"/>
    <s v="C"/>
    <n v="6"/>
    <s v="Male"/>
    <n v="14"/>
    <x v="0"/>
    <s v="No"/>
    <s v="Veg"/>
    <x v="4"/>
    <x v="0"/>
    <x v="1"/>
    <x v="0"/>
    <n v="70"/>
  </r>
  <r>
    <x v="304"/>
    <x v="2"/>
    <s v="C"/>
    <n v="7"/>
    <s v="Female"/>
    <n v="13"/>
    <x v="1"/>
    <s v="Yes"/>
    <s v="Veg"/>
    <x v="2"/>
    <x v="0"/>
    <x v="1"/>
    <x v="1"/>
    <n v="70"/>
  </r>
  <r>
    <x v="228"/>
    <x v="2"/>
    <s v="C"/>
    <n v="18"/>
    <s v="Female"/>
    <n v="13"/>
    <x v="1"/>
    <s v="No"/>
    <s v="Veg"/>
    <x v="0"/>
    <x v="0"/>
    <x v="1"/>
    <x v="1"/>
    <n v="70"/>
  </r>
  <r>
    <x v="305"/>
    <x v="2"/>
    <s v="C"/>
    <n v="19"/>
    <s v="Female"/>
    <n v="14"/>
    <x v="1"/>
    <s v="Yes"/>
    <s v="Veg"/>
    <x v="1"/>
    <x v="3"/>
    <x v="1"/>
    <x v="1"/>
    <n v="70"/>
  </r>
  <r>
    <x v="306"/>
    <x v="2"/>
    <s v="C"/>
    <n v="22"/>
    <s v="Male"/>
    <n v="14"/>
    <x v="1"/>
    <s v="Yes"/>
    <s v="Veg"/>
    <x v="3"/>
    <x v="0"/>
    <x v="1"/>
    <x v="1"/>
    <n v="70"/>
  </r>
  <r>
    <x v="307"/>
    <x v="2"/>
    <s v="C"/>
    <n v="38"/>
    <s v="Female"/>
    <n v="13"/>
    <x v="0"/>
    <s v="No"/>
    <s v="Non-Veg"/>
    <x v="4"/>
    <x v="2"/>
    <x v="1"/>
    <x v="0"/>
    <n v="70"/>
  </r>
  <r>
    <x v="308"/>
    <x v="2"/>
    <s v="C"/>
    <n v="39"/>
    <s v="Male"/>
    <n v="13"/>
    <x v="0"/>
    <s v="Yes"/>
    <s v="Non-Veg"/>
    <x v="2"/>
    <x v="3"/>
    <x v="1"/>
    <x v="0"/>
    <n v="70"/>
  </r>
  <r>
    <x v="309"/>
    <x v="2"/>
    <s v="C"/>
    <n v="50"/>
    <s v="Male"/>
    <n v="14"/>
    <x v="1"/>
    <s v="No"/>
    <s v="Non-Veg"/>
    <x v="0"/>
    <x v="0"/>
    <x v="1"/>
    <x v="1"/>
    <n v="70"/>
  </r>
  <r>
    <x v="310"/>
    <x v="2"/>
    <s v="C"/>
    <n v="55"/>
    <s v="Male"/>
    <n v="14"/>
    <x v="1"/>
    <s v="No"/>
    <s v="Veg"/>
    <x v="0"/>
    <x v="3"/>
    <x v="1"/>
    <x v="1"/>
    <n v="70"/>
  </r>
  <r>
    <x v="311"/>
    <x v="2"/>
    <s v="C"/>
    <n v="61"/>
    <s v="Male"/>
    <n v="14"/>
    <x v="0"/>
    <s v="No"/>
    <s v="Veg"/>
    <x v="1"/>
    <x v="0"/>
    <x v="1"/>
    <x v="0"/>
    <n v="70"/>
  </r>
  <r>
    <x v="312"/>
    <x v="2"/>
    <s v="C"/>
    <n v="63"/>
    <s v="Female"/>
    <n v="14"/>
    <x v="0"/>
    <s v="No"/>
    <s v="Veg"/>
    <x v="0"/>
    <x v="2"/>
    <x v="1"/>
    <x v="0"/>
    <n v="70"/>
  </r>
  <r>
    <x v="313"/>
    <x v="2"/>
    <s v="C"/>
    <n v="82"/>
    <s v="Female"/>
    <n v="13"/>
    <x v="1"/>
    <s v="No"/>
    <s v="Veg"/>
    <x v="1"/>
    <x v="1"/>
    <x v="1"/>
    <x v="1"/>
    <n v="70"/>
  </r>
  <r>
    <x v="314"/>
    <x v="2"/>
    <s v="C"/>
    <n v="96"/>
    <s v="Female"/>
    <n v="14"/>
    <x v="1"/>
    <s v="Yes"/>
    <s v="Non-Veg"/>
    <x v="1"/>
    <x v="1"/>
    <x v="1"/>
    <x v="1"/>
    <n v="70"/>
  </r>
  <r>
    <x v="315"/>
    <x v="2"/>
    <s v="C"/>
    <n v="98"/>
    <s v="Male"/>
    <n v="13"/>
    <x v="0"/>
    <s v="Yes"/>
    <s v="Non-Veg"/>
    <x v="0"/>
    <x v="0"/>
    <x v="1"/>
    <x v="0"/>
    <n v="70"/>
  </r>
  <r>
    <x v="316"/>
    <x v="2"/>
    <s v="C"/>
    <n v="107"/>
    <s v="Male"/>
    <n v="13"/>
    <x v="0"/>
    <s v="No"/>
    <s v="Non-Veg"/>
    <x v="1"/>
    <x v="2"/>
    <x v="1"/>
    <x v="0"/>
    <n v="70"/>
  </r>
  <r>
    <x v="317"/>
    <x v="2"/>
    <s v="C"/>
    <n v="116"/>
    <s v="Male"/>
    <n v="13"/>
    <x v="1"/>
    <s v="Yes"/>
    <s v="Non-Veg"/>
    <x v="1"/>
    <x v="3"/>
    <x v="1"/>
    <x v="1"/>
    <n v="70"/>
  </r>
  <r>
    <x v="318"/>
    <x v="2"/>
    <s v="C"/>
    <n v="123"/>
    <s v="Female"/>
    <n v="13"/>
    <x v="1"/>
    <s v="Yes"/>
    <s v="Veg"/>
    <x v="1"/>
    <x v="3"/>
    <x v="1"/>
    <x v="1"/>
    <n v="70"/>
  </r>
  <r>
    <x v="319"/>
    <x v="2"/>
    <s v="C"/>
    <n v="124"/>
    <s v="Male"/>
    <n v="14"/>
    <x v="1"/>
    <s v="Yes"/>
    <s v="Non-Veg"/>
    <x v="4"/>
    <x v="0"/>
    <x v="1"/>
    <x v="1"/>
    <n v="70"/>
  </r>
  <r>
    <x v="320"/>
    <x v="2"/>
    <s v="C"/>
    <n v="125"/>
    <s v="Male"/>
    <n v="13"/>
    <x v="1"/>
    <s v="No"/>
    <s v="Veg"/>
    <x v="1"/>
    <x v="3"/>
    <x v="1"/>
    <x v="1"/>
    <n v="70"/>
  </r>
  <r>
    <x v="321"/>
    <x v="2"/>
    <s v="C"/>
    <n v="129"/>
    <s v="Male"/>
    <n v="14"/>
    <x v="1"/>
    <s v="No"/>
    <s v="Veg"/>
    <x v="4"/>
    <x v="0"/>
    <x v="1"/>
    <x v="1"/>
    <n v="70"/>
  </r>
  <r>
    <x v="322"/>
    <x v="2"/>
    <s v="C"/>
    <n v="133"/>
    <s v="Male"/>
    <n v="13"/>
    <x v="0"/>
    <s v="No"/>
    <s v="Veg"/>
    <x v="2"/>
    <x v="0"/>
    <x v="1"/>
    <x v="0"/>
    <n v="70"/>
  </r>
  <r>
    <x v="323"/>
    <x v="2"/>
    <s v="C"/>
    <n v="153"/>
    <s v="Female"/>
    <n v="13"/>
    <x v="1"/>
    <s v="No"/>
    <s v="Veg"/>
    <x v="2"/>
    <x v="1"/>
    <x v="1"/>
    <x v="1"/>
    <n v="70"/>
  </r>
  <r>
    <x v="324"/>
    <x v="2"/>
    <s v="C"/>
    <n v="157"/>
    <s v="Female"/>
    <n v="14"/>
    <x v="0"/>
    <s v="No"/>
    <s v="Non-Veg"/>
    <x v="2"/>
    <x v="2"/>
    <x v="1"/>
    <x v="0"/>
    <n v="70"/>
  </r>
  <r>
    <x v="325"/>
    <x v="2"/>
    <s v="C"/>
    <n v="168"/>
    <s v="Male"/>
    <n v="14"/>
    <x v="0"/>
    <s v="Yes"/>
    <s v="Veg"/>
    <x v="1"/>
    <x v="1"/>
    <x v="1"/>
    <x v="0"/>
    <n v="70"/>
  </r>
  <r>
    <x v="326"/>
    <x v="2"/>
    <s v="C"/>
    <n v="178"/>
    <s v="Female"/>
    <n v="13"/>
    <x v="1"/>
    <s v="No"/>
    <s v="Veg"/>
    <x v="2"/>
    <x v="3"/>
    <x v="1"/>
    <x v="1"/>
    <n v="70"/>
  </r>
  <r>
    <x v="327"/>
    <x v="2"/>
    <s v="C"/>
    <n v="180"/>
    <s v="Male"/>
    <n v="13"/>
    <x v="0"/>
    <s v="Yes"/>
    <s v="Veg"/>
    <x v="1"/>
    <x v="0"/>
    <x v="1"/>
    <x v="0"/>
    <n v="70"/>
  </r>
  <r>
    <x v="328"/>
    <x v="2"/>
    <s v="C"/>
    <n v="181"/>
    <s v="Male"/>
    <n v="14"/>
    <x v="1"/>
    <s v="No"/>
    <s v="Non-Veg"/>
    <x v="2"/>
    <x v="0"/>
    <x v="1"/>
    <x v="1"/>
    <n v="70"/>
  </r>
  <r>
    <x v="329"/>
    <x v="2"/>
    <s v="D"/>
    <n v="13"/>
    <s v="Female"/>
    <n v="13"/>
    <x v="0"/>
    <s v="Yes"/>
    <s v="Veg"/>
    <x v="0"/>
    <x v="3"/>
    <x v="1"/>
    <x v="0"/>
    <n v="70"/>
  </r>
  <r>
    <x v="330"/>
    <x v="2"/>
    <s v="D"/>
    <n v="15"/>
    <s v="Male"/>
    <n v="14"/>
    <x v="0"/>
    <s v="Yes"/>
    <s v="Non-Veg"/>
    <x v="1"/>
    <x v="3"/>
    <x v="1"/>
    <x v="0"/>
    <n v="70"/>
  </r>
  <r>
    <x v="331"/>
    <x v="2"/>
    <s v="D"/>
    <n v="25"/>
    <s v="Male"/>
    <n v="13"/>
    <x v="1"/>
    <s v="Yes"/>
    <s v="Veg"/>
    <x v="1"/>
    <x v="2"/>
    <x v="1"/>
    <x v="1"/>
    <n v="70"/>
  </r>
  <r>
    <x v="332"/>
    <x v="2"/>
    <s v="D"/>
    <n v="36"/>
    <s v="Male"/>
    <n v="13"/>
    <x v="1"/>
    <s v="Yes"/>
    <s v="Non-Veg"/>
    <x v="1"/>
    <x v="1"/>
    <x v="1"/>
    <x v="1"/>
    <n v="70"/>
  </r>
  <r>
    <x v="333"/>
    <x v="2"/>
    <s v="D"/>
    <n v="41"/>
    <s v="Male"/>
    <n v="13"/>
    <x v="1"/>
    <s v="No"/>
    <s v="Veg"/>
    <x v="3"/>
    <x v="1"/>
    <x v="1"/>
    <x v="1"/>
    <n v="70"/>
  </r>
  <r>
    <x v="334"/>
    <x v="2"/>
    <s v="D"/>
    <n v="49"/>
    <s v="Female"/>
    <n v="13"/>
    <x v="0"/>
    <s v="No"/>
    <s v="Non-Veg"/>
    <x v="2"/>
    <x v="2"/>
    <x v="1"/>
    <x v="0"/>
    <n v="70"/>
  </r>
  <r>
    <x v="335"/>
    <x v="2"/>
    <s v="D"/>
    <n v="53"/>
    <s v="Female"/>
    <n v="14"/>
    <x v="0"/>
    <s v="No"/>
    <s v="Veg"/>
    <x v="3"/>
    <x v="2"/>
    <x v="1"/>
    <x v="0"/>
    <n v="70"/>
  </r>
  <r>
    <x v="336"/>
    <x v="2"/>
    <s v="D"/>
    <n v="56"/>
    <s v="Female"/>
    <n v="14"/>
    <x v="0"/>
    <s v="No"/>
    <s v="Non-Veg"/>
    <x v="1"/>
    <x v="0"/>
    <x v="1"/>
    <x v="0"/>
    <n v="70"/>
  </r>
  <r>
    <x v="337"/>
    <x v="2"/>
    <s v="D"/>
    <n v="60"/>
    <s v="Male"/>
    <n v="14"/>
    <x v="1"/>
    <s v="No"/>
    <s v="Non-Veg"/>
    <x v="1"/>
    <x v="0"/>
    <x v="1"/>
    <x v="1"/>
    <n v="70"/>
  </r>
  <r>
    <x v="338"/>
    <x v="2"/>
    <s v="D"/>
    <n v="67"/>
    <s v="Female"/>
    <n v="14"/>
    <x v="1"/>
    <s v="No"/>
    <s v="Veg"/>
    <x v="1"/>
    <x v="3"/>
    <x v="1"/>
    <x v="1"/>
    <n v="70"/>
  </r>
  <r>
    <x v="339"/>
    <x v="2"/>
    <s v="D"/>
    <n v="68"/>
    <s v="Male"/>
    <n v="13"/>
    <x v="0"/>
    <s v="Yes"/>
    <s v="Non-Veg"/>
    <x v="3"/>
    <x v="1"/>
    <x v="1"/>
    <x v="0"/>
    <n v="70"/>
  </r>
  <r>
    <x v="340"/>
    <x v="2"/>
    <s v="D"/>
    <n v="81"/>
    <s v="Female"/>
    <n v="14"/>
    <x v="1"/>
    <s v="Yes"/>
    <s v="Veg"/>
    <x v="3"/>
    <x v="1"/>
    <x v="1"/>
    <x v="1"/>
    <n v="70"/>
  </r>
  <r>
    <x v="341"/>
    <x v="2"/>
    <s v="D"/>
    <n v="83"/>
    <s v="Female"/>
    <n v="13"/>
    <x v="0"/>
    <s v="Yes"/>
    <s v="Veg"/>
    <x v="3"/>
    <x v="0"/>
    <x v="1"/>
    <x v="0"/>
    <n v="70"/>
  </r>
  <r>
    <x v="342"/>
    <x v="2"/>
    <s v="D"/>
    <n v="86"/>
    <s v="Female"/>
    <n v="14"/>
    <x v="1"/>
    <s v="No"/>
    <s v="Non-Veg"/>
    <x v="1"/>
    <x v="3"/>
    <x v="1"/>
    <x v="1"/>
    <n v="70"/>
  </r>
  <r>
    <x v="343"/>
    <x v="2"/>
    <s v="D"/>
    <n v="120"/>
    <s v="Female"/>
    <n v="14"/>
    <x v="1"/>
    <s v="No"/>
    <s v="Veg"/>
    <x v="0"/>
    <x v="3"/>
    <x v="1"/>
    <x v="1"/>
    <n v="70"/>
  </r>
  <r>
    <x v="344"/>
    <x v="2"/>
    <s v="D"/>
    <n v="127"/>
    <s v="Female"/>
    <n v="14"/>
    <x v="1"/>
    <s v="Yes"/>
    <s v="Non-Veg"/>
    <x v="1"/>
    <x v="0"/>
    <x v="1"/>
    <x v="1"/>
    <n v="70"/>
  </r>
  <r>
    <x v="345"/>
    <x v="2"/>
    <s v="D"/>
    <n v="135"/>
    <s v="Male"/>
    <n v="13"/>
    <x v="1"/>
    <s v="Yes"/>
    <s v="Non-Veg"/>
    <x v="2"/>
    <x v="0"/>
    <x v="1"/>
    <x v="1"/>
    <n v="70"/>
  </r>
  <r>
    <x v="346"/>
    <x v="2"/>
    <s v="D"/>
    <n v="148"/>
    <s v="Male"/>
    <n v="13"/>
    <x v="0"/>
    <s v="Yes"/>
    <s v="Non-Veg"/>
    <x v="1"/>
    <x v="3"/>
    <x v="1"/>
    <x v="0"/>
    <n v="70"/>
  </r>
  <r>
    <x v="347"/>
    <x v="2"/>
    <s v="D"/>
    <n v="150"/>
    <s v="Female"/>
    <n v="13"/>
    <x v="1"/>
    <s v="Yes"/>
    <s v="Veg"/>
    <x v="3"/>
    <x v="1"/>
    <x v="1"/>
    <x v="1"/>
    <n v="70"/>
  </r>
  <r>
    <x v="348"/>
    <x v="2"/>
    <s v="D"/>
    <n v="163"/>
    <s v="Female"/>
    <n v="13"/>
    <x v="0"/>
    <s v="Yes"/>
    <s v="Non-Veg"/>
    <x v="1"/>
    <x v="0"/>
    <x v="1"/>
    <x v="0"/>
    <n v="70"/>
  </r>
  <r>
    <x v="349"/>
    <x v="2"/>
    <s v="D"/>
    <n v="173"/>
    <s v="Male"/>
    <n v="13"/>
    <x v="1"/>
    <s v="No"/>
    <s v="Veg"/>
    <x v="1"/>
    <x v="1"/>
    <x v="1"/>
    <x v="1"/>
    <n v="70"/>
  </r>
  <r>
    <x v="350"/>
    <x v="2"/>
    <s v="D"/>
    <n v="184"/>
    <s v="Female"/>
    <n v="13"/>
    <x v="0"/>
    <s v="No"/>
    <s v="Non-Veg"/>
    <x v="2"/>
    <x v="2"/>
    <x v="1"/>
    <x v="0"/>
    <n v="70"/>
  </r>
  <r>
    <x v="351"/>
    <x v="2"/>
    <s v="D"/>
    <n v="194"/>
    <s v="Female"/>
    <n v="14"/>
    <x v="1"/>
    <s v="Yes"/>
    <s v="Non-Veg"/>
    <x v="0"/>
    <x v="2"/>
    <x v="1"/>
    <x v="1"/>
    <n v="70"/>
  </r>
  <r>
    <x v="352"/>
    <x v="2"/>
    <s v="D"/>
    <n v="195"/>
    <s v="Female"/>
    <n v="13"/>
    <x v="0"/>
    <s v="No"/>
    <s v="Non-Veg"/>
    <x v="0"/>
    <x v="2"/>
    <x v="1"/>
    <x v="0"/>
    <n v="70"/>
  </r>
  <r>
    <x v="268"/>
    <x v="2"/>
    <s v="D"/>
    <n v="196"/>
    <s v="Male"/>
    <n v="14"/>
    <x v="1"/>
    <s v="No"/>
    <s v="Veg"/>
    <x v="1"/>
    <x v="0"/>
    <x v="1"/>
    <x v="1"/>
    <n v="70"/>
  </r>
  <r>
    <x v="353"/>
    <x v="3"/>
    <s v="A"/>
    <n v="11"/>
    <s v="Male"/>
    <n v="14"/>
    <x v="1"/>
    <s v="No"/>
    <s v="Non-Veg"/>
    <x v="2"/>
    <x v="2"/>
    <x v="1"/>
    <x v="1"/>
    <n v="80"/>
  </r>
  <r>
    <x v="354"/>
    <x v="3"/>
    <s v="A"/>
    <n v="13"/>
    <s v="Male"/>
    <n v="15"/>
    <x v="0"/>
    <s v="No"/>
    <s v="Veg"/>
    <x v="4"/>
    <x v="3"/>
    <x v="1"/>
    <x v="0"/>
    <n v="80"/>
  </r>
  <r>
    <x v="355"/>
    <x v="3"/>
    <s v="A"/>
    <n v="19"/>
    <s v="Female"/>
    <n v="14"/>
    <x v="1"/>
    <s v="Yes"/>
    <s v="Non-Veg"/>
    <x v="3"/>
    <x v="3"/>
    <x v="1"/>
    <x v="1"/>
    <n v="80"/>
  </r>
  <r>
    <x v="356"/>
    <x v="3"/>
    <s v="A"/>
    <n v="24"/>
    <s v="Female"/>
    <n v="15"/>
    <x v="0"/>
    <s v="Yes"/>
    <s v="Non-Veg"/>
    <x v="4"/>
    <x v="0"/>
    <x v="1"/>
    <x v="0"/>
    <n v="80"/>
  </r>
  <r>
    <x v="357"/>
    <x v="3"/>
    <s v="A"/>
    <n v="32"/>
    <s v="Male"/>
    <n v="15"/>
    <x v="0"/>
    <s v="Yes"/>
    <s v="Non-Veg"/>
    <x v="1"/>
    <x v="2"/>
    <x v="1"/>
    <x v="0"/>
    <n v="80"/>
  </r>
  <r>
    <x v="358"/>
    <x v="3"/>
    <s v="A"/>
    <n v="33"/>
    <s v="Female"/>
    <n v="15"/>
    <x v="0"/>
    <s v="No"/>
    <s v="Non-Veg"/>
    <x v="4"/>
    <x v="3"/>
    <x v="1"/>
    <x v="0"/>
    <n v="80"/>
  </r>
  <r>
    <x v="359"/>
    <x v="3"/>
    <s v="A"/>
    <n v="42"/>
    <s v="Female"/>
    <n v="14"/>
    <x v="1"/>
    <s v="No"/>
    <s v="Veg"/>
    <x v="0"/>
    <x v="3"/>
    <x v="1"/>
    <x v="1"/>
    <n v="80"/>
  </r>
  <r>
    <x v="360"/>
    <x v="3"/>
    <s v="A"/>
    <n v="50"/>
    <s v="Female"/>
    <n v="14"/>
    <x v="1"/>
    <s v="No"/>
    <s v="Veg"/>
    <x v="1"/>
    <x v="0"/>
    <x v="1"/>
    <x v="1"/>
    <n v="80"/>
  </r>
  <r>
    <x v="361"/>
    <x v="3"/>
    <s v="A"/>
    <n v="60"/>
    <s v="Male"/>
    <n v="14"/>
    <x v="1"/>
    <s v="No"/>
    <s v="Non-Veg"/>
    <x v="1"/>
    <x v="3"/>
    <x v="1"/>
    <x v="1"/>
    <n v="80"/>
  </r>
  <r>
    <x v="362"/>
    <x v="3"/>
    <s v="A"/>
    <n v="62"/>
    <s v="Female"/>
    <n v="14"/>
    <x v="0"/>
    <s v="No"/>
    <s v="Veg"/>
    <x v="2"/>
    <x v="0"/>
    <x v="1"/>
    <x v="0"/>
    <n v="80"/>
  </r>
  <r>
    <x v="363"/>
    <x v="3"/>
    <s v="A"/>
    <n v="70"/>
    <s v="Male"/>
    <n v="14"/>
    <x v="1"/>
    <s v="Yes"/>
    <s v="Non-Veg"/>
    <x v="3"/>
    <x v="0"/>
    <x v="1"/>
    <x v="1"/>
    <n v="80"/>
  </r>
  <r>
    <x v="364"/>
    <x v="3"/>
    <s v="A"/>
    <n v="78"/>
    <s v="Male"/>
    <n v="14"/>
    <x v="1"/>
    <s v="No"/>
    <s v="Non-Veg"/>
    <x v="4"/>
    <x v="3"/>
    <x v="1"/>
    <x v="1"/>
    <n v="80"/>
  </r>
  <r>
    <x v="360"/>
    <x v="3"/>
    <s v="A"/>
    <n v="84"/>
    <s v="Female"/>
    <n v="15"/>
    <x v="0"/>
    <s v="No"/>
    <s v="Non-Veg"/>
    <x v="4"/>
    <x v="1"/>
    <x v="1"/>
    <x v="0"/>
    <n v="80"/>
  </r>
  <r>
    <x v="365"/>
    <x v="3"/>
    <s v="A"/>
    <n v="92"/>
    <s v="Male"/>
    <n v="14"/>
    <x v="1"/>
    <s v="Yes"/>
    <s v="Veg"/>
    <x v="2"/>
    <x v="0"/>
    <x v="1"/>
    <x v="1"/>
    <n v="80"/>
  </r>
  <r>
    <x v="366"/>
    <x v="3"/>
    <s v="A"/>
    <n v="98"/>
    <s v="Female"/>
    <n v="15"/>
    <x v="0"/>
    <s v="No"/>
    <s v="Non-Veg"/>
    <x v="2"/>
    <x v="0"/>
    <x v="1"/>
    <x v="0"/>
    <n v="80"/>
  </r>
  <r>
    <x v="367"/>
    <x v="3"/>
    <s v="A"/>
    <n v="101"/>
    <s v="Female"/>
    <n v="15"/>
    <x v="0"/>
    <s v="Yes"/>
    <s v="Non-Veg"/>
    <x v="1"/>
    <x v="1"/>
    <x v="1"/>
    <x v="0"/>
    <n v="80"/>
  </r>
  <r>
    <x v="368"/>
    <x v="3"/>
    <s v="A"/>
    <n v="109"/>
    <s v="Female"/>
    <n v="15"/>
    <x v="1"/>
    <s v="Yes"/>
    <s v="Veg"/>
    <x v="4"/>
    <x v="3"/>
    <x v="1"/>
    <x v="1"/>
    <n v="80"/>
  </r>
  <r>
    <x v="369"/>
    <x v="3"/>
    <s v="A"/>
    <n v="114"/>
    <s v="Female"/>
    <n v="14"/>
    <x v="1"/>
    <s v="Yes"/>
    <s v="Veg"/>
    <x v="2"/>
    <x v="2"/>
    <x v="1"/>
    <x v="1"/>
    <n v="80"/>
  </r>
  <r>
    <x v="370"/>
    <x v="3"/>
    <s v="A"/>
    <n v="126"/>
    <s v="Male"/>
    <n v="14"/>
    <x v="1"/>
    <s v="Yes"/>
    <s v="Non-Veg"/>
    <x v="4"/>
    <x v="0"/>
    <x v="1"/>
    <x v="1"/>
    <n v="80"/>
  </r>
  <r>
    <x v="371"/>
    <x v="3"/>
    <s v="A"/>
    <n v="141"/>
    <s v="Female"/>
    <n v="14"/>
    <x v="1"/>
    <s v="No"/>
    <s v="Veg"/>
    <x v="1"/>
    <x v="3"/>
    <x v="1"/>
    <x v="1"/>
    <n v="80"/>
  </r>
  <r>
    <x v="372"/>
    <x v="3"/>
    <s v="A"/>
    <n v="145"/>
    <s v="Female"/>
    <n v="15"/>
    <x v="0"/>
    <s v="No"/>
    <s v="Non-Veg"/>
    <x v="1"/>
    <x v="0"/>
    <x v="1"/>
    <x v="0"/>
    <n v="80"/>
  </r>
  <r>
    <x v="373"/>
    <x v="3"/>
    <s v="A"/>
    <n v="146"/>
    <s v="Male"/>
    <n v="15"/>
    <x v="0"/>
    <s v="No"/>
    <s v="Non-Veg"/>
    <x v="1"/>
    <x v="0"/>
    <x v="1"/>
    <x v="0"/>
    <n v="80"/>
  </r>
  <r>
    <x v="374"/>
    <x v="3"/>
    <s v="A"/>
    <n v="165"/>
    <s v="Female"/>
    <n v="15"/>
    <x v="1"/>
    <s v="No"/>
    <s v="Veg"/>
    <x v="0"/>
    <x v="0"/>
    <x v="1"/>
    <x v="1"/>
    <n v="80"/>
  </r>
  <r>
    <x v="375"/>
    <x v="3"/>
    <s v="A"/>
    <n v="173"/>
    <s v="Male"/>
    <n v="14"/>
    <x v="1"/>
    <s v="No"/>
    <s v="Veg"/>
    <x v="2"/>
    <x v="3"/>
    <x v="1"/>
    <x v="1"/>
    <n v="80"/>
  </r>
  <r>
    <x v="376"/>
    <x v="3"/>
    <s v="A"/>
    <n v="176"/>
    <s v="Male"/>
    <n v="15"/>
    <x v="1"/>
    <s v="Yes"/>
    <s v="Non-Veg"/>
    <x v="1"/>
    <x v="3"/>
    <x v="1"/>
    <x v="1"/>
    <n v="80"/>
  </r>
  <r>
    <x v="377"/>
    <x v="3"/>
    <s v="A"/>
    <n v="181"/>
    <s v="Male"/>
    <n v="15"/>
    <x v="0"/>
    <s v="Yes"/>
    <s v="Veg"/>
    <x v="2"/>
    <x v="3"/>
    <x v="1"/>
    <x v="0"/>
    <n v="80"/>
  </r>
  <r>
    <x v="378"/>
    <x v="3"/>
    <s v="A"/>
    <n v="184"/>
    <s v="Female"/>
    <n v="14"/>
    <x v="0"/>
    <s v="Yes"/>
    <s v="Veg"/>
    <x v="4"/>
    <x v="2"/>
    <x v="1"/>
    <x v="0"/>
    <n v="80"/>
  </r>
  <r>
    <x v="379"/>
    <x v="3"/>
    <s v="A"/>
    <n v="195"/>
    <s v="Male"/>
    <n v="14"/>
    <x v="0"/>
    <s v="Yes"/>
    <s v="Veg"/>
    <x v="0"/>
    <x v="2"/>
    <x v="1"/>
    <x v="0"/>
    <n v="80"/>
  </r>
  <r>
    <x v="380"/>
    <x v="3"/>
    <s v="A"/>
    <n v="198"/>
    <s v="Female"/>
    <n v="15"/>
    <x v="1"/>
    <s v="Yes"/>
    <s v="Veg"/>
    <x v="1"/>
    <x v="1"/>
    <x v="1"/>
    <x v="1"/>
    <n v="80"/>
  </r>
  <r>
    <x v="381"/>
    <x v="3"/>
    <s v="A"/>
    <n v="199"/>
    <s v="Male"/>
    <n v="15"/>
    <x v="1"/>
    <s v="Yes"/>
    <s v="Veg"/>
    <x v="1"/>
    <x v="2"/>
    <x v="1"/>
    <x v="1"/>
    <n v="80"/>
  </r>
  <r>
    <x v="382"/>
    <x v="3"/>
    <s v="B"/>
    <n v="14"/>
    <s v="Female"/>
    <n v="14"/>
    <x v="0"/>
    <s v="No"/>
    <s v="Veg"/>
    <x v="0"/>
    <x v="0"/>
    <x v="1"/>
    <x v="0"/>
    <n v="80"/>
  </r>
  <r>
    <x v="383"/>
    <x v="3"/>
    <s v="B"/>
    <n v="22"/>
    <s v="Female"/>
    <n v="14"/>
    <x v="1"/>
    <s v="Yes"/>
    <s v="Veg"/>
    <x v="1"/>
    <x v="3"/>
    <x v="1"/>
    <x v="1"/>
    <n v="80"/>
  </r>
  <r>
    <x v="4"/>
    <x v="3"/>
    <s v="B"/>
    <n v="23"/>
    <s v="Male"/>
    <n v="14"/>
    <x v="1"/>
    <s v="Yes"/>
    <s v="Veg"/>
    <x v="1"/>
    <x v="0"/>
    <x v="1"/>
    <x v="1"/>
    <n v="80"/>
  </r>
  <r>
    <x v="384"/>
    <x v="3"/>
    <s v="B"/>
    <n v="35"/>
    <s v="Male"/>
    <n v="14"/>
    <x v="0"/>
    <s v="Yes"/>
    <s v="Veg"/>
    <x v="3"/>
    <x v="3"/>
    <x v="1"/>
    <x v="0"/>
    <n v="80"/>
  </r>
  <r>
    <x v="385"/>
    <x v="3"/>
    <s v="B"/>
    <n v="38"/>
    <s v="Female"/>
    <n v="14"/>
    <x v="1"/>
    <s v="No"/>
    <s v="Veg"/>
    <x v="3"/>
    <x v="1"/>
    <x v="1"/>
    <x v="1"/>
    <n v="80"/>
  </r>
  <r>
    <x v="386"/>
    <x v="3"/>
    <s v="B"/>
    <n v="39"/>
    <s v="Female"/>
    <n v="14"/>
    <x v="0"/>
    <s v="Yes"/>
    <s v="Non-Veg"/>
    <x v="4"/>
    <x v="3"/>
    <x v="1"/>
    <x v="0"/>
    <n v="80"/>
  </r>
  <r>
    <x v="387"/>
    <x v="3"/>
    <s v="B"/>
    <n v="45"/>
    <s v="Male"/>
    <n v="15"/>
    <x v="0"/>
    <s v="Yes"/>
    <s v="Non-Veg"/>
    <x v="1"/>
    <x v="3"/>
    <x v="1"/>
    <x v="0"/>
    <n v="80"/>
  </r>
  <r>
    <x v="377"/>
    <x v="3"/>
    <s v="B"/>
    <n v="49"/>
    <s v="Male"/>
    <n v="14"/>
    <x v="0"/>
    <s v="Yes"/>
    <s v="Veg"/>
    <x v="2"/>
    <x v="0"/>
    <x v="1"/>
    <x v="0"/>
    <n v="80"/>
  </r>
  <r>
    <x v="388"/>
    <x v="3"/>
    <s v="B"/>
    <n v="51"/>
    <s v="Female"/>
    <n v="15"/>
    <x v="0"/>
    <s v="Yes"/>
    <s v="Veg"/>
    <x v="3"/>
    <x v="3"/>
    <x v="1"/>
    <x v="0"/>
    <n v="80"/>
  </r>
  <r>
    <x v="389"/>
    <x v="3"/>
    <s v="B"/>
    <n v="52"/>
    <s v="Female"/>
    <n v="15"/>
    <x v="0"/>
    <s v="No"/>
    <s v="Veg"/>
    <x v="4"/>
    <x v="0"/>
    <x v="1"/>
    <x v="0"/>
    <n v="80"/>
  </r>
  <r>
    <x v="390"/>
    <x v="3"/>
    <s v="B"/>
    <n v="54"/>
    <s v="Male"/>
    <n v="15"/>
    <x v="1"/>
    <s v="No"/>
    <s v="Veg"/>
    <x v="1"/>
    <x v="2"/>
    <x v="1"/>
    <x v="1"/>
    <n v="80"/>
  </r>
  <r>
    <x v="314"/>
    <x v="3"/>
    <s v="B"/>
    <n v="66"/>
    <s v="Female"/>
    <n v="15"/>
    <x v="0"/>
    <s v="No"/>
    <s v="Veg"/>
    <x v="1"/>
    <x v="2"/>
    <x v="1"/>
    <x v="0"/>
    <n v="80"/>
  </r>
  <r>
    <x v="391"/>
    <x v="3"/>
    <s v="B"/>
    <n v="68"/>
    <s v="Male"/>
    <n v="15"/>
    <x v="0"/>
    <s v="Yes"/>
    <s v="Veg"/>
    <x v="3"/>
    <x v="1"/>
    <x v="1"/>
    <x v="0"/>
    <n v="80"/>
  </r>
  <r>
    <x v="169"/>
    <x v="3"/>
    <s v="B"/>
    <n v="77"/>
    <s v="Female"/>
    <n v="15"/>
    <x v="0"/>
    <s v="No"/>
    <s v="Non-Veg"/>
    <x v="4"/>
    <x v="3"/>
    <x v="1"/>
    <x v="0"/>
    <n v="80"/>
  </r>
  <r>
    <x v="392"/>
    <x v="3"/>
    <s v="B"/>
    <n v="96"/>
    <s v="Male"/>
    <n v="14"/>
    <x v="1"/>
    <s v="Yes"/>
    <s v="Veg"/>
    <x v="1"/>
    <x v="0"/>
    <x v="1"/>
    <x v="1"/>
    <n v="80"/>
  </r>
  <r>
    <x v="393"/>
    <x v="3"/>
    <s v="B"/>
    <n v="100"/>
    <s v="Male"/>
    <n v="14"/>
    <x v="1"/>
    <s v="No"/>
    <s v="Veg"/>
    <x v="3"/>
    <x v="0"/>
    <x v="1"/>
    <x v="1"/>
    <n v="80"/>
  </r>
  <r>
    <x v="394"/>
    <x v="3"/>
    <s v="B"/>
    <n v="111"/>
    <s v="Male"/>
    <n v="15"/>
    <x v="1"/>
    <s v="No"/>
    <s v="Non-Veg"/>
    <x v="1"/>
    <x v="3"/>
    <x v="1"/>
    <x v="1"/>
    <n v="80"/>
  </r>
  <r>
    <x v="395"/>
    <x v="3"/>
    <s v="B"/>
    <n v="112"/>
    <s v="Female"/>
    <n v="14"/>
    <x v="0"/>
    <s v="No"/>
    <s v="Non-Veg"/>
    <x v="3"/>
    <x v="0"/>
    <x v="1"/>
    <x v="0"/>
    <n v="80"/>
  </r>
  <r>
    <x v="396"/>
    <x v="3"/>
    <s v="B"/>
    <n v="116"/>
    <s v="Male"/>
    <n v="15"/>
    <x v="0"/>
    <s v="Yes"/>
    <s v="Veg"/>
    <x v="3"/>
    <x v="0"/>
    <x v="1"/>
    <x v="0"/>
    <n v="80"/>
  </r>
  <r>
    <x v="397"/>
    <x v="3"/>
    <s v="B"/>
    <n v="122"/>
    <s v="Female"/>
    <n v="15"/>
    <x v="0"/>
    <s v="No"/>
    <s v="Non-Veg"/>
    <x v="1"/>
    <x v="1"/>
    <x v="1"/>
    <x v="0"/>
    <n v="80"/>
  </r>
  <r>
    <x v="398"/>
    <x v="3"/>
    <s v="B"/>
    <n v="127"/>
    <s v="Male"/>
    <n v="15"/>
    <x v="0"/>
    <s v="No"/>
    <s v="Veg"/>
    <x v="4"/>
    <x v="0"/>
    <x v="1"/>
    <x v="0"/>
    <n v="80"/>
  </r>
  <r>
    <x v="399"/>
    <x v="3"/>
    <s v="B"/>
    <n v="128"/>
    <s v="Male"/>
    <n v="14"/>
    <x v="1"/>
    <s v="Yes"/>
    <s v="Non-Veg"/>
    <x v="0"/>
    <x v="2"/>
    <x v="1"/>
    <x v="1"/>
    <n v="80"/>
  </r>
  <r>
    <x v="400"/>
    <x v="3"/>
    <s v="B"/>
    <n v="130"/>
    <s v="Male"/>
    <n v="15"/>
    <x v="1"/>
    <s v="No"/>
    <s v="Non-Veg"/>
    <x v="0"/>
    <x v="3"/>
    <x v="1"/>
    <x v="1"/>
    <n v="80"/>
  </r>
  <r>
    <x v="401"/>
    <x v="3"/>
    <s v="B"/>
    <n v="136"/>
    <s v="Female"/>
    <n v="14"/>
    <x v="1"/>
    <s v="No"/>
    <s v="Non-Veg"/>
    <x v="0"/>
    <x v="0"/>
    <x v="1"/>
    <x v="1"/>
    <n v="80"/>
  </r>
  <r>
    <x v="230"/>
    <x v="3"/>
    <s v="B"/>
    <n v="147"/>
    <s v="Male"/>
    <n v="14"/>
    <x v="0"/>
    <s v="No"/>
    <s v="Non-Veg"/>
    <x v="1"/>
    <x v="2"/>
    <x v="1"/>
    <x v="0"/>
    <n v="80"/>
  </r>
  <r>
    <x v="402"/>
    <x v="3"/>
    <s v="B"/>
    <n v="157"/>
    <s v="Female"/>
    <n v="15"/>
    <x v="0"/>
    <s v="Yes"/>
    <s v="Non-Veg"/>
    <x v="1"/>
    <x v="2"/>
    <x v="1"/>
    <x v="0"/>
    <n v="80"/>
  </r>
  <r>
    <x v="403"/>
    <x v="3"/>
    <s v="B"/>
    <n v="158"/>
    <s v="Female"/>
    <n v="15"/>
    <x v="1"/>
    <s v="Yes"/>
    <s v="Non-Veg"/>
    <x v="3"/>
    <x v="2"/>
    <x v="1"/>
    <x v="1"/>
    <n v="80"/>
  </r>
  <r>
    <x v="404"/>
    <x v="3"/>
    <s v="B"/>
    <n v="174"/>
    <s v="Male"/>
    <n v="14"/>
    <x v="0"/>
    <s v="No"/>
    <s v="Non-Veg"/>
    <x v="3"/>
    <x v="0"/>
    <x v="1"/>
    <x v="0"/>
    <n v="80"/>
  </r>
  <r>
    <x v="405"/>
    <x v="3"/>
    <s v="B"/>
    <n v="177"/>
    <s v="Female"/>
    <n v="14"/>
    <x v="0"/>
    <s v="No"/>
    <s v="Non-Veg"/>
    <x v="1"/>
    <x v="3"/>
    <x v="1"/>
    <x v="0"/>
    <n v="80"/>
  </r>
  <r>
    <x v="406"/>
    <x v="3"/>
    <s v="B"/>
    <n v="180"/>
    <s v="Female"/>
    <n v="14"/>
    <x v="1"/>
    <s v="Yes"/>
    <s v="Non-Veg"/>
    <x v="4"/>
    <x v="0"/>
    <x v="1"/>
    <x v="1"/>
    <n v="80"/>
  </r>
  <r>
    <x v="407"/>
    <x v="3"/>
    <s v="C"/>
    <n v="2"/>
    <s v="Female"/>
    <n v="14"/>
    <x v="1"/>
    <s v="No"/>
    <s v="Non-Veg"/>
    <x v="1"/>
    <x v="1"/>
    <x v="1"/>
    <x v="1"/>
    <n v="80"/>
  </r>
  <r>
    <x v="408"/>
    <x v="3"/>
    <s v="C"/>
    <n v="8"/>
    <s v="Female"/>
    <n v="15"/>
    <x v="1"/>
    <s v="Yes"/>
    <s v="Veg"/>
    <x v="1"/>
    <x v="0"/>
    <x v="1"/>
    <x v="1"/>
    <n v="80"/>
  </r>
  <r>
    <x v="409"/>
    <x v="3"/>
    <s v="C"/>
    <n v="9"/>
    <s v="Male"/>
    <n v="15"/>
    <x v="0"/>
    <s v="No"/>
    <s v="Veg"/>
    <x v="1"/>
    <x v="0"/>
    <x v="1"/>
    <x v="0"/>
    <n v="80"/>
  </r>
  <r>
    <x v="167"/>
    <x v="3"/>
    <s v="C"/>
    <n v="20"/>
    <s v="Male"/>
    <n v="14"/>
    <x v="1"/>
    <s v="No"/>
    <s v="Veg"/>
    <x v="1"/>
    <x v="2"/>
    <x v="1"/>
    <x v="1"/>
    <n v="80"/>
  </r>
  <r>
    <x v="410"/>
    <x v="3"/>
    <s v="C"/>
    <n v="37"/>
    <s v="Female"/>
    <n v="14"/>
    <x v="0"/>
    <s v="No"/>
    <s v="Non-Veg"/>
    <x v="3"/>
    <x v="1"/>
    <x v="1"/>
    <x v="0"/>
    <n v="80"/>
  </r>
  <r>
    <x v="411"/>
    <x v="3"/>
    <s v="C"/>
    <n v="53"/>
    <s v="Female"/>
    <n v="14"/>
    <x v="0"/>
    <s v="No"/>
    <s v="Veg"/>
    <x v="4"/>
    <x v="3"/>
    <x v="1"/>
    <x v="0"/>
    <n v="80"/>
  </r>
  <r>
    <x v="412"/>
    <x v="3"/>
    <s v="C"/>
    <n v="57"/>
    <s v="Male"/>
    <n v="15"/>
    <x v="0"/>
    <s v="Yes"/>
    <s v="Veg"/>
    <x v="1"/>
    <x v="0"/>
    <x v="1"/>
    <x v="0"/>
    <n v="80"/>
  </r>
  <r>
    <x v="413"/>
    <x v="3"/>
    <s v="C"/>
    <n v="61"/>
    <s v="Female"/>
    <n v="15"/>
    <x v="1"/>
    <s v="Yes"/>
    <s v="Non-Veg"/>
    <x v="0"/>
    <x v="0"/>
    <x v="1"/>
    <x v="1"/>
    <n v="80"/>
  </r>
  <r>
    <x v="108"/>
    <x v="3"/>
    <s v="C"/>
    <n v="63"/>
    <s v="Male"/>
    <n v="15"/>
    <x v="1"/>
    <s v="No"/>
    <s v="Non-Veg"/>
    <x v="3"/>
    <x v="0"/>
    <x v="1"/>
    <x v="1"/>
    <n v="80"/>
  </r>
  <r>
    <x v="414"/>
    <x v="3"/>
    <s v="C"/>
    <n v="69"/>
    <s v="Male"/>
    <n v="15"/>
    <x v="0"/>
    <s v="No"/>
    <s v="Veg"/>
    <x v="1"/>
    <x v="2"/>
    <x v="1"/>
    <x v="0"/>
    <n v="80"/>
  </r>
  <r>
    <x v="415"/>
    <x v="3"/>
    <s v="C"/>
    <n v="72"/>
    <s v="Female"/>
    <n v="15"/>
    <x v="1"/>
    <s v="No"/>
    <s v="Veg"/>
    <x v="2"/>
    <x v="0"/>
    <x v="1"/>
    <x v="1"/>
    <n v="80"/>
  </r>
  <r>
    <x v="416"/>
    <x v="3"/>
    <s v="C"/>
    <n v="73"/>
    <s v="Male"/>
    <n v="14"/>
    <x v="0"/>
    <s v="Yes"/>
    <s v="Non-Veg"/>
    <x v="1"/>
    <x v="3"/>
    <x v="1"/>
    <x v="0"/>
    <n v="80"/>
  </r>
  <r>
    <x v="417"/>
    <x v="3"/>
    <s v="C"/>
    <n v="76"/>
    <s v="Female"/>
    <n v="14"/>
    <x v="0"/>
    <s v="No"/>
    <s v="Veg"/>
    <x v="4"/>
    <x v="0"/>
    <x v="1"/>
    <x v="0"/>
    <n v="80"/>
  </r>
  <r>
    <x v="418"/>
    <x v="3"/>
    <s v="C"/>
    <n v="82"/>
    <s v="Male"/>
    <n v="14"/>
    <x v="0"/>
    <s v="No"/>
    <s v="Non-Veg"/>
    <x v="1"/>
    <x v="2"/>
    <x v="1"/>
    <x v="0"/>
    <n v="80"/>
  </r>
  <r>
    <x v="419"/>
    <x v="3"/>
    <s v="C"/>
    <n v="83"/>
    <s v="Female"/>
    <n v="14"/>
    <x v="1"/>
    <s v="No"/>
    <s v="Non-Veg"/>
    <x v="1"/>
    <x v="2"/>
    <x v="1"/>
    <x v="1"/>
    <n v="80"/>
  </r>
  <r>
    <x v="420"/>
    <x v="3"/>
    <s v="C"/>
    <n v="90"/>
    <s v="Female"/>
    <n v="15"/>
    <x v="1"/>
    <s v="Yes"/>
    <s v="Non-Veg"/>
    <x v="4"/>
    <x v="1"/>
    <x v="1"/>
    <x v="1"/>
    <n v="80"/>
  </r>
  <r>
    <x v="107"/>
    <x v="3"/>
    <s v="C"/>
    <n v="95"/>
    <s v="Male"/>
    <n v="15"/>
    <x v="1"/>
    <s v="No"/>
    <s v="Non-Veg"/>
    <x v="1"/>
    <x v="1"/>
    <x v="1"/>
    <x v="1"/>
    <n v="80"/>
  </r>
  <r>
    <x v="421"/>
    <x v="3"/>
    <s v="C"/>
    <n v="120"/>
    <s v="Female"/>
    <n v="14"/>
    <x v="0"/>
    <s v="Yes"/>
    <s v="Veg"/>
    <x v="0"/>
    <x v="2"/>
    <x v="1"/>
    <x v="0"/>
    <n v="80"/>
  </r>
  <r>
    <x v="422"/>
    <x v="3"/>
    <s v="C"/>
    <n v="131"/>
    <s v="Male"/>
    <n v="14"/>
    <x v="1"/>
    <s v="No"/>
    <s v="Non-Veg"/>
    <x v="1"/>
    <x v="2"/>
    <x v="1"/>
    <x v="1"/>
    <n v="80"/>
  </r>
  <r>
    <x v="423"/>
    <x v="3"/>
    <s v="C"/>
    <n v="133"/>
    <s v="Male"/>
    <n v="15"/>
    <x v="1"/>
    <s v="Yes"/>
    <s v="Veg"/>
    <x v="1"/>
    <x v="0"/>
    <x v="1"/>
    <x v="1"/>
    <n v="80"/>
  </r>
  <r>
    <x v="361"/>
    <x v="3"/>
    <s v="C"/>
    <n v="139"/>
    <s v="Male"/>
    <n v="15"/>
    <x v="0"/>
    <s v="No"/>
    <s v="Non-Veg"/>
    <x v="0"/>
    <x v="2"/>
    <x v="1"/>
    <x v="0"/>
    <n v="80"/>
  </r>
  <r>
    <x v="424"/>
    <x v="3"/>
    <s v="C"/>
    <n v="156"/>
    <s v="Male"/>
    <n v="15"/>
    <x v="1"/>
    <s v="Yes"/>
    <s v="Non-Veg"/>
    <x v="1"/>
    <x v="0"/>
    <x v="1"/>
    <x v="1"/>
    <n v="80"/>
  </r>
  <r>
    <x v="425"/>
    <x v="3"/>
    <s v="C"/>
    <n v="162"/>
    <s v="Male"/>
    <n v="15"/>
    <x v="0"/>
    <s v="Yes"/>
    <s v="Veg"/>
    <x v="1"/>
    <x v="2"/>
    <x v="1"/>
    <x v="0"/>
    <n v="80"/>
  </r>
  <r>
    <x v="426"/>
    <x v="3"/>
    <s v="C"/>
    <n v="170"/>
    <s v="Female"/>
    <n v="15"/>
    <x v="0"/>
    <s v="No"/>
    <s v="Veg"/>
    <x v="4"/>
    <x v="2"/>
    <x v="1"/>
    <x v="0"/>
    <n v="80"/>
  </r>
  <r>
    <x v="427"/>
    <x v="3"/>
    <s v="C"/>
    <n v="185"/>
    <s v="Male"/>
    <n v="14"/>
    <x v="1"/>
    <s v="Yes"/>
    <s v="Non-Veg"/>
    <x v="1"/>
    <x v="0"/>
    <x v="1"/>
    <x v="1"/>
    <n v="80"/>
  </r>
  <r>
    <x v="428"/>
    <x v="3"/>
    <s v="C"/>
    <n v="189"/>
    <s v="Female"/>
    <n v="15"/>
    <x v="0"/>
    <s v="Yes"/>
    <s v="Veg"/>
    <x v="1"/>
    <x v="1"/>
    <x v="1"/>
    <x v="0"/>
    <n v="80"/>
  </r>
  <r>
    <x v="429"/>
    <x v="3"/>
    <s v="C"/>
    <n v="190"/>
    <s v="Male"/>
    <n v="15"/>
    <x v="1"/>
    <s v="No"/>
    <s v="Veg"/>
    <x v="3"/>
    <x v="0"/>
    <x v="1"/>
    <x v="1"/>
    <n v="80"/>
  </r>
  <r>
    <x v="430"/>
    <x v="3"/>
    <s v="C"/>
    <n v="194"/>
    <s v="Female"/>
    <n v="15"/>
    <x v="1"/>
    <s v="Yes"/>
    <s v="Non-Veg"/>
    <x v="3"/>
    <x v="3"/>
    <x v="1"/>
    <x v="1"/>
    <n v="80"/>
  </r>
  <r>
    <x v="431"/>
    <x v="3"/>
    <s v="D"/>
    <n v="1"/>
    <s v="Female"/>
    <n v="15"/>
    <x v="1"/>
    <s v="Yes"/>
    <s v="Non-Veg"/>
    <x v="4"/>
    <x v="0"/>
    <x v="1"/>
    <x v="1"/>
    <n v="80"/>
  </r>
  <r>
    <x v="432"/>
    <x v="3"/>
    <s v="D"/>
    <n v="7"/>
    <s v="Female"/>
    <n v="15"/>
    <x v="0"/>
    <s v="No"/>
    <s v="Veg"/>
    <x v="3"/>
    <x v="1"/>
    <x v="1"/>
    <x v="0"/>
    <n v="80"/>
  </r>
  <r>
    <x v="433"/>
    <x v="3"/>
    <s v="D"/>
    <n v="16"/>
    <s v="Female"/>
    <n v="15"/>
    <x v="1"/>
    <s v="No"/>
    <s v="Non-Veg"/>
    <x v="1"/>
    <x v="1"/>
    <x v="1"/>
    <x v="1"/>
    <n v="80"/>
  </r>
  <r>
    <x v="434"/>
    <x v="3"/>
    <s v="D"/>
    <n v="25"/>
    <s v="Male"/>
    <n v="15"/>
    <x v="1"/>
    <s v="No"/>
    <s v="Veg"/>
    <x v="1"/>
    <x v="1"/>
    <x v="1"/>
    <x v="1"/>
    <n v="80"/>
  </r>
  <r>
    <x v="435"/>
    <x v="3"/>
    <s v="D"/>
    <n v="27"/>
    <s v="Male"/>
    <n v="15"/>
    <x v="1"/>
    <s v="Yes"/>
    <s v="Non-Veg"/>
    <x v="1"/>
    <x v="2"/>
    <x v="1"/>
    <x v="1"/>
    <n v="80"/>
  </r>
  <r>
    <x v="436"/>
    <x v="3"/>
    <s v="D"/>
    <n v="28"/>
    <s v="Male"/>
    <n v="15"/>
    <x v="0"/>
    <s v="Yes"/>
    <s v="Veg"/>
    <x v="3"/>
    <x v="0"/>
    <x v="1"/>
    <x v="0"/>
    <n v="80"/>
  </r>
  <r>
    <x v="437"/>
    <x v="3"/>
    <s v="D"/>
    <n v="30"/>
    <s v="Male"/>
    <n v="14"/>
    <x v="1"/>
    <s v="No"/>
    <s v="Non-Veg"/>
    <x v="2"/>
    <x v="1"/>
    <x v="1"/>
    <x v="1"/>
    <n v="80"/>
  </r>
  <r>
    <x v="438"/>
    <x v="3"/>
    <s v="D"/>
    <n v="34"/>
    <s v="Female"/>
    <n v="14"/>
    <x v="1"/>
    <s v="Yes"/>
    <s v="Non-Veg"/>
    <x v="3"/>
    <x v="3"/>
    <x v="1"/>
    <x v="1"/>
    <n v="80"/>
  </r>
  <r>
    <x v="119"/>
    <x v="3"/>
    <s v="D"/>
    <n v="59"/>
    <s v="Female"/>
    <n v="14"/>
    <x v="0"/>
    <s v="No"/>
    <s v="Veg"/>
    <x v="4"/>
    <x v="1"/>
    <x v="1"/>
    <x v="0"/>
    <n v="80"/>
  </r>
  <r>
    <x v="439"/>
    <x v="3"/>
    <s v="D"/>
    <n v="79"/>
    <s v="Male"/>
    <n v="14"/>
    <x v="0"/>
    <s v="Yes"/>
    <s v="Non-Veg"/>
    <x v="4"/>
    <x v="2"/>
    <x v="1"/>
    <x v="0"/>
    <n v="80"/>
  </r>
  <r>
    <x v="440"/>
    <x v="3"/>
    <s v="D"/>
    <n v="80"/>
    <s v="Female"/>
    <n v="14"/>
    <x v="0"/>
    <s v="No"/>
    <s v="Veg"/>
    <x v="2"/>
    <x v="0"/>
    <x v="1"/>
    <x v="0"/>
    <n v="80"/>
  </r>
  <r>
    <x v="441"/>
    <x v="3"/>
    <s v="D"/>
    <n v="86"/>
    <s v="Female"/>
    <n v="15"/>
    <x v="1"/>
    <s v="Yes"/>
    <s v="Non-Veg"/>
    <x v="3"/>
    <x v="3"/>
    <x v="1"/>
    <x v="1"/>
    <n v="80"/>
  </r>
  <r>
    <x v="442"/>
    <x v="3"/>
    <s v="D"/>
    <n v="94"/>
    <s v="Male"/>
    <n v="14"/>
    <x v="1"/>
    <s v="No"/>
    <s v="Veg"/>
    <x v="4"/>
    <x v="0"/>
    <x v="1"/>
    <x v="1"/>
    <n v="80"/>
  </r>
  <r>
    <x v="443"/>
    <x v="3"/>
    <s v="D"/>
    <n v="99"/>
    <s v="Male"/>
    <n v="14"/>
    <x v="1"/>
    <s v="No"/>
    <s v="Non-Veg"/>
    <x v="1"/>
    <x v="2"/>
    <x v="1"/>
    <x v="1"/>
    <n v="80"/>
  </r>
  <r>
    <x v="444"/>
    <x v="3"/>
    <s v="D"/>
    <n v="102"/>
    <s v="Male"/>
    <n v="15"/>
    <x v="0"/>
    <s v="No"/>
    <s v="Non-Veg"/>
    <x v="0"/>
    <x v="1"/>
    <x v="1"/>
    <x v="0"/>
    <n v="80"/>
  </r>
  <r>
    <x v="445"/>
    <x v="3"/>
    <s v="D"/>
    <n v="104"/>
    <s v="Female"/>
    <n v="14"/>
    <x v="1"/>
    <s v="No"/>
    <s v="Veg"/>
    <x v="4"/>
    <x v="0"/>
    <x v="1"/>
    <x v="1"/>
    <n v="80"/>
  </r>
  <r>
    <x v="446"/>
    <x v="3"/>
    <s v="D"/>
    <n v="106"/>
    <s v="Female"/>
    <n v="15"/>
    <x v="0"/>
    <s v="No"/>
    <s v="Veg"/>
    <x v="1"/>
    <x v="0"/>
    <x v="1"/>
    <x v="0"/>
    <n v="80"/>
  </r>
  <r>
    <x v="447"/>
    <x v="3"/>
    <s v="D"/>
    <n v="118"/>
    <s v="Female"/>
    <n v="15"/>
    <x v="1"/>
    <s v="Yes"/>
    <s v="Veg"/>
    <x v="2"/>
    <x v="0"/>
    <x v="1"/>
    <x v="1"/>
    <n v="80"/>
  </r>
  <r>
    <x v="448"/>
    <x v="3"/>
    <s v="D"/>
    <n v="121"/>
    <s v="Male"/>
    <n v="14"/>
    <x v="1"/>
    <s v="No"/>
    <s v="Non-Veg"/>
    <x v="1"/>
    <x v="2"/>
    <x v="1"/>
    <x v="1"/>
    <n v="80"/>
  </r>
  <r>
    <x v="449"/>
    <x v="3"/>
    <s v="D"/>
    <n v="150"/>
    <s v="Male"/>
    <n v="15"/>
    <x v="0"/>
    <s v="No"/>
    <s v="Veg"/>
    <x v="1"/>
    <x v="3"/>
    <x v="1"/>
    <x v="0"/>
    <n v="80"/>
  </r>
  <r>
    <x v="450"/>
    <x v="3"/>
    <s v="D"/>
    <n v="160"/>
    <s v="Female"/>
    <n v="14"/>
    <x v="0"/>
    <s v="No"/>
    <s v="Non-Veg"/>
    <x v="1"/>
    <x v="3"/>
    <x v="1"/>
    <x v="0"/>
    <n v="80"/>
  </r>
  <r>
    <x v="451"/>
    <x v="3"/>
    <s v="D"/>
    <n v="168"/>
    <s v="Female"/>
    <n v="14"/>
    <x v="0"/>
    <s v="Yes"/>
    <s v="Non-Veg"/>
    <x v="2"/>
    <x v="2"/>
    <x v="1"/>
    <x v="0"/>
    <n v="80"/>
  </r>
  <r>
    <x v="452"/>
    <x v="3"/>
    <s v="D"/>
    <n v="175"/>
    <s v="Male"/>
    <n v="14"/>
    <x v="1"/>
    <s v="Yes"/>
    <s v="Veg"/>
    <x v="1"/>
    <x v="2"/>
    <x v="1"/>
    <x v="1"/>
    <n v="80"/>
  </r>
  <r>
    <x v="453"/>
    <x v="3"/>
    <s v="D"/>
    <n v="179"/>
    <s v="Female"/>
    <n v="15"/>
    <x v="1"/>
    <s v="No"/>
    <s v="Non-Veg"/>
    <x v="1"/>
    <x v="3"/>
    <x v="1"/>
    <x v="1"/>
    <n v="80"/>
  </r>
  <r>
    <x v="454"/>
    <x v="3"/>
    <s v="D"/>
    <n v="183"/>
    <s v="Female"/>
    <n v="15"/>
    <x v="0"/>
    <s v="Yes"/>
    <s v="Veg"/>
    <x v="3"/>
    <x v="2"/>
    <x v="1"/>
    <x v="0"/>
    <n v="80"/>
  </r>
  <r>
    <x v="455"/>
    <x v="3"/>
    <s v="D"/>
    <n v="188"/>
    <s v="Male"/>
    <n v="15"/>
    <x v="1"/>
    <s v="No"/>
    <s v="Veg"/>
    <x v="1"/>
    <x v="2"/>
    <x v="1"/>
    <x v="1"/>
    <n v="80"/>
  </r>
  <r>
    <x v="456"/>
    <x v="4"/>
    <s v="A"/>
    <n v="1"/>
    <s v="Male"/>
    <n v="16"/>
    <x v="1"/>
    <s v="No"/>
    <s v="Non-Veg"/>
    <x v="4"/>
    <x v="1"/>
    <x v="1"/>
    <x v="1"/>
    <n v="90"/>
  </r>
  <r>
    <x v="457"/>
    <x v="4"/>
    <s v="A"/>
    <n v="2"/>
    <s v="Male"/>
    <n v="15"/>
    <x v="1"/>
    <s v="No"/>
    <s v="Veg"/>
    <x v="0"/>
    <x v="3"/>
    <x v="1"/>
    <x v="1"/>
    <n v="90"/>
  </r>
  <r>
    <x v="458"/>
    <x v="4"/>
    <s v="A"/>
    <n v="5"/>
    <s v="Female"/>
    <n v="16"/>
    <x v="1"/>
    <s v="Yes"/>
    <s v="Veg"/>
    <x v="3"/>
    <x v="0"/>
    <x v="1"/>
    <x v="1"/>
    <n v="90"/>
  </r>
  <r>
    <x v="459"/>
    <x v="4"/>
    <s v="A"/>
    <n v="13"/>
    <s v="Male"/>
    <n v="16"/>
    <x v="0"/>
    <s v="No"/>
    <s v="Veg"/>
    <x v="0"/>
    <x v="0"/>
    <x v="1"/>
    <x v="0"/>
    <n v="90"/>
  </r>
  <r>
    <x v="460"/>
    <x v="4"/>
    <s v="A"/>
    <n v="33"/>
    <s v="Male"/>
    <n v="16"/>
    <x v="1"/>
    <s v="Yes"/>
    <s v="Non-Veg"/>
    <x v="1"/>
    <x v="3"/>
    <x v="1"/>
    <x v="1"/>
    <n v="90"/>
  </r>
  <r>
    <x v="461"/>
    <x v="4"/>
    <s v="A"/>
    <n v="34"/>
    <s v="Male"/>
    <n v="16"/>
    <x v="1"/>
    <s v="Yes"/>
    <s v="Non-Veg"/>
    <x v="4"/>
    <x v="0"/>
    <x v="1"/>
    <x v="1"/>
    <n v="90"/>
  </r>
  <r>
    <x v="462"/>
    <x v="4"/>
    <s v="A"/>
    <n v="73"/>
    <s v="Female"/>
    <n v="16"/>
    <x v="1"/>
    <s v="Yes"/>
    <s v="Non-Veg"/>
    <x v="3"/>
    <x v="3"/>
    <x v="1"/>
    <x v="1"/>
    <n v="90"/>
  </r>
  <r>
    <x v="463"/>
    <x v="4"/>
    <s v="A"/>
    <n v="76"/>
    <s v="Female"/>
    <n v="16"/>
    <x v="1"/>
    <s v="Yes"/>
    <s v="Veg"/>
    <x v="1"/>
    <x v="0"/>
    <x v="1"/>
    <x v="1"/>
    <n v="90"/>
  </r>
  <r>
    <x v="464"/>
    <x v="4"/>
    <s v="A"/>
    <n v="102"/>
    <s v="Female"/>
    <n v="15"/>
    <x v="0"/>
    <s v="Yes"/>
    <s v="Non-Veg"/>
    <x v="0"/>
    <x v="2"/>
    <x v="1"/>
    <x v="0"/>
    <n v="90"/>
  </r>
  <r>
    <x v="465"/>
    <x v="4"/>
    <s v="A"/>
    <n v="112"/>
    <s v="Male"/>
    <n v="15"/>
    <x v="1"/>
    <s v="No"/>
    <s v="Non-Veg"/>
    <x v="1"/>
    <x v="1"/>
    <x v="1"/>
    <x v="1"/>
    <n v="90"/>
  </r>
  <r>
    <x v="466"/>
    <x v="4"/>
    <s v="A"/>
    <n v="113"/>
    <s v="Female"/>
    <n v="15"/>
    <x v="1"/>
    <s v="No"/>
    <s v="Veg"/>
    <x v="2"/>
    <x v="3"/>
    <x v="1"/>
    <x v="1"/>
    <n v="90"/>
  </r>
  <r>
    <x v="467"/>
    <x v="4"/>
    <s v="A"/>
    <n v="115"/>
    <s v="Male"/>
    <n v="16"/>
    <x v="0"/>
    <s v="Yes"/>
    <s v="Non-Veg"/>
    <x v="0"/>
    <x v="3"/>
    <x v="1"/>
    <x v="0"/>
    <n v="90"/>
  </r>
  <r>
    <x v="468"/>
    <x v="4"/>
    <s v="A"/>
    <n v="122"/>
    <s v="Female"/>
    <n v="15"/>
    <x v="1"/>
    <s v="No"/>
    <s v="Veg"/>
    <x v="2"/>
    <x v="0"/>
    <x v="1"/>
    <x v="1"/>
    <n v="90"/>
  </r>
  <r>
    <x v="469"/>
    <x v="4"/>
    <s v="A"/>
    <n v="126"/>
    <s v="Male"/>
    <n v="15"/>
    <x v="0"/>
    <s v="No"/>
    <s v="Non-Veg"/>
    <x v="2"/>
    <x v="2"/>
    <x v="1"/>
    <x v="0"/>
    <n v="90"/>
  </r>
  <r>
    <x v="470"/>
    <x v="4"/>
    <s v="A"/>
    <n v="136"/>
    <s v="Female"/>
    <n v="16"/>
    <x v="0"/>
    <s v="Yes"/>
    <s v="Non-Veg"/>
    <x v="3"/>
    <x v="2"/>
    <x v="1"/>
    <x v="0"/>
    <n v="90"/>
  </r>
  <r>
    <x v="471"/>
    <x v="4"/>
    <s v="A"/>
    <n v="138"/>
    <s v="Female"/>
    <n v="15"/>
    <x v="0"/>
    <s v="No"/>
    <s v="Non-Veg"/>
    <x v="4"/>
    <x v="3"/>
    <x v="1"/>
    <x v="0"/>
    <n v="90"/>
  </r>
  <r>
    <x v="325"/>
    <x v="4"/>
    <s v="A"/>
    <n v="169"/>
    <s v="Male"/>
    <n v="16"/>
    <x v="0"/>
    <s v="Yes"/>
    <s v="Non-Veg"/>
    <x v="3"/>
    <x v="0"/>
    <x v="1"/>
    <x v="0"/>
    <n v="90"/>
  </r>
  <r>
    <x v="472"/>
    <x v="4"/>
    <s v="A"/>
    <n v="179"/>
    <s v="Male"/>
    <n v="15"/>
    <x v="1"/>
    <s v="Yes"/>
    <s v="Non-Veg"/>
    <x v="4"/>
    <x v="0"/>
    <x v="1"/>
    <x v="1"/>
    <n v="90"/>
  </r>
  <r>
    <x v="473"/>
    <x v="4"/>
    <s v="A"/>
    <n v="182"/>
    <s v="Female"/>
    <n v="16"/>
    <x v="1"/>
    <s v="No"/>
    <s v="Veg"/>
    <x v="3"/>
    <x v="1"/>
    <x v="1"/>
    <x v="1"/>
    <n v="90"/>
  </r>
  <r>
    <x v="474"/>
    <x v="4"/>
    <s v="A"/>
    <n v="183"/>
    <s v="Male"/>
    <n v="16"/>
    <x v="1"/>
    <s v="Yes"/>
    <s v="Veg"/>
    <x v="2"/>
    <x v="3"/>
    <x v="1"/>
    <x v="1"/>
    <n v="90"/>
  </r>
  <r>
    <x v="475"/>
    <x v="4"/>
    <s v="A"/>
    <n v="185"/>
    <s v="Female"/>
    <n v="15"/>
    <x v="1"/>
    <s v="No"/>
    <s v="Veg"/>
    <x v="1"/>
    <x v="2"/>
    <x v="1"/>
    <x v="1"/>
    <n v="90"/>
  </r>
  <r>
    <x v="476"/>
    <x v="4"/>
    <s v="A"/>
    <n v="189"/>
    <s v="Male"/>
    <n v="16"/>
    <x v="1"/>
    <s v="Yes"/>
    <s v="Non-Veg"/>
    <x v="2"/>
    <x v="2"/>
    <x v="1"/>
    <x v="1"/>
    <n v="90"/>
  </r>
  <r>
    <x v="477"/>
    <x v="4"/>
    <s v="A"/>
    <n v="190"/>
    <s v="Female"/>
    <n v="16"/>
    <x v="0"/>
    <s v="Yes"/>
    <s v="Veg"/>
    <x v="1"/>
    <x v="0"/>
    <x v="1"/>
    <x v="0"/>
    <n v="90"/>
  </r>
  <r>
    <x v="478"/>
    <x v="4"/>
    <s v="A"/>
    <n v="199"/>
    <s v="Female"/>
    <n v="15"/>
    <x v="0"/>
    <s v="No"/>
    <s v="Non-Veg"/>
    <x v="1"/>
    <x v="0"/>
    <x v="1"/>
    <x v="0"/>
    <n v="90"/>
  </r>
  <r>
    <x v="479"/>
    <x v="4"/>
    <s v="B"/>
    <n v="7"/>
    <s v="Male"/>
    <n v="15"/>
    <x v="0"/>
    <s v="No"/>
    <s v="Veg"/>
    <x v="4"/>
    <x v="3"/>
    <x v="1"/>
    <x v="0"/>
    <n v="90"/>
  </r>
  <r>
    <x v="480"/>
    <x v="4"/>
    <s v="B"/>
    <n v="28"/>
    <s v="Female"/>
    <n v="15"/>
    <x v="0"/>
    <s v="Yes"/>
    <s v="Non-Veg"/>
    <x v="3"/>
    <x v="0"/>
    <x v="1"/>
    <x v="0"/>
    <n v="90"/>
  </r>
  <r>
    <x v="481"/>
    <x v="4"/>
    <s v="B"/>
    <n v="39"/>
    <s v="Male"/>
    <n v="16"/>
    <x v="0"/>
    <s v="Yes"/>
    <s v="Veg"/>
    <x v="3"/>
    <x v="2"/>
    <x v="1"/>
    <x v="0"/>
    <n v="90"/>
  </r>
  <r>
    <x v="482"/>
    <x v="4"/>
    <s v="B"/>
    <n v="51"/>
    <s v="Female"/>
    <n v="16"/>
    <x v="1"/>
    <s v="No"/>
    <s v="Non-Veg"/>
    <x v="2"/>
    <x v="2"/>
    <x v="1"/>
    <x v="1"/>
    <n v="90"/>
  </r>
  <r>
    <x v="483"/>
    <x v="4"/>
    <s v="B"/>
    <n v="55"/>
    <s v="Female"/>
    <n v="16"/>
    <x v="0"/>
    <s v="No"/>
    <s v="Veg"/>
    <x v="2"/>
    <x v="2"/>
    <x v="1"/>
    <x v="0"/>
    <n v="90"/>
  </r>
  <r>
    <x v="484"/>
    <x v="4"/>
    <s v="B"/>
    <n v="56"/>
    <s v="Male"/>
    <n v="15"/>
    <x v="1"/>
    <s v="No"/>
    <s v="Non-Veg"/>
    <x v="1"/>
    <x v="0"/>
    <x v="1"/>
    <x v="1"/>
    <n v="90"/>
  </r>
  <r>
    <x v="485"/>
    <x v="4"/>
    <s v="B"/>
    <n v="58"/>
    <s v="Female"/>
    <n v="15"/>
    <x v="0"/>
    <s v="Yes"/>
    <s v="Non-Veg"/>
    <x v="0"/>
    <x v="2"/>
    <x v="1"/>
    <x v="0"/>
    <n v="90"/>
  </r>
  <r>
    <x v="486"/>
    <x v="4"/>
    <s v="B"/>
    <n v="61"/>
    <s v="Female"/>
    <n v="16"/>
    <x v="0"/>
    <s v="No"/>
    <s v="Veg"/>
    <x v="2"/>
    <x v="3"/>
    <x v="1"/>
    <x v="0"/>
    <n v="90"/>
  </r>
  <r>
    <x v="487"/>
    <x v="4"/>
    <s v="B"/>
    <n v="64"/>
    <s v="Female"/>
    <n v="16"/>
    <x v="0"/>
    <s v="Yes"/>
    <s v="Veg"/>
    <x v="2"/>
    <x v="0"/>
    <x v="1"/>
    <x v="0"/>
    <n v="90"/>
  </r>
  <r>
    <x v="488"/>
    <x v="4"/>
    <s v="B"/>
    <n v="67"/>
    <s v="Male"/>
    <n v="16"/>
    <x v="1"/>
    <s v="Yes"/>
    <s v="Veg"/>
    <x v="4"/>
    <x v="3"/>
    <x v="1"/>
    <x v="1"/>
    <n v="90"/>
  </r>
  <r>
    <x v="489"/>
    <x v="4"/>
    <s v="B"/>
    <n v="68"/>
    <s v="Female"/>
    <n v="15"/>
    <x v="1"/>
    <s v="Yes"/>
    <s v="Veg"/>
    <x v="0"/>
    <x v="0"/>
    <x v="1"/>
    <x v="1"/>
    <n v="90"/>
  </r>
  <r>
    <x v="490"/>
    <x v="4"/>
    <s v="B"/>
    <n v="77"/>
    <s v="Male"/>
    <n v="16"/>
    <x v="0"/>
    <s v="Yes"/>
    <s v="Non-Veg"/>
    <x v="3"/>
    <x v="0"/>
    <x v="1"/>
    <x v="0"/>
    <n v="90"/>
  </r>
  <r>
    <x v="110"/>
    <x v="4"/>
    <s v="B"/>
    <n v="83"/>
    <s v="Male"/>
    <n v="16"/>
    <x v="0"/>
    <s v="Yes"/>
    <s v="Veg"/>
    <x v="2"/>
    <x v="0"/>
    <x v="1"/>
    <x v="0"/>
    <n v="90"/>
  </r>
  <r>
    <x v="7"/>
    <x v="4"/>
    <s v="B"/>
    <n v="97"/>
    <s v="Male"/>
    <n v="15"/>
    <x v="1"/>
    <s v="No"/>
    <s v="Veg"/>
    <x v="2"/>
    <x v="1"/>
    <x v="1"/>
    <x v="1"/>
    <n v="90"/>
  </r>
  <r>
    <x v="491"/>
    <x v="4"/>
    <s v="B"/>
    <n v="104"/>
    <s v="Male"/>
    <n v="16"/>
    <x v="0"/>
    <s v="Yes"/>
    <s v="Non-Veg"/>
    <x v="1"/>
    <x v="2"/>
    <x v="1"/>
    <x v="0"/>
    <n v="90"/>
  </r>
  <r>
    <x v="492"/>
    <x v="4"/>
    <s v="B"/>
    <n v="114"/>
    <s v="Female"/>
    <n v="15"/>
    <x v="0"/>
    <s v="Yes"/>
    <s v="Non-Veg"/>
    <x v="4"/>
    <x v="3"/>
    <x v="1"/>
    <x v="0"/>
    <n v="90"/>
  </r>
  <r>
    <x v="493"/>
    <x v="4"/>
    <s v="B"/>
    <n v="118"/>
    <s v="Male"/>
    <n v="15"/>
    <x v="1"/>
    <s v="Yes"/>
    <s v="Veg"/>
    <x v="4"/>
    <x v="0"/>
    <x v="1"/>
    <x v="1"/>
    <n v="90"/>
  </r>
  <r>
    <x v="494"/>
    <x v="4"/>
    <s v="B"/>
    <n v="131"/>
    <s v="Male"/>
    <n v="15"/>
    <x v="1"/>
    <s v="Yes"/>
    <s v="Veg"/>
    <x v="1"/>
    <x v="1"/>
    <x v="1"/>
    <x v="1"/>
    <n v="90"/>
  </r>
  <r>
    <x v="495"/>
    <x v="4"/>
    <s v="B"/>
    <n v="139"/>
    <s v="Female"/>
    <n v="16"/>
    <x v="1"/>
    <s v="Yes"/>
    <s v="Non-Veg"/>
    <x v="1"/>
    <x v="1"/>
    <x v="1"/>
    <x v="1"/>
    <n v="90"/>
  </r>
  <r>
    <x v="496"/>
    <x v="4"/>
    <s v="B"/>
    <n v="140"/>
    <s v="Female"/>
    <n v="16"/>
    <x v="1"/>
    <s v="No"/>
    <s v="Veg"/>
    <x v="1"/>
    <x v="3"/>
    <x v="1"/>
    <x v="1"/>
    <n v="90"/>
  </r>
  <r>
    <x v="497"/>
    <x v="4"/>
    <s v="B"/>
    <n v="142"/>
    <s v="Female"/>
    <n v="15"/>
    <x v="0"/>
    <s v="No"/>
    <s v="Veg"/>
    <x v="1"/>
    <x v="3"/>
    <x v="1"/>
    <x v="0"/>
    <n v="90"/>
  </r>
  <r>
    <x v="498"/>
    <x v="4"/>
    <s v="B"/>
    <n v="148"/>
    <s v="Male"/>
    <n v="16"/>
    <x v="0"/>
    <s v="No"/>
    <s v="Veg"/>
    <x v="1"/>
    <x v="2"/>
    <x v="1"/>
    <x v="0"/>
    <n v="90"/>
  </r>
  <r>
    <x v="499"/>
    <x v="4"/>
    <s v="B"/>
    <n v="156"/>
    <s v="Female"/>
    <n v="16"/>
    <x v="1"/>
    <s v="No"/>
    <s v="Veg"/>
    <x v="2"/>
    <x v="2"/>
    <x v="1"/>
    <x v="1"/>
    <n v="90"/>
  </r>
  <r>
    <x v="500"/>
    <x v="4"/>
    <s v="B"/>
    <n v="158"/>
    <s v="Female"/>
    <n v="15"/>
    <x v="1"/>
    <s v="Yes"/>
    <s v="Non-Veg"/>
    <x v="4"/>
    <x v="3"/>
    <x v="1"/>
    <x v="1"/>
    <n v="90"/>
  </r>
  <r>
    <x v="501"/>
    <x v="4"/>
    <s v="B"/>
    <n v="161"/>
    <s v="Male"/>
    <n v="16"/>
    <x v="0"/>
    <s v="Yes"/>
    <s v="Non-Veg"/>
    <x v="1"/>
    <x v="0"/>
    <x v="1"/>
    <x v="0"/>
    <n v="90"/>
  </r>
  <r>
    <x v="502"/>
    <x v="4"/>
    <s v="B"/>
    <n v="164"/>
    <s v="Female"/>
    <n v="15"/>
    <x v="0"/>
    <s v="No"/>
    <s v="Non-Veg"/>
    <x v="1"/>
    <x v="3"/>
    <x v="1"/>
    <x v="0"/>
    <n v="90"/>
  </r>
  <r>
    <x v="503"/>
    <x v="4"/>
    <s v="B"/>
    <n v="165"/>
    <s v="Male"/>
    <n v="16"/>
    <x v="1"/>
    <s v="No"/>
    <s v="Veg"/>
    <x v="3"/>
    <x v="2"/>
    <x v="1"/>
    <x v="1"/>
    <n v="90"/>
  </r>
  <r>
    <x v="504"/>
    <x v="4"/>
    <s v="B"/>
    <n v="166"/>
    <s v="Male"/>
    <n v="16"/>
    <x v="0"/>
    <s v="Yes"/>
    <s v="Veg"/>
    <x v="3"/>
    <x v="0"/>
    <x v="1"/>
    <x v="0"/>
    <n v="90"/>
  </r>
  <r>
    <x v="505"/>
    <x v="4"/>
    <s v="B"/>
    <n v="175"/>
    <s v="Male"/>
    <n v="16"/>
    <x v="0"/>
    <s v="Yes"/>
    <s v="Veg"/>
    <x v="1"/>
    <x v="1"/>
    <x v="1"/>
    <x v="0"/>
    <n v="90"/>
  </r>
  <r>
    <x v="506"/>
    <x v="4"/>
    <s v="B"/>
    <n v="176"/>
    <s v="Male"/>
    <n v="15"/>
    <x v="0"/>
    <s v="Yes"/>
    <s v="Non-Veg"/>
    <x v="0"/>
    <x v="1"/>
    <x v="1"/>
    <x v="0"/>
    <n v="90"/>
  </r>
  <r>
    <x v="507"/>
    <x v="4"/>
    <s v="B"/>
    <n v="177"/>
    <s v="Female"/>
    <n v="16"/>
    <x v="0"/>
    <s v="Yes"/>
    <s v="Non-Veg"/>
    <x v="4"/>
    <x v="3"/>
    <x v="1"/>
    <x v="0"/>
    <n v="90"/>
  </r>
  <r>
    <x v="508"/>
    <x v="4"/>
    <s v="B"/>
    <n v="181"/>
    <s v="Female"/>
    <n v="16"/>
    <x v="1"/>
    <s v="No"/>
    <s v="Non-Veg"/>
    <x v="2"/>
    <x v="0"/>
    <x v="1"/>
    <x v="1"/>
    <n v="90"/>
  </r>
  <r>
    <x v="509"/>
    <x v="4"/>
    <s v="B"/>
    <n v="187"/>
    <s v="Male"/>
    <n v="15"/>
    <x v="0"/>
    <s v="No"/>
    <s v="Veg"/>
    <x v="3"/>
    <x v="2"/>
    <x v="1"/>
    <x v="0"/>
    <n v="90"/>
  </r>
  <r>
    <x v="510"/>
    <x v="4"/>
    <s v="B"/>
    <n v="188"/>
    <s v="Male"/>
    <n v="15"/>
    <x v="1"/>
    <s v="Yes"/>
    <s v="Non-Veg"/>
    <x v="1"/>
    <x v="1"/>
    <x v="1"/>
    <x v="1"/>
    <n v="90"/>
  </r>
  <r>
    <x v="511"/>
    <x v="4"/>
    <s v="B"/>
    <n v="193"/>
    <s v="Female"/>
    <n v="16"/>
    <x v="1"/>
    <s v="Yes"/>
    <s v="Veg"/>
    <x v="0"/>
    <x v="0"/>
    <x v="1"/>
    <x v="1"/>
    <n v="90"/>
  </r>
  <r>
    <x v="512"/>
    <x v="4"/>
    <s v="B"/>
    <n v="194"/>
    <s v="Male"/>
    <n v="16"/>
    <x v="1"/>
    <s v="Yes"/>
    <s v="Non-Veg"/>
    <x v="3"/>
    <x v="1"/>
    <x v="1"/>
    <x v="1"/>
    <n v="90"/>
  </r>
  <r>
    <x v="513"/>
    <x v="4"/>
    <s v="B"/>
    <n v="195"/>
    <s v="Female"/>
    <n v="15"/>
    <x v="1"/>
    <s v="Yes"/>
    <s v="Veg"/>
    <x v="3"/>
    <x v="2"/>
    <x v="1"/>
    <x v="1"/>
    <n v="90"/>
  </r>
  <r>
    <x v="514"/>
    <x v="4"/>
    <s v="C"/>
    <n v="4"/>
    <s v="Female"/>
    <n v="15"/>
    <x v="0"/>
    <s v="No"/>
    <s v="Non-Veg"/>
    <x v="0"/>
    <x v="0"/>
    <x v="1"/>
    <x v="0"/>
    <n v="90"/>
  </r>
  <r>
    <x v="515"/>
    <x v="4"/>
    <s v="C"/>
    <n v="6"/>
    <s v="Female"/>
    <n v="15"/>
    <x v="0"/>
    <s v="No"/>
    <s v="Non-Veg"/>
    <x v="3"/>
    <x v="1"/>
    <x v="1"/>
    <x v="0"/>
    <n v="90"/>
  </r>
  <r>
    <x v="516"/>
    <x v="4"/>
    <s v="C"/>
    <n v="8"/>
    <s v="Female"/>
    <n v="16"/>
    <x v="0"/>
    <s v="No"/>
    <s v="Non-Veg"/>
    <x v="4"/>
    <x v="0"/>
    <x v="1"/>
    <x v="0"/>
    <n v="90"/>
  </r>
  <r>
    <x v="517"/>
    <x v="4"/>
    <s v="C"/>
    <n v="10"/>
    <s v="Female"/>
    <n v="15"/>
    <x v="1"/>
    <s v="Yes"/>
    <s v="Veg"/>
    <x v="1"/>
    <x v="2"/>
    <x v="1"/>
    <x v="1"/>
    <n v="90"/>
  </r>
  <r>
    <x v="518"/>
    <x v="4"/>
    <s v="C"/>
    <n v="11"/>
    <s v="Female"/>
    <n v="16"/>
    <x v="1"/>
    <s v="Yes"/>
    <s v="Non-Veg"/>
    <x v="1"/>
    <x v="3"/>
    <x v="1"/>
    <x v="1"/>
    <n v="90"/>
  </r>
  <r>
    <x v="519"/>
    <x v="4"/>
    <s v="C"/>
    <n v="18"/>
    <s v="Female"/>
    <n v="16"/>
    <x v="1"/>
    <s v="Yes"/>
    <s v="Veg"/>
    <x v="4"/>
    <x v="1"/>
    <x v="1"/>
    <x v="1"/>
    <n v="90"/>
  </r>
  <r>
    <x v="520"/>
    <x v="4"/>
    <s v="C"/>
    <n v="45"/>
    <s v="Female"/>
    <n v="15"/>
    <x v="1"/>
    <s v="Yes"/>
    <s v="Non-Veg"/>
    <x v="0"/>
    <x v="0"/>
    <x v="1"/>
    <x v="1"/>
    <n v="90"/>
  </r>
  <r>
    <x v="521"/>
    <x v="4"/>
    <s v="C"/>
    <n v="50"/>
    <s v="Male"/>
    <n v="15"/>
    <x v="0"/>
    <s v="Yes"/>
    <s v="Veg"/>
    <x v="4"/>
    <x v="1"/>
    <x v="1"/>
    <x v="0"/>
    <n v="90"/>
  </r>
  <r>
    <x v="522"/>
    <x v="4"/>
    <s v="C"/>
    <n v="52"/>
    <s v="Female"/>
    <n v="16"/>
    <x v="1"/>
    <s v="Yes"/>
    <s v="Veg"/>
    <x v="4"/>
    <x v="0"/>
    <x v="1"/>
    <x v="1"/>
    <n v="90"/>
  </r>
  <r>
    <x v="10"/>
    <x v="4"/>
    <s v="C"/>
    <n v="54"/>
    <s v="Female"/>
    <n v="15"/>
    <x v="1"/>
    <s v="No"/>
    <s v="Veg"/>
    <x v="0"/>
    <x v="1"/>
    <x v="1"/>
    <x v="1"/>
    <n v="90"/>
  </r>
  <r>
    <x v="523"/>
    <x v="4"/>
    <s v="C"/>
    <n v="63"/>
    <s v="Female"/>
    <n v="16"/>
    <x v="1"/>
    <s v="No"/>
    <s v="Veg"/>
    <x v="0"/>
    <x v="0"/>
    <x v="1"/>
    <x v="1"/>
    <n v="90"/>
  </r>
  <r>
    <x v="524"/>
    <x v="4"/>
    <s v="C"/>
    <n v="69"/>
    <s v="Female"/>
    <n v="16"/>
    <x v="1"/>
    <s v="Yes"/>
    <s v="Non-Veg"/>
    <x v="3"/>
    <x v="0"/>
    <x v="1"/>
    <x v="1"/>
    <n v="90"/>
  </r>
  <r>
    <x v="525"/>
    <x v="4"/>
    <s v="C"/>
    <n v="75"/>
    <s v="Female"/>
    <n v="15"/>
    <x v="1"/>
    <s v="Yes"/>
    <s v="Veg"/>
    <x v="0"/>
    <x v="3"/>
    <x v="1"/>
    <x v="1"/>
    <n v="90"/>
  </r>
  <r>
    <x v="526"/>
    <x v="4"/>
    <s v="C"/>
    <n v="79"/>
    <s v="Male"/>
    <n v="15"/>
    <x v="0"/>
    <s v="No"/>
    <s v="Non-Veg"/>
    <x v="1"/>
    <x v="1"/>
    <x v="1"/>
    <x v="0"/>
    <n v="90"/>
  </r>
  <r>
    <x v="527"/>
    <x v="4"/>
    <s v="C"/>
    <n v="81"/>
    <s v="Female"/>
    <n v="16"/>
    <x v="0"/>
    <s v="No"/>
    <s v="Non-Veg"/>
    <x v="2"/>
    <x v="2"/>
    <x v="1"/>
    <x v="0"/>
    <n v="90"/>
  </r>
  <r>
    <x v="528"/>
    <x v="4"/>
    <s v="C"/>
    <n v="88"/>
    <s v="Male"/>
    <n v="16"/>
    <x v="0"/>
    <s v="No"/>
    <s v="Veg"/>
    <x v="3"/>
    <x v="1"/>
    <x v="1"/>
    <x v="0"/>
    <n v="90"/>
  </r>
  <r>
    <x v="529"/>
    <x v="4"/>
    <s v="C"/>
    <n v="92"/>
    <s v="Female"/>
    <n v="15"/>
    <x v="0"/>
    <s v="Yes"/>
    <s v="Non-Veg"/>
    <x v="3"/>
    <x v="2"/>
    <x v="1"/>
    <x v="0"/>
    <n v="90"/>
  </r>
  <r>
    <x v="530"/>
    <x v="4"/>
    <s v="C"/>
    <n v="93"/>
    <s v="Male"/>
    <n v="15"/>
    <x v="1"/>
    <s v="No"/>
    <s v="Non-Veg"/>
    <x v="3"/>
    <x v="0"/>
    <x v="1"/>
    <x v="1"/>
    <n v="90"/>
  </r>
  <r>
    <x v="531"/>
    <x v="4"/>
    <s v="C"/>
    <n v="94"/>
    <s v="Female"/>
    <n v="15"/>
    <x v="1"/>
    <s v="Yes"/>
    <s v="Non-Veg"/>
    <x v="2"/>
    <x v="2"/>
    <x v="1"/>
    <x v="1"/>
    <n v="90"/>
  </r>
  <r>
    <x v="532"/>
    <x v="4"/>
    <s v="C"/>
    <n v="96"/>
    <s v="Female"/>
    <n v="15"/>
    <x v="0"/>
    <s v="Yes"/>
    <s v="Non-Veg"/>
    <x v="0"/>
    <x v="1"/>
    <x v="1"/>
    <x v="0"/>
    <n v="90"/>
  </r>
  <r>
    <x v="533"/>
    <x v="4"/>
    <s v="C"/>
    <n v="98"/>
    <s v="Female"/>
    <n v="15"/>
    <x v="1"/>
    <s v="Yes"/>
    <s v="Veg"/>
    <x v="3"/>
    <x v="1"/>
    <x v="1"/>
    <x v="1"/>
    <n v="90"/>
  </r>
  <r>
    <x v="534"/>
    <x v="4"/>
    <s v="C"/>
    <n v="100"/>
    <s v="Male"/>
    <n v="16"/>
    <x v="1"/>
    <s v="No"/>
    <s v="Veg"/>
    <x v="3"/>
    <x v="0"/>
    <x v="1"/>
    <x v="1"/>
    <n v="90"/>
  </r>
  <r>
    <x v="535"/>
    <x v="4"/>
    <s v="C"/>
    <n v="116"/>
    <s v="Female"/>
    <n v="16"/>
    <x v="1"/>
    <s v="Yes"/>
    <s v="Non-Veg"/>
    <x v="1"/>
    <x v="2"/>
    <x v="1"/>
    <x v="1"/>
    <n v="90"/>
  </r>
  <r>
    <x v="152"/>
    <x v="4"/>
    <s v="C"/>
    <n v="127"/>
    <s v="Female"/>
    <n v="16"/>
    <x v="0"/>
    <s v="Yes"/>
    <s v="Veg"/>
    <x v="3"/>
    <x v="0"/>
    <x v="1"/>
    <x v="0"/>
    <n v="90"/>
  </r>
  <r>
    <x v="536"/>
    <x v="4"/>
    <s v="C"/>
    <n v="130"/>
    <s v="Male"/>
    <n v="16"/>
    <x v="0"/>
    <s v="Yes"/>
    <s v="Veg"/>
    <x v="3"/>
    <x v="1"/>
    <x v="1"/>
    <x v="0"/>
    <n v="90"/>
  </r>
  <r>
    <x v="537"/>
    <x v="4"/>
    <s v="C"/>
    <n v="135"/>
    <s v="Male"/>
    <n v="15"/>
    <x v="1"/>
    <s v="No"/>
    <s v="Veg"/>
    <x v="0"/>
    <x v="3"/>
    <x v="1"/>
    <x v="1"/>
    <n v="90"/>
  </r>
  <r>
    <x v="538"/>
    <x v="4"/>
    <s v="C"/>
    <n v="159"/>
    <s v="Female"/>
    <n v="16"/>
    <x v="0"/>
    <s v="Yes"/>
    <s v="Veg"/>
    <x v="1"/>
    <x v="1"/>
    <x v="1"/>
    <x v="0"/>
    <n v="90"/>
  </r>
  <r>
    <x v="539"/>
    <x v="4"/>
    <s v="C"/>
    <n v="160"/>
    <s v="Female"/>
    <n v="16"/>
    <x v="1"/>
    <s v="Yes"/>
    <s v="Non-Veg"/>
    <x v="4"/>
    <x v="0"/>
    <x v="1"/>
    <x v="1"/>
    <n v="90"/>
  </r>
  <r>
    <x v="540"/>
    <x v="4"/>
    <s v="C"/>
    <n v="162"/>
    <s v="Male"/>
    <n v="15"/>
    <x v="1"/>
    <s v="Yes"/>
    <s v="Non-Veg"/>
    <x v="1"/>
    <x v="2"/>
    <x v="1"/>
    <x v="1"/>
    <n v="90"/>
  </r>
  <r>
    <x v="541"/>
    <x v="4"/>
    <s v="C"/>
    <n v="170"/>
    <s v="Female"/>
    <n v="15"/>
    <x v="0"/>
    <s v="Yes"/>
    <s v="Non-Veg"/>
    <x v="2"/>
    <x v="0"/>
    <x v="1"/>
    <x v="0"/>
    <n v="90"/>
  </r>
  <r>
    <x v="542"/>
    <x v="4"/>
    <s v="C"/>
    <n v="171"/>
    <s v="Female"/>
    <n v="16"/>
    <x v="1"/>
    <s v="Yes"/>
    <s v="Veg"/>
    <x v="3"/>
    <x v="0"/>
    <x v="1"/>
    <x v="1"/>
    <n v="90"/>
  </r>
  <r>
    <x v="543"/>
    <x v="4"/>
    <s v="C"/>
    <n v="173"/>
    <s v="Male"/>
    <n v="16"/>
    <x v="1"/>
    <s v="No"/>
    <s v="Veg"/>
    <x v="2"/>
    <x v="3"/>
    <x v="1"/>
    <x v="1"/>
    <n v="90"/>
  </r>
  <r>
    <x v="544"/>
    <x v="4"/>
    <s v="C"/>
    <n v="198"/>
    <s v="Female"/>
    <n v="16"/>
    <x v="0"/>
    <s v="Yes"/>
    <s v="Veg"/>
    <x v="4"/>
    <x v="0"/>
    <x v="1"/>
    <x v="0"/>
    <n v="90"/>
  </r>
  <r>
    <x v="545"/>
    <x v="4"/>
    <s v="D"/>
    <n v="16"/>
    <s v="Female"/>
    <n v="16"/>
    <x v="0"/>
    <s v="Yes"/>
    <s v="Veg"/>
    <x v="3"/>
    <x v="0"/>
    <x v="1"/>
    <x v="0"/>
    <n v="90"/>
  </r>
  <r>
    <x v="546"/>
    <x v="4"/>
    <s v="D"/>
    <n v="26"/>
    <s v="Male"/>
    <n v="15"/>
    <x v="0"/>
    <s v="Yes"/>
    <s v="Veg"/>
    <x v="2"/>
    <x v="0"/>
    <x v="1"/>
    <x v="0"/>
    <n v="90"/>
  </r>
  <r>
    <x v="547"/>
    <x v="4"/>
    <s v="D"/>
    <n v="29"/>
    <s v="Male"/>
    <n v="15"/>
    <x v="0"/>
    <s v="Yes"/>
    <s v="Non-Veg"/>
    <x v="1"/>
    <x v="0"/>
    <x v="1"/>
    <x v="0"/>
    <n v="90"/>
  </r>
  <r>
    <x v="548"/>
    <x v="4"/>
    <s v="D"/>
    <n v="35"/>
    <s v="Male"/>
    <n v="16"/>
    <x v="1"/>
    <s v="Yes"/>
    <s v="Veg"/>
    <x v="1"/>
    <x v="2"/>
    <x v="1"/>
    <x v="1"/>
    <n v="90"/>
  </r>
  <r>
    <x v="549"/>
    <x v="4"/>
    <s v="D"/>
    <n v="38"/>
    <s v="Male"/>
    <n v="16"/>
    <x v="1"/>
    <s v="No"/>
    <s v="Non-Veg"/>
    <x v="0"/>
    <x v="0"/>
    <x v="1"/>
    <x v="1"/>
    <n v="90"/>
  </r>
  <r>
    <x v="550"/>
    <x v="4"/>
    <s v="D"/>
    <n v="40"/>
    <s v="Female"/>
    <n v="15"/>
    <x v="1"/>
    <s v="Yes"/>
    <s v="Veg"/>
    <x v="3"/>
    <x v="0"/>
    <x v="1"/>
    <x v="1"/>
    <n v="90"/>
  </r>
  <r>
    <x v="551"/>
    <x v="4"/>
    <s v="D"/>
    <n v="42"/>
    <s v="Male"/>
    <n v="15"/>
    <x v="0"/>
    <s v="Yes"/>
    <s v="Non-Veg"/>
    <x v="2"/>
    <x v="0"/>
    <x v="1"/>
    <x v="0"/>
    <n v="90"/>
  </r>
  <r>
    <x v="552"/>
    <x v="4"/>
    <s v="D"/>
    <n v="44"/>
    <s v="Female"/>
    <n v="15"/>
    <x v="1"/>
    <s v="Yes"/>
    <s v="Veg"/>
    <x v="2"/>
    <x v="0"/>
    <x v="1"/>
    <x v="1"/>
    <n v="90"/>
  </r>
  <r>
    <x v="553"/>
    <x v="4"/>
    <s v="D"/>
    <n v="47"/>
    <s v="Male"/>
    <n v="16"/>
    <x v="1"/>
    <s v="No"/>
    <s v="Non-Veg"/>
    <x v="1"/>
    <x v="2"/>
    <x v="1"/>
    <x v="1"/>
    <n v="90"/>
  </r>
  <r>
    <x v="554"/>
    <x v="4"/>
    <s v="D"/>
    <n v="65"/>
    <s v="Male"/>
    <n v="15"/>
    <x v="0"/>
    <s v="Yes"/>
    <s v="Veg"/>
    <x v="0"/>
    <x v="1"/>
    <x v="1"/>
    <x v="0"/>
    <n v="90"/>
  </r>
  <r>
    <x v="555"/>
    <x v="4"/>
    <s v="D"/>
    <n v="74"/>
    <s v="Female"/>
    <n v="15"/>
    <x v="0"/>
    <s v="Yes"/>
    <s v="Veg"/>
    <x v="2"/>
    <x v="3"/>
    <x v="1"/>
    <x v="0"/>
    <n v="90"/>
  </r>
  <r>
    <x v="556"/>
    <x v="4"/>
    <s v="D"/>
    <n v="80"/>
    <s v="Female"/>
    <n v="16"/>
    <x v="0"/>
    <s v="Yes"/>
    <s v="Veg"/>
    <x v="1"/>
    <x v="1"/>
    <x v="1"/>
    <x v="0"/>
    <n v="90"/>
  </r>
  <r>
    <x v="557"/>
    <x v="4"/>
    <s v="D"/>
    <n v="90"/>
    <s v="Male"/>
    <n v="16"/>
    <x v="1"/>
    <s v="Yes"/>
    <s v="Veg"/>
    <x v="0"/>
    <x v="2"/>
    <x v="1"/>
    <x v="1"/>
    <n v="90"/>
  </r>
  <r>
    <x v="558"/>
    <x v="4"/>
    <s v="D"/>
    <n v="99"/>
    <s v="Male"/>
    <n v="16"/>
    <x v="1"/>
    <s v="Yes"/>
    <s v="Veg"/>
    <x v="2"/>
    <x v="0"/>
    <x v="1"/>
    <x v="1"/>
    <n v="90"/>
  </r>
  <r>
    <x v="559"/>
    <x v="4"/>
    <s v="D"/>
    <n v="101"/>
    <s v="Female"/>
    <n v="16"/>
    <x v="1"/>
    <s v="No"/>
    <s v="Veg"/>
    <x v="3"/>
    <x v="1"/>
    <x v="1"/>
    <x v="1"/>
    <n v="90"/>
  </r>
  <r>
    <x v="560"/>
    <x v="4"/>
    <s v="D"/>
    <n v="108"/>
    <s v="Female"/>
    <n v="16"/>
    <x v="1"/>
    <s v="No"/>
    <s v="Non-Veg"/>
    <x v="0"/>
    <x v="0"/>
    <x v="1"/>
    <x v="1"/>
    <n v="90"/>
  </r>
  <r>
    <x v="561"/>
    <x v="4"/>
    <s v="D"/>
    <n v="110"/>
    <s v="Male"/>
    <n v="15"/>
    <x v="1"/>
    <s v="Yes"/>
    <s v="Veg"/>
    <x v="3"/>
    <x v="2"/>
    <x v="1"/>
    <x v="1"/>
    <n v="90"/>
  </r>
  <r>
    <x v="562"/>
    <x v="4"/>
    <s v="D"/>
    <n v="121"/>
    <s v="Male"/>
    <n v="15"/>
    <x v="1"/>
    <s v="No"/>
    <s v="Veg"/>
    <x v="1"/>
    <x v="0"/>
    <x v="1"/>
    <x v="1"/>
    <n v="90"/>
  </r>
  <r>
    <x v="563"/>
    <x v="4"/>
    <s v="D"/>
    <n v="125"/>
    <s v="Male"/>
    <n v="15"/>
    <x v="0"/>
    <s v="Yes"/>
    <s v="Veg"/>
    <x v="1"/>
    <x v="0"/>
    <x v="1"/>
    <x v="0"/>
    <n v="90"/>
  </r>
  <r>
    <x v="564"/>
    <x v="4"/>
    <s v="D"/>
    <n v="133"/>
    <s v="Female"/>
    <n v="16"/>
    <x v="1"/>
    <s v="No"/>
    <s v="Non-Veg"/>
    <x v="0"/>
    <x v="0"/>
    <x v="1"/>
    <x v="1"/>
    <n v="90"/>
  </r>
  <r>
    <x v="565"/>
    <x v="4"/>
    <s v="D"/>
    <n v="134"/>
    <s v="Female"/>
    <n v="15"/>
    <x v="1"/>
    <s v="Yes"/>
    <s v="Veg"/>
    <x v="1"/>
    <x v="0"/>
    <x v="1"/>
    <x v="1"/>
    <n v="90"/>
  </r>
  <r>
    <x v="566"/>
    <x v="4"/>
    <s v="D"/>
    <n v="141"/>
    <s v="Male"/>
    <n v="15"/>
    <x v="0"/>
    <s v="No"/>
    <s v="Veg"/>
    <x v="1"/>
    <x v="1"/>
    <x v="1"/>
    <x v="0"/>
    <n v="90"/>
  </r>
  <r>
    <x v="567"/>
    <x v="4"/>
    <s v="D"/>
    <n v="151"/>
    <s v="Male"/>
    <n v="15"/>
    <x v="1"/>
    <s v="Yes"/>
    <s v="Veg"/>
    <x v="0"/>
    <x v="3"/>
    <x v="1"/>
    <x v="1"/>
    <n v="90"/>
  </r>
  <r>
    <x v="568"/>
    <x v="4"/>
    <s v="D"/>
    <n v="163"/>
    <s v="Female"/>
    <n v="15"/>
    <x v="0"/>
    <s v="No"/>
    <s v="Non-Veg"/>
    <x v="2"/>
    <x v="1"/>
    <x v="1"/>
    <x v="0"/>
    <n v="90"/>
  </r>
  <r>
    <x v="569"/>
    <x v="4"/>
    <s v="D"/>
    <n v="168"/>
    <s v="Female"/>
    <n v="16"/>
    <x v="0"/>
    <s v="Yes"/>
    <s v="Veg"/>
    <x v="1"/>
    <x v="0"/>
    <x v="1"/>
    <x v="0"/>
    <n v="90"/>
  </r>
  <r>
    <x v="570"/>
    <x v="4"/>
    <s v="D"/>
    <n v="178"/>
    <s v="Female"/>
    <n v="15"/>
    <x v="1"/>
    <s v="Yes"/>
    <s v="Non-Veg"/>
    <x v="2"/>
    <x v="2"/>
    <x v="1"/>
    <x v="1"/>
    <n v="90"/>
  </r>
  <r>
    <x v="571"/>
    <x v="4"/>
    <s v="D"/>
    <n v="180"/>
    <s v="Female"/>
    <n v="16"/>
    <x v="0"/>
    <s v="No"/>
    <s v="Veg"/>
    <x v="1"/>
    <x v="0"/>
    <x v="1"/>
    <x v="0"/>
    <n v="90"/>
  </r>
  <r>
    <x v="572"/>
    <x v="4"/>
    <s v="D"/>
    <n v="184"/>
    <s v="Female"/>
    <n v="16"/>
    <x v="1"/>
    <s v="No"/>
    <s v="Non-Veg"/>
    <x v="1"/>
    <x v="2"/>
    <x v="1"/>
    <x v="1"/>
    <n v="90"/>
  </r>
  <r>
    <x v="573"/>
    <x v="4"/>
    <s v="D"/>
    <n v="186"/>
    <s v="Female"/>
    <n v="15"/>
    <x v="1"/>
    <s v="Yes"/>
    <s v="Non-Veg"/>
    <x v="3"/>
    <x v="0"/>
    <x v="1"/>
    <x v="1"/>
    <n v="90"/>
  </r>
  <r>
    <x v="574"/>
    <x v="4"/>
    <s v="D"/>
    <n v="191"/>
    <s v="Male"/>
    <n v="16"/>
    <x v="0"/>
    <s v="Yes"/>
    <s v="Non-Veg"/>
    <x v="3"/>
    <x v="3"/>
    <x v="1"/>
    <x v="0"/>
    <n v="90"/>
  </r>
  <r>
    <x v="575"/>
    <x v="4"/>
    <s v="D"/>
    <n v="192"/>
    <s v="Female"/>
    <n v="16"/>
    <x v="0"/>
    <s v="No"/>
    <s v="Veg"/>
    <x v="3"/>
    <x v="0"/>
    <x v="1"/>
    <x v="0"/>
    <n v="90"/>
  </r>
  <r>
    <x v="576"/>
    <x v="4"/>
    <s v="D"/>
    <n v="196"/>
    <s v="Female"/>
    <n v="16"/>
    <x v="0"/>
    <s v="Yes"/>
    <s v="Veg"/>
    <x v="1"/>
    <x v="0"/>
    <x v="1"/>
    <x v="0"/>
    <n v="9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58"/>
    <n v="48"/>
    <n v="2900"/>
  </r>
  <r>
    <x v="1"/>
    <n v="89"/>
    <n v="49"/>
    <n v="5340"/>
  </r>
  <r>
    <x v="2"/>
    <n v="65"/>
    <n v="51"/>
    <n v="4550"/>
  </r>
  <r>
    <x v="3"/>
    <n v="59"/>
    <n v="55"/>
    <n v="4720"/>
  </r>
  <r>
    <x v="4"/>
    <n v="68"/>
    <n v="58"/>
    <n v="6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6AD380-BF0B-47CF-BF1A-6227F3E51D1F}"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3:B34" firstHeaderRow="0" firstDataRow="1" firstDataCol="0" rowPageCount="1" colPageCount="1"/>
  <pivotFields count="4">
    <pivotField axis="axisPage" showAll="0">
      <items count="6">
        <item x="0"/>
        <item x="1"/>
        <item x="2"/>
        <item x="3"/>
        <item x="4"/>
        <item t="default"/>
      </items>
    </pivotField>
    <pivotField dataField="1" showAll="0"/>
    <pivotField dataField="1" showAll="0"/>
    <pivotField showAll="0"/>
  </pivotFields>
  <rowItems count="1">
    <i/>
  </rowItems>
  <colFields count="1">
    <field x="-2"/>
  </colFields>
  <colItems count="2">
    <i>
      <x/>
    </i>
    <i i="1">
      <x v="1"/>
    </i>
  </colItems>
  <pageFields count="1">
    <pageField fld="0" item="3" hier="-1"/>
  </pageFields>
  <dataFields count="2">
    <dataField name="Sum of Due:" fld="2" baseField="0" baseItem="0"/>
    <dataField name="Sum of Paid" fld="1" baseField="0" baseItem="0"/>
  </dataField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D62E99-04F0-4100-8394-245422A329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14">
    <pivotField showAll="0">
      <items count="578">
        <item x="103"/>
        <item x="455"/>
        <item x="194"/>
        <item x="387"/>
        <item x="134"/>
        <item x="42"/>
        <item x="469"/>
        <item x="442"/>
        <item x="373"/>
        <item x="377"/>
        <item x="294"/>
        <item x="346"/>
        <item x="509"/>
        <item x="471"/>
        <item x="69"/>
        <item x="512"/>
        <item x="229"/>
        <item x="419"/>
        <item x="123"/>
        <item x="82"/>
        <item x="544"/>
        <item x="274"/>
        <item x="540"/>
        <item x="53"/>
        <item x="564"/>
        <item x="260"/>
        <item x="282"/>
        <item x="526"/>
        <item x="15"/>
        <item x="182"/>
        <item x="113"/>
        <item x="19"/>
        <item x="521"/>
        <item x="196"/>
        <item x="439"/>
        <item x="272"/>
        <item x="361"/>
        <item x="424"/>
        <item x="562"/>
        <item x="4"/>
        <item x="543"/>
        <item x="197"/>
        <item x="63"/>
        <item x="291"/>
        <item x="449"/>
        <item x="163"/>
        <item x="239"/>
        <item x="212"/>
        <item x="236"/>
        <item x="342"/>
        <item x="434"/>
        <item x="192"/>
        <item x="384"/>
        <item x="308"/>
        <item x="443"/>
        <item x="200"/>
        <item x="156"/>
        <item x="165"/>
        <item x="45"/>
        <item x="95"/>
        <item x="84"/>
        <item x="343"/>
        <item x="538"/>
        <item x="33"/>
        <item x="29"/>
        <item x="463"/>
        <item x="13"/>
        <item x="426"/>
        <item x="264"/>
        <item x="480"/>
        <item x="559"/>
        <item x="338"/>
        <item x="23"/>
        <item x="127"/>
        <item x="541"/>
        <item x="216"/>
        <item x="330"/>
        <item x="25"/>
        <item x="22"/>
        <item x="494"/>
        <item x="101"/>
        <item x="558"/>
        <item x="241"/>
        <item x="345"/>
        <item x="322"/>
        <item x="67"/>
        <item x="476"/>
        <item x="265"/>
        <item x="237"/>
        <item x="39"/>
        <item x="86"/>
        <item x="185"/>
        <item x="24"/>
        <item x="326"/>
        <item x="30"/>
        <item x="277"/>
        <item x="100"/>
        <item x="376"/>
        <item x="240"/>
        <item x="243"/>
        <item x="65"/>
        <item x="335"/>
        <item x="297"/>
        <item x="93"/>
        <item x="102"/>
        <item x="221"/>
        <item x="549"/>
        <item x="276"/>
        <item x="444"/>
        <item x="546"/>
        <item x="321"/>
        <item x="207"/>
        <item x="547"/>
        <item x="262"/>
        <item x="339"/>
        <item x="20"/>
        <item x="275"/>
        <item x="251"/>
        <item x="223"/>
        <item x="47"/>
        <item x="430"/>
        <item x="487"/>
        <item x="158"/>
        <item x="152"/>
        <item x="257"/>
        <item x="261"/>
        <item x="50"/>
        <item x="380"/>
        <item x="122"/>
        <item x="510"/>
        <item x="523"/>
        <item x="27"/>
        <item x="356"/>
        <item x="445"/>
        <item x="0"/>
        <item x="75"/>
        <item x="364"/>
        <item x="26"/>
        <item x="436"/>
        <item x="7"/>
        <item x="254"/>
        <item x="554"/>
        <item x="479"/>
        <item x="310"/>
        <item x="381"/>
        <item x="370"/>
        <item x="227"/>
        <item x="478"/>
        <item x="539"/>
        <item x="59"/>
        <item x="405"/>
        <item x="497"/>
        <item x="576"/>
        <item x="548"/>
        <item x="460"/>
        <item x="490"/>
        <item x="35"/>
        <item x="553"/>
        <item x="199"/>
        <item x="284"/>
        <item x="141"/>
        <item x="530"/>
        <item x="232"/>
        <item x="210"/>
        <item x="311"/>
        <item x="110"/>
        <item x="392"/>
        <item x="456"/>
        <item x="331"/>
        <item x="287"/>
        <item x="438"/>
        <item x="174"/>
        <item x="371"/>
        <item x="117"/>
        <item x="350"/>
        <item x="431"/>
        <item x="493"/>
        <item x="224"/>
        <item x="465"/>
        <item x="155"/>
        <item x="118"/>
        <item x="394"/>
        <item x="238"/>
        <item x="142"/>
        <item x="73"/>
        <item x="299"/>
        <item x="259"/>
        <item x="281"/>
        <item x="16"/>
        <item x="135"/>
        <item x="217"/>
        <item x="161"/>
        <item x="168"/>
        <item x="219"/>
        <item x="514"/>
        <item x="41"/>
        <item x="133"/>
        <item x="288"/>
        <item x="181"/>
        <item x="137"/>
        <item x="222"/>
        <item x="319"/>
        <item x="437"/>
        <item x="404"/>
        <item x="574"/>
        <item x="520"/>
        <item x="572"/>
        <item x="290"/>
        <item x="12"/>
        <item x="296"/>
        <item x="482"/>
        <item x="367"/>
        <item x="79"/>
        <item x="418"/>
        <item x="55"/>
        <item x="98"/>
        <item x="177"/>
        <item x="81"/>
        <item x="64"/>
        <item x="60"/>
        <item x="561"/>
        <item x="504"/>
        <item x="6"/>
        <item x="537"/>
        <item x="354"/>
        <item x="492"/>
        <item x="374"/>
        <item x="457"/>
        <item x="32"/>
        <item x="48"/>
        <item x="268"/>
        <item x="94"/>
        <item x="309"/>
        <item x="107"/>
        <item x="417"/>
        <item x="80"/>
        <item x="348"/>
        <item x="511"/>
        <item x="571"/>
        <item x="285"/>
        <item x="502"/>
        <item x="486"/>
        <item x="109"/>
        <item x="563"/>
        <item x="503"/>
        <item x="74"/>
        <item x="91"/>
        <item x="234"/>
        <item x="385"/>
        <item x="398"/>
        <item x="365"/>
        <item x="83"/>
        <item x="256"/>
        <item x="334"/>
        <item x="454"/>
        <item x="402"/>
        <item x="355"/>
        <item x="186"/>
        <item x="143"/>
        <item x="327"/>
        <item x="273"/>
        <item x="62"/>
        <item x="421"/>
        <item x="179"/>
        <item x="162"/>
        <item x="555"/>
        <item x="305"/>
        <item x="483"/>
        <item x="352"/>
        <item x="1"/>
        <item x="386"/>
        <item x="289"/>
        <item x="453"/>
        <item x="14"/>
        <item x="125"/>
        <item x="146"/>
        <item x="126"/>
        <item x="452"/>
        <item x="220"/>
        <item x="38"/>
        <item x="302"/>
        <item x="304"/>
        <item x="489"/>
        <item x="552"/>
        <item x="215"/>
        <item x="178"/>
        <item x="44"/>
        <item x="551"/>
        <item x="320"/>
        <item x="205"/>
        <item x="71"/>
        <item x="244"/>
        <item x="57"/>
        <item x="10"/>
        <item x="508"/>
        <item x="283"/>
        <item x="3"/>
        <item x="191"/>
        <item x="569"/>
        <item x="516"/>
        <item x="201"/>
        <item x="524"/>
        <item x="175"/>
        <item x="368"/>
        <item x="150"/>
        <item x="58"/>
        <item x="353"/>
        <item x="412"/>
        <item x="567"/>
        <item x="390"/>
        <item x="409"/>
        <item x="466"/>
        <item x="415"/>
        <item x="43"/>
        <item x="2"/>
        <item x="408"/>
        <item x="411"/>
        <item x="104"/>
        <item x="193"/>
        <item x="92"/>
        <item x="245"/>
        <item x="458"/>
        <item x="420"/>
        <item x="515"/>
        <item x="170"/>
        <item x="475"/>
        <item x="96"/>
        <item x="147"/>
        <item x="410"/>
        <item x="396"/>
        <item x="333"/>
        <item x="132"/>
        <item x="213"/>
        <item x="112"/>
        <item x="536"/>
        <item x="176"/>
        <item x="328"/>
        <item x="189"/>
        <item x="306"/>
        <item x="388"/>
        <item x="8"/>
        <item x="66"/>
        <item x="389"/>
        <item x="513"/>
        <item x="477"/>
        <item x="138"/>
        <item x="568"/>
        <item x="507"/>
        <item x="233"/>
        <item x="121"/>
        <item x="325"/>
        <item x="474"/>
        <item x="399"/>
        <item x="97"/>
        <item x="293"/>
        <item x="427"/>
        <item x="440"/>
        <item x="253"/>
        <item x="46"/>
        <item x="314"/>
        <item x="88"/>
        <item x="171"/>
        <item x="169"/>
        <item x="556"/>
        <item x="139"/>
        <item x="90"/>
        <item x="375"/>
        <item x="120"/>
        <item x="312"/>
        <item x="340"/>
        <item x="31"/>
        <item x="231"/>
        <item x="211"/>
        <item x="187"/>
        <item x="450"/>
        <item x="550"/>
        <item x="532"/>
        <item x="432"/>
        <item x="336"/>
        <item x="359"/>
        <item x="56"/>
        <item x="498"/>
        <item x="488"/>
        <item x="435"/>
        <item x="131"/>
        <item x="422"/>
        <item x="9"/>
        <item x="269"/>
        <item x="78"/>
        <item x="448"/>
        <item x="337"/>
        <item x="159"/>
        <item x="270"/>
        <item x="68"/>
        <item x="542"/>
        <item x="462"/>
        <item x="172"/>
        <item x="301"/>
        <item x="295"/>
        <item x="271"/>
        <item x="129"/>
        <item x="496"/>
        <item x="358"/>
        <item x="451"/>
        <item x="533"/>
        <item x="545"/>
        <item x="18"/>
        <item x="531"/>
        <item x="441"/>
        <item x="575"/>
        <item x="447"/>
        <item x="116"/>
        <item x="140"/>
        <item x="263"/>
        <item x="99"/>
        <item x="114"/>
        <item x="279"/>
        <item x="180"/>
        <item x="37"/>
        <item x="87"/>
        <item x="149"/>
        <item x="363"/>
        <item x="501"/>
        <item x="255"/>
        <item x="341"/>
        <item x="218"/>
        <item x="52"/>
        <item x="517"/>
        <item x="429"/>
        <item x="280"/>
        <item x="423"/>
        <item x="51"/>
        <item x="160"/>
        <item x="522"/>
        <item x="198"/>
        <item x="17"/>
        <item x="307"/>
        <item x="144"/>
        <item x="230"/>
        <item x="111"/>
        <item x="206"/>
        <item x="130"/>
        <item x="77"/>
        <item x="470"/>
        <item x="153"/>
        <item x="247"/>
        <item x="154"/>
        <item x="300"/>
        <item x="54"/>
        <item x="128"/>
        <item x="332"/>
        <item x="72"/>
        <item x="70"/>
        <item x="472"/>
        <item x="467"/>
        <item x="250"/>
        <item x="519"/>
        <item x="362"/>
        <item x="372"/>
        <item x="395"/>
        <item x="85"/>
        <item x="573"/>
        <item x="397"/>
        <item x="360"/>
        <item x="209"/>
        <item x="535"/>
        <item x="413"/>
        <item x="286"/>
        <item x="505"/>
        <item x="528"/>
        <item x="534"/>
        <item x="225"/>
        <item x="485"/>
        <item x="184"/>
        <item x="61"/>
        <item x="468"/>
        <item x="119"/>
        <item x="292"/>
        <item x="557"/>
        <item x="105"/>
        <item x="204"/>
        <item x="315"/>
        <item x="167"/>
        <item x="136"/>
        <item x="278"/>
        <item x="525"/>
        <item x="560"/>
        <item x="495"/>
        <item x="344"/>
        <item x="242"/>
        <item x="324"/>
        <item x="157"/>
        <item x="407"/>
        <item x="406"/>
        <item x="318"/>
        <item x="49"/>
        <item x="108"/>
        <item x="28"/>
        <item x="506"/>
        <item x="400"/>
        <item x="347"/>
        <item x="565"/>
        <item x="34"/>
        <item x="203"/>
        <item x="173"/>
        <item x="5"/>
        <item x="151"/>
        <item x="566"/>
        <item x="316"/>
        <item x="214"/>
        <item x="106"/>
        <item x="226"/>
        <item x="266"/>
        <item x="145"/>
        <item x="369"/>
        <item x="383"/>
        <item x="473"/>
        <item x="570"/>
        <item x="527"/>
        <item x="446"/>
        <item x="378"/>
        <item x="428"/>
        <item x="267"/>
        <item x="459"/>
        <item x="416"/>
        <item x="414"/>
        <item x="208"/>
        <item x="303"/>
        <item x="89"/>
        <item x="190"/>
        <item x="246"/>
        <item x="366"/>
        <item x="228"/>
        <item x="248"/>
        <item x="188"/>
        <item x="40"/>
        <item x="500"/>
        <item x="76"/>
        <item x="491"/>
        <item x="357"/>
        <item x="391"/>
        <item x="166"/>
        <item x="461"/>
        <item x="21"/>
        <item x="183"/>
        <item x="349"/>
        <item x="124"/>
        <item x="379"/>
        <item x="249"/>
        <item x="115"/>
        <item x="252"/>
        <item x="518"/>
        <item x="329"/>
        <item x="382"/>
        <item x="499"/>
        <item x="403"/>
        <item x="464"/>
        <item x="401"/>
        <item x="313"/>
        <item x="298"/>
        <item x="11"/>
        <item x="258"/>
        <item x="481"/>
        <item x="393"/>
        <item x="148"/>
        <item x="317"/>
        <item x="164"/>
        <item x="484"/>
        <item x="235"/>
        <item x="425"/>
        <item x="36"/>
        <item x="351"/>
        <item x="202"/>
        <item x="433"/>
        <item x="195"/>
        <item x="323"/>
        <item x="529"/>
        <item t="default"/>
      </items>
    </pivotField>
    <pivotField axis="axisPage" dataField="1" showAll="0">
      <items count="6">
        <item x="0"/>
        <item x="1"/>
        <item x="2"/>
        <item x="3"/>
        <item x="4"/>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items count="5">
        <item x="3"/>
        <item x="1"/>
        <item x="0"/>
        <item x="2"/>
        <item t="default"/>
      </items>
    </pivotField>
    <pivotField showAll="0">
      <items count="3">
        <item x="0"/>
        <item x="1"/>
        <item t="default"/>
      </items>
    </pivotField>
    <pivotField showAll="0">
      <items count="3">
        <item x="1"/>
        <item x="0"/>
        <item t="default"/>
      </items>
    </pivotField>
    <pivotField showAll="0"/>
  </pivotFields>
  <rowFields count="1">
    <field x="10"/>
  </rowFields>
  <rowItems count="5">
    <i>
      <x/>
    </i>
    <i>
      <x v="1"/>
    </i>
    <i>
      <x v="2"/>
    </i>
    <i>
      <x v="3"/>
    </i>
    <i t="grand">
      <x/>
    </i>
  </rowItems>
  <colItems count="1">
    <i/>
  </colItems>
  <pageFields count="1">
    <pageField fld="1" hier="-1"/>
  </pageFields>
  <dataFields count="1">
    <dataField name="Sum of Class" fld="1" showDataAs="percentOfCol"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B56A86-3DD1-4C7A-B869-13265E5210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7" firstHeaderRow="1" firstDataRow="1" firstDataCol="1" rowPageCount="1" colPageCount="1"/>
  <pivotFields count="14">
    <pivotField showAll="0"/>
    <pivotField axis="axisPage" dataField="1" multipleItemSelectionAllowed="1" showAll="0">
      <items count="6">
        <item x="0"/>
        <item x="1"/>
        <item x="2"/>
        <item x="3"/>
        <item x="4"/>
        <item t="default"/>
      </items>
    </pivotField>
    <pivotField showAll="0"/>
    <pivotField showAll="0"/>
    <pivotField showAll="0"/>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s>
  <rowFields count="1">
    <field x="9"/>
  </rowFields>
  <rowItems count="6">
    <i>
      <x/>
    </i>
    <i>
      <x v="1"/>
    </i>
    <i>
      <x v="2"/>
    </i>
    <i>
      <x v="3"/>
    </i>
    <i>
      <x v="4"/>
    </i>
    <i t="grand">
      <x/>
    </i>
  </rowItems>
  <colItems count="1">
    <i/>
  </colItems>
  <pageFields count="1">
    <pageField fld="1" hier="-1"/>
  </pageFields>
  <dataFields count="1">
    <dataField name="Sum of Class" fld="1" showDataAs="percentOfCol"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41DE0537-B2AE-4FA9-90B9-24BA7F2AD412}" sourceName="Class">
  <pivotTables>
    <pivotTable tabId="10" name="PivotTable1"/>
  </pivotTables>
  <data>
    <tabular pivotCacheId="62302326">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1" xr10:uid="{49CEFDE7-92AE-4C3D-9ECF-DF64EA176F8A}" sourceName="Class">
  <pivotTables>
    <pivotTable tabId="10" name="PivotTable2"/>
  </pivotTables>
  <data>
    <tabular pivotCacheId="62302326">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2" xr10:uid="{18AB39F0-542C-47F2-A421-73284CE5BE21}" sourceName="Class">
  <pivotTables>
    <pivotTable tabId="10" name="PivotTable4"/>
  </pivotTables>
  <data>
    <tabular pivotCacheId="329675232">
      <items count="5">
        <i x="0"/>
        <i x="1"/>
        <i x="2"/>
        <i x="3"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3DC6A488-92D1-4412-9FDC-75CCBFAEEA66}" cache="Slicer_Class" caption="Class" columnCount="5" rowHeight="247650"/>
  <slicer name="Class 1" xr10:uid="{46BD8C9F-0931-463D-9C86-DDB0070FE4E0}" cache="Slicer_Class1" caption="Class" rowHeight="247650"/>
  <slicer name="Class 2" xr10:uid="{FF9EFAA9-1700-4C38-8192-19630F904E14}" cache="Slicer_Class2" caption="Clas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B407C-75B2-4455-B476-6152B7F2C4C4}">
  <dimension ref="A1:L601"/>
  <sheetViews>
    <sheetView zoomScale="70" zoomScaleNormal="70" workbookViewId="0">
      <selection activeCell="K24" sqref="A1:L601"/>
    </sheetView>
  </sheetViews>
  <sheetFormatPr defaultRowHeight="14.4"/>
  <cols>
    <col min="1" max="1" width="22.6640625" bestFit="1" customWidth="1"/>
    <col min="2" max="2" width="7.109375" bestFit="1" customWidth="1"/>
    <col min="3" max="3" width="9.44140625" bestFit="1" customWidth="1"/>
    <col min="4" max="4" width="14.88671875" bestFit="1" customWidth="1"/>
    <col min="5" max="5" width="17.77734375" bestFit="1" customWidth="1"/>
    <col min="6" max="6" width="9.44140625" bestFit="1" customWidth="1"/>
    <col min="7" max="7" width="5.33203125" bestFit="1" customWidth="1"/>
    <col min="8" max="8" width="13" bestFit="1" customWidth="1"/>
    <col min="9" max="9" width="24.44140625" bestFit="1" customWidth="1"/>
    <col min="10" max="10" width="20.21875" bestFit="1" customWidth="1"/>
    <col min="11" max="11" width="34.21875" bestFit="1" customWidth="1"/>
    <col min="12" max="12" width="32.21875" bestFit="1" customWidth="1"/>
  </cols>
  <sheetData>
    <row r="1" spans="1:12" s="1" customFormat="1" ht="15.6">
      <c r="A1" s="18" t="s">
        <v>0</v>
      </c>
      <c r="B1" s="18" t="s">
        <v>1</v>
      </c>
      <c r="C1" s="18" t="s">
        <v>2</v>
      </c>
      <c r="D1" s="18" t="s">
        <v>3</v>
      </c>
      <c r="E1" s="18" t="s">
        <v>4</v>
      </c>
      <c r="F1" s="18" t="s">
        <v>5</v>
      </c>
      <c r="G1" s="18" t="s">
        <v>6</v>
      </c>
      <c r="H1" s="18" t="s">
        <v>7</v>
      </c>
      <c r="I1" s="18" t="s">
        <v>8</v>
      </c>
      <c r="J1" s="18" t="s">
        <v>9</v>
      </c>
      <c r="K1" s="18" t="s">
        <v>10</v>
      </c>
      <c r="L1" s="18" t="s">
        <v>11</v>
      </c>
    </row>
    <row r="2" spans="1:12" ht="15.6">
      <c r="A2" s="19" t="s">
        <v>12</v>
      </c>
      <c r="B2" s="19">
        <v>9</v>
      </c>
      <c r="C2" s="19" t="s">
        <v>13</v>
      </c>
      <c r="D2" s="19">
        <v>11</v>
      </c>
      <c r="E2" s="19">
        <v>6544792178</v>
      </c>
      <c r="F2" s="19" t="s">
        <v>14</v>
      </c>
      <c r="G2" s="19">
        <v>14</v>
      </c>
      <c r="H2" s="19" t="s">
        <v>15</v>
      </c>
      <c r="I2" s="19" t="s">
        <v>16</v>
      </c>
      <c r="J2" s="19" t="s">
        <v>17</v>
      </c>
      <c r="K2" s="19" t="s">
        <v>18</v>
      </c>
      <c r="L2" s="19" t="s">
        <v>19</v>
      </c>
    </row>
    <row r="3" spans="1:12" ht="15.6">
      <c r="A3" s="19" t="s">
        <v>20</v>
      </c>
      <c r="B3" s="19">
        <v>10</v>
      </c>
      <c r="C3" s="19" t="s">
        <v>21</v>
      </c>
      <c r="D3" s="19">
        <v>110</v>
      </c>
      <c r="E3" s="19">
        <v>6460754249</v>
      </c>
      <c r="F3" s="19" t="s">
        <v>14</v>
      </c>
      <c r="G3" s="19">
        <v>15</v>
      </c>
      <c r="H3" s="19" t="s">
        <v>15</v>
      </c>
      <c r="I3" s="19" t="s">
        <v>22</v>
      </c>
      <c r="J3" s="19" t="s">
        <v>23</v>
      </c>
      <c r="K3" s="19" t="s">
        <v>24</v>
      </c>
      <c r="L3" s="19" t="s">
        <v>19</v>
      </c>
    </row>
    <row r="4" spans="1:12" ht="15.6">
      <c r="A4" s="19" t="s">
        <v>25</v>
      </c>
      <c r="B4" s="19">
        <v>8</v>
      </c>
      <c r="C4" s="19" t="s">
        <v>26</v>
      </c>
      <c r="D4" s="19">
        <v>7</v>
      </c>
      <c r="E4" s="19">
        <v>7310555924</v>
      </c>
      <c r="F4" s="19" t="s">
        <v>27</v>
      </c>
      <c r="G4" s="19">
        <v>13</v>
      </c>
      <c r="H4" s="19" t="s">
        <v>15</v>
      </c>
      <c r="I4" s="19" t="s">
        <v>22</v>
      </c>
      <c r="J4" s="19" t="s">
        <v>23</v>
      </c>
      <c r="K4" s="19" t="s">
        <v>18</v>
      </c>
      <c r="L4" s="19" t="s">
        <v>28</v>
      </c>
    </row>
    <row r="5" spans="1:12" ht="15.6">
      <c r="A5" s="19" t="s">
        <v>29</v>
      </c>
      <c r="B5" s="19">
        <v>6</v>
      </c>
      <c r="C5" s="19" t="s">
        <v>13</v>
      </c>
      <c r="D5" s="19">
        <v>87</v>
      </c>
      <c r="E5" s="19">
        <v>9472488976</v>
      </c>
      <c r="F5" s="19" t="s">
        <v>27</v>
      </c>
      <c r="G5" s="19">
        <v>12</v>
      </c>
      <c r="H5" s="19" t="s">
        <v>15</v>
      </c>
      <c r="I5" s="19" t="s">
        <v>16</v>
      </c>
      <c r="J5" s="19" t="s">
        <v>23</v>
      </c>
      <c r="K5" s="19" t="s">
        <v>30</v>
      </c>
      <c r="L5" s="19" t="s">
        <v>31</v>
      </c>
    </row>
    <row r="6" spans="1:12" ht="15.6">
      <c r="A6" s="19" t="s">
        <v>32</v>
      </c>
      <c r="B6" s="19">
        <v>8</v>
      </c>
      <c r="C6" s="19" t="s">
        <v>21</v>
      </c>
      <c r="D6" s="19">
        <v>163</v>
      </c>
      <c r="E6" s="19">
        <v>6030232886</v>
      </c>
      <c r="F6" s="19" t="s">
        <v>27</v>
      </c>
      <c r="G6" s="19">
        <v>13</v>
      </c>
      <c r="H6" s="19" t="s">
        <v>33</v>
      </c>
      <c r="I6" s="19" t="s">
        <v>22</v>
      </c>
      <c r="J6" s="19" t="s">
        <v>17</v>
      </c>
      <c r="K6" s="19" t="s">
        <v>28</v>
      </c>
      <c r="L6" s="19" t="s">
        <v>28</v>
      </c>
    </row>
    <row r="7" spans="1:12" ht="15.6">
      <c r="A7" s="19" t="s">
        <v>34</v>
      </c>
      <c r="B7" s="19">
        <v>10</v>
      </c>
      <c r="C7" s="19" t="s">
        <v>21</v>
      </c>
      <c r="D7" s="19">
        <v>40</v>
      </c>
      <c r="E7" s="19">
        <v>9545949157</v>
      </c>
      <c r="F7" s="19" t="s">
        <v>27</v>
      </c>
      <c r="G7" s="19">
        <v>15</v>
      </c>
      <c r="H7" s="19" t="s">
        <v>15</v>
      </c>
      <c r="I7" s="19" t="s">
        <v>22</v>
      </c>
      <c r="J7" s="19" t="s">
        <v>23</v>
      </c>
      <c r="K7" s="19" t="s">
        <v>24</v>
      </c>
      <c r="L7" s="19" t="s">
        <v>28</v>
      </c>
    </row>
    <row r="8" spans="1:12" ht="15.6">
      <c r="A8" s="19" t="s">
        <v>35</v>
      </c>
      <c r="B8" s="19">
        <v>9</v>
      </c>
      <c r="C8" s="19" t="s">
        <v>26</v>
      </c>
      <c r="D8" s="19">
        <v>69</v>
      </c>
      <c r="E8" s="19">
        <v>7171797340</v>
      </c>
      <c r="F8" s="19" t="s">
        <v>14</v>
      </c>
      <c r="G8" s="19">
        <v>15</v>
      </c>
      <c r="H8" s="19" t="s">
        <v>33</v>
      </c>
      <c r="I8" s="19" t="s">
        <v>16</v>
      </c>
      <c r="J8" s="19" t="s">
        <v>23</v>
      </c>
      <c r="K8" s="19" t="s">
        <v>28</v>
      </c>
      <c r="L8" s="19" t="s">
        <v>19</v>
      </c>
    </row>
    <row r="9" spans="1:12" ht="15.6">
      <c r="A9" s="19" t="s">
        <v>36</v>
      </c>
      <c r="B9" s="19">
        <v>7</v>
      </c>
      <c r="C9" s="19" t="s">
        <v>37</v>
      </c>
      <c r="D9" s="19">
        <v>149</v>
      </c>
      <c r="E9" s="19">
        <v>8149672906</v>
      </c>
      <c r="F9" s="19" t="s">
        <v>27</v>
      </c>
      <c r="G9" s="19">
        <v>12</v>
      </c>
      <c r="H9" s="19" t="s">
        <v>15</v>
      </c>
      <c r="I9" s="19" t="s">
        <v>16</v>
      </c>
      <c r="J9" s="19" t="s">
        <v>23</v>
      </c>
      <c r="K9" s="19" t="s">
        <v>24</v>
      </c>
      <c r="L9" s="19" t="s">
        <v>31</v>
      </c>
    </row>
    <row r="10" spans="1:12" ht="15.6">
      <c r="A10" s="19" t="s">
        <v>38</v>
      </c>
      <c r="B10" s="19">
        <v>6</v>
      </c>
      <c r="C10" s="19" t="s">
        <v>37</v>
      </c>
      <c r="D10" s="19">
        <v>193</v>
      </c>
      <c r="E10" s="19">
        <v>9188660590</v>
      </c>
      <c r="F10" s="19" t="s">
        <v>27</v>
      </c>
      <c r="G10" s="19">
        <v>11</v>
      </c>
      <c r="H10" s="19" t="s">
        <v>33</v>
      </c>
      <c r="I10" s="19" t="s">
        <v>16</v>
      </c>
      <c r="J10" s="19" t="s">
        <v>23</v>
      </c>
      <c r="K10" s="19" t="s">
        <v>30</v>
      </c>
      <c r="L10" s="19" t="s">
        <v>28</v>
      </c>
    </row>
    <row r="11" spans="1:12" ht="15.6">
      <c r="A11" s="19" t="s">
        <v>39</v>
      </c>
      <c r="B11" s="19">
        <v>10</v>
      </c>
      <c r="C11" s="19" t="s">
        <v>21</v>
      </c>
      <c r="D11" s="19">
        <v>178</v>
      </c>
      <c r="E11" s="19">
        <v>9965307298</v>
      </c>
      <c r="F11" s="19" t="s">
        <v>27</v>
      </c>
      <c r="G11" s="19">
        <v>15</v>
      </c>
      <c r="H11" s="19" t="s">
        <v>15</v>
      </c>
      <c r="I11" s="19" t="s">
        <v>22</v>
      </c>
      <c r="J11" s="19" t="s">
        <v>17</v>
      </c>
      <c r="K11" s="19" t="s">
        <v>18</v>
      </c>
      <c r="L11" s="19" t="s">
        <v>19</v>
      </c>
    </row>
    <row r="12" spans="1:12" ht="15.6">
      <c r="A12" s="19" t="s">
        <v>40</v>
      </c>
      <c r="B12" s="19">
        <v>9</v>
      </c>
      <c r="C12" s="19" t="s">
        <v>37</v>
      </c>
      <c r="D12" s="19">
        <v>96</v>
      </c>
      <c r="E12" s="19">
        <v>6352855056</v>
      </c>
      <c r="F12" s="19" t="s">
        <v>14</v>
      </c>
      <c r="G12" s="19">
        <v>14</v>
      </c>
      <c r="H12" s="19" t="s">
        <v>15</v>
      </c>
      <c r="I12" s="19" t="s">
        <v>22</v>
      </c>
      <c r="J12" s="19" t="s">
        <v>23</v>
      </c>
      <c r="K12" s="19" t="s">
        <v>28</v>
      </c>
      <c r="L12" s="19" t="s">
        <v>28</v>
      </c>
    </row>
    <row r="13" spans="1:12" ht="15.6">
      <c r="A13" s="19" t="s">
        <v>41</v>
      </c>
      <c r="B13" s="19">
        <v>9</v>
      </c>
      <c r="C13" s="19" t="s">
        <v>37</v>
      </c>
      <c r="D13" s="19">
        <v>68</v>
      </c>
      <c r="E13" s="19">
        <v>7093300591</v>
      </c>
      <c r="F13" s="19" t="s">
        <v>14</v>
      </c>
      <c r="G13" s="19">
        <v>15</v>
      </c>
      <c r="H13" s="19" t="s">
        <v>33</v>
      </c>
      <c r="I13" s="19" t="s">
        <v>22</v>
      </c>
      <c r="J13" s="19" t="s">
        <v>23</v>
      </c>
      <c r="K13" s="19" t="s">
        <v>24</v>
      </c>
      <c r="L13" s="19" t="s">
        <v>42</v>
      </c>
    </row>
    <row r="14" spans="1:12" ht="15.6">
      <c r="A14" s="19" t="s">
        <v>43</v>
      </c>
      <c r="B14" s="19">
        <v>7</v>
      </c>
      <c r="C14" s="19" t="s">
        <v>21</v>
      </c>
      <c r="D14" s="19">
        <v>195</v>
      </c>
      <c r="E14" s="19">
        <v>9502894265</v>
      </c>
      <c r="F14" s="19" t="s">
        <v>14</v>
      </c>
      <c r="G14" s="19">
        <v>13</v>
      </c>
      <c r="H14" s="19" t="s">
        <v>15</v>
      </c>
      <c r="I14" s="19" t="s">
        <v>16</v>
      </c>
      <c r="J14" s="19" t="s">
        <v>23</v>
      </c>
      <c r="K14" s="19" t="s">
        <v>28</v>
      </c>
      <c r="L14" s="19" t="s">
        <v>19</v>
      </c>
    </row>
    <row r="15" spans="1:12" ht="15.6">
      <c r="A15" s="19" t="s">
        <v>44</v>
      </c>
      <c r="B15" s="19">
        <v>8</v>
      </c>
      <c r="C15" s="19" t="s">
        <v>26</v>
      </c>
      <c r="D15" s="19">
        <v>123</v>
      </c>
      <c r="E15" s="19">
        <v>8578341207</v>
      </c>
      <c r="F15" s="19" t="s">
        <v>27</v>
      </c>
      <c r="G15" s="19">
        <v>13</v>
      </c>
      <c r="H15" s="19" t="s">
        <v>15</v>
      </c>
      <c r="I15" s="19" t="s">
        <v>22</v>
      </c>
      <c r="J15" s="19" t="s">
        <v>23</v>
      </c>
      <c r="K15" s="19" t="s">
        <v>28</v>
      </c>
      <c r="L15" s="19" t="s">
        <v>31</v>
      </c>
    </row>
    <row r="16" spans="1:12" ht="15.6">
      <c r="A16" s="19" t="s">
        <v>45</v>
      </c>
      <c r="B16" s="19">
        <v>7</v>
      </c>
      <c r="C16" s="19" t="s">
        <v>21</v>
      </c>
      <c r="D16" s="19">
        <v>197</v>
      </c>
      <c r="E16" s="19">
        <v>6302351170</v>
      </c>
      <c r="F16" s="19" t="s">
        <v>27</v>
      </c>
      <c r="G16" s="19">
        <v>12</v>
      </c>
      <c r="H16" s="19" t="s">
        <v>33</v>
      </c>
      <c r="I16" s="19" t="s">
        <v>22</v>
      </c>
      <c r="J16" s="19" t="s">
        <v>17</v>
      </c>
      <c r="K16" s="19" t="s">
        <v>28</v>
      </c>
      <c r="L16" s="19" t="s">
        <v>42</v>
      </c>
    </row>
    <row r="17" spans="1:12" ht="15.6">
      <c r="A17" s="19" t="s">
        <v>46</v>
      </c>
      <c r="B17" s="19">
        <v>9</v>
      </c>
      <c r="C17" s="19" t="s">
        <v>21</v>
      </c>
      <c r="D17" s="19">
        <v>86</v>
      </c>
      <c r="E17" s="19">
        <v>6731065590</v>
      </c>
      <c r="F17" s="19" t="s">
        <v>27</v>
      </c>
      <c r="G17" s="19">
        <v>15</v>
      </c>
      <c r="H17" s="19" t="s">
        <v>15</v>
      </c>
      <c r="I17" s="19" t="s">
        <v>22</v>
      </c>
      <c r="J17" s="19" t="s">
        <v>17</v>
      </c>
      <c r="K17" s="19" t="s">
        <v>24</v>
      </c>
      <c r="L17" s="19" t="s">
        <v>31</v>
      </c>
    </row>
    <row r="18" spans="1:12" ht="15.6">
      <c r="A18" s="19" t="s">
        <v>47</v>
      </c>
      <c r="B18" s="19">
        <v>6</v>
      </c>
      <c r="C18" s="19" t="s">
        <v>13</v>
      </c>
      <c r="D18" s="19">
        <v>59</v>
      </c>
      <c r="E18" s="19">
        <v>9082177616</v>
      </c>
      <c r="F18" s="19" t="s">
        <v>27</v>
      </c>
      <c r="G18" s="19">
        <v>12</v>
      </c>
      <c r="H18" s="19" t="s">
        <v>15</v>
      </c>
      <c r="I18" s="19" t="s">
        <v>22</v>
      </c>
      <c r="J18" s="19" t="s">
        <v>23</v>
      </c>
      <c r="K18" s="19" t="s">
        <v>18</v>
      </c>
      <c r="L18" s="19" t="s">
        <v>42</v>
      </c>
    </row>
    <row r="19" spans="1:12" ht="15.6">
      <c r="A19" s="19" t="s">
        <v>48</v>
      </c>
      <c r="B19" s="19">
        <v>8</v>
      </c>
      <c r="C19" s="19" t="s">
        <v>13</v>
      </c>
      <c r="D19" s="19">
        <v>46</v>
      </c>
      <c r="E19" s="19">
        <v>9206603213</v>
      </c>
      <c r="F19" s="19" t="s">
        <v>27</v>
      </c>
      <c r="G19" s="19">
        <v>13</v>
      </c>
      <c r="H19" s="19" t="s">
        <v>33</v>
      </c>
      <c r="I19" s="19" t="s">
        <v>16</v>
      </c>
      <c r="J19" s="19" t="s">
        <v>23</v>
      </c>
      <c r="K19" s="19" t="s">
        <v>49</v>
      </c>
      <c r="L19" s="19" t="s">
        <v>31</v>
      </c>
    </row>
    <row r="20" spans="1:12" ht="15.6">
      <c r="A20" s="19" t="s">
        <v>50</v>
      </c>
      <c r="B20" s="19">
        <v>6</v>
      </c>
      <c r="C20" s="19" t="s">
        <v>13</v>
      </c>
      <c r="D20" s="19">
        <v>154</v>
      </c>
      <c r="E20" s="19">
        <v>6593379063</v>
      </c>
      <c r="F20" s="19" t="s">
        <v>14</v>
      </c>
      <c r="G20" s="19">
        <v>11</v>
      </c>
      <c r="H20" s="19" t="s">
        <v>33</v>
      </c>
      <c r="I20" s="19" t="s">
        <v>22</v>
      </c>
      <c r="J20" s="19" t="s">
        <v>17</v>
      </c>
      <c r="K20" s="19" t="s">
        <v>30</v>
      </c>
      <c r="L20" s="19" t="s">
        <v>42</v>
      </c>
    </row>
    <row r="21" spans="1:12" ht="15.6">
      <c r="A21" s="19" t="s">
        <v>51</v>
      </c>
      <c r="B21" s="19">
        <v>7</v>
      </c>
      <c r="C21" s="19" t="s">
        <v>37</v>
      </c>
      <c r="D21" s="19">
        <v>161</v>
      </c>
      <c r="E21" s="19">
        <v>8577301000</v>
      </c>
      <c r="F21" s="19" t="s">
        <v>14</v>
      </c>
      <c r="G21" s="19">
        <v>13</v>
      </c>
      <c r="H21" s="19" t="s">
        <v>15</v>
      </c>
      <c r="I21" s="19" t="s">
        <v>16</v>
      </c>
      <c r="J21" s="19" t="s">
        <v>23</v>
      </c>
      <c r="K21" s="19" t="s">
        <v>30</v>
      </c>
      <c r="L21" s="19" t="s">
        <v>28</v>
      </c>
    </row>
    <row r="22" spans="1:12" ht="15.6">
      <c r="A22" s="19" t="s">
        <v>52</v>
      </c>
      <c r="B22" s="19">
        <v>10</v>
      </c>
      <c r="C22" s="19" t="s">
        <v>37</v>
      </c>
      <c r="D22" s="19">
        <v>64</v>
      </c>
      <c r="E22" s="19">
        <v>8834364443</v>
      </c>
      <c r="F22" s="19" t="s">
        <v>27</v>
      </c>
      <c r="G22" s="19">
        <v>16</v>
      </c>
      <c r="H22" s="19" t="s">
        <v>33</v>
      </c>
      <c r="I22" s="19" t="s">
        <v>22</v>
      </c>
      <c r="J22" s="19" t="s">
        <v>23</v>
      </c>
      <c r="K22" s="19" t="s">
        <v>18</v>
      </c>
      <c r="L22" s="19" t="s">
        <v>28</v>
      </c>
    </row>
    <row r="23" spans="1:12" ht="15.6">
      <c r="A23" s="19" t="s">
        <v>53</v>
      </c>
      <c r="B23" s="19">
        <v>6</v>
      </c>
      <c r="C23" s="19" t="s">
        <v>13</v>
      </c>
      <c r="D23" s="19">
        <v>71</v>
      </c>
      <c r="E23" s="19">
        <v>7286424807</v>
      </c>
      <c r="F23" s="19" t="s">
        <v>27</v>
      </c>
      <c r="G23" s="19">
        <v>12</v>
      </c>
      <c r="H23" s="19" t="s">
        <v>15</v>
      </c>
      <c r="I23" s="19" t="s">
        <v>16</v>
      </c>
      <c r="J23" s="19" t="s">
        <v>23</v>
      </c>
      <c r="K23" s="19" t="s">
        <v>28</v>
      </c>
      <c r="L23" s="19" t="s">
        <v>19</v>
      </c>
    </row>
    <row r="24" spans="1:12" ht="15.6">
      <c r="A24" s="19" t="s">
        <v>54</v>
      </c>
      <c r="B24" s="19">
        <v>9</v>
      </c>
      <c r="C24" s="19" t="s">
        <v>13</v>
      </c>
      <c r="D24" s="19">
        <v>173</v>
      </c>
      <c r="E24" s="19">
        <v>9954755067</v>
      </c>
      <c r="F24" s="19" t="s">
        <v>14</v>
      </c>
      <c r="G24" s="19">
        <v>14</v>
      </c>
      <c r="H24" s="19" t="s">
        <v>15</v>
      </c>
      <c r="I24" s="19" t="s">
        <v>16</v>
      </c>
      <c r="J24" s="19" t="s">
        <v>23</v>
      </c>
      <c r="K24" s="19" t="s">
        <v>18</v>
      </c>
      <c r="L24" s="19" t="s">
        <v>31</v>
      </c>
    </row>
    <row r="25" spans="1:12" ht="15.6">
      <c r="A25" s="19" t="s">
        <v>55</v>
      </c>
      <c r="B25" s="19">
        <v>6</v>
      </c>
      <c r="C25" s="19" t="s">
        <v>13</v>
      </c>
      <c r="D25" s="19">
        <v>7</v>
      </c>
      <c r="E25" s="19">
        <v>6082956071</v>
      </c>
      <c r="F25" s="19" t="s">
        <v>27</v>
      </c>
      <c r="G25" s="19">
        <v>12</v>
      </c>
      <c r="H25" s="19" t="s">
        <v>33</v>
      </c>
      <c r="I25" s="19" t="s">
        <v>22</v>
      </c>
      <c r="J25" s="19" t="s">
        <v>17</v>
      </c>
      <c r="K25" s="19" t="s">
        <v>30</v>
      </c>
      <c r="L25" s="19" t="s">
        <v>28</v>
      </c>
    </row>
    <row r="26" spans="1:12" ht="15.6">
      <c r="A26" s="19" t="s">
        <v>56</v>
      </c>
      <c r="B26" s="19">
        <v>10</v>
      </c>
      <c r="C26" s="19" t="s">
        <v>21</v>
      </c>
      <c r="D26" s="19">
        <v>184</v>
      </c>
      <c r="E26" s="19">
        <v>6806299914</v>
      </c>
      <c r="F26" s="19" t="s">
        <v>27</v>
      </c>
      <c r="G26" s="19">
        <v>16</v>
      </c>
      <c r="H26" s="19" t="s">
        <v>15</v>
      </c>
      <c r="I26" s="19" t="s">
        <v>16</v>
      </c>
      <c r="J26" s="19" t="s">
        <v>17</v>
      </c>
      <c r="K26" s="19" t="s">
        <v>28</v>
      </c>
      <c r="L26" s="19" t="s">
        <v>19</v>
      </c>
    </row>
    <row r="27" spans="1:12" ht="15.6">
      <c r="A27" s="19" t="s">
        <v>57</v>
      </c>
      <c r="B27" s="19">
        <v>8</v>
      </c>
      <c r="C27" s="19" t="s">
        <v>26</v>
      </c>
      <c r="D27" s="19">
        <v>82</v>
      </c>
      <c r="E27" s="19">
        <v>7894798056</v>
      </c>
      <c r="F27" s="19" t="s">
        <v>27</v>
      </c>
      <c r="G27" s="19">
        <v>13</v>
      </c>
      <c r="H27" s="19" t="s">
        <v>15</v>
      </c>
      <c r="I27" s="19" t="s">
        <v>16</v>
      </c>
      <c r="J27" s="19" t="s">
        <v>23</v>
      </c>
      <c r="K27" s="19" t="s">
        <v>28</v>
      </c>
      <c r="L27" s="19" t="s">
        <v>42</v>
      </c>
    </row>
    <row r="28" spans="1:12" ht="15.6">
      <c r="A28" s="19" t="s">
        <v>58</v>
      </c>
      <c r="B28" s="19">
        <v>9</v>
      </c>
      <c r="C28" s="19" t="s">
        <v>26</v>
      </c>
      <c r="D28" s="19">
        <v>185</v>
      </c>
      <c r="E28" s="19">
        <v>8883276131</v>
      </c>
      <c r="F28" s="19" t="s">
        <v>14</v>
      </c>
      <c r="G28" s="19">
        <v>14</v>
      </c>
      <c r="H28" s="19" t="s">
        <v>15</v>
      </c>
      <c r="I28" s="19" t="s">
        <v>22</v>
      </c>
      <c r="J28" s="19" t="s">
        <v>17</v>
      </c>
      <c r="K28" s="19" t="s">
        <v>28</v>
      </c>
      <c r="L28" s="19" t="s">
        <v>28</v>
      </c>
    </row>
    <row r="29" spans="1:12" ht="15.6">
      <c r="A29" s="19" t="s">
        <v>59</v>
      </c>
      <c r="B29" s="19">
        <v>10</v>
      </c>
      <c r="C29" s="19" t="s">
        <v>26</v>
      </c>
      <c r="D29" s="19">
        <v>92</v>
      </c>
      <c r="E29" s="19">
        <v>9593462352</v>
      </c>
      <c r="F29" s="19" t="s">
        <v>27</v>
      </c>
      <c r="G29" s="19">
        <v>15</v>
      </c>
      <c r="H29" s="19" t="s">
        <v>33</v>
      </c>
      <c r="I29" s="19" t="s">
        <v>22</v>
      </c>
      <c r="J29" s="19" t="s">
        <v>17</v>
      </c>
      <c r="K29" s="19" t="s">
        <v>24</v>
      </c>
      <c r="L29" s="19" t="s">
        <v>19</v>
      </c>
    </row>
    <row r="30" spans="1:12" ht="15.6">
      <c r="A30" s="19" t="s">
        <v>60</v>
      </c>
      <c r="B30" s="19">
        <v>9</v>
      </c>
      <c r="C30" s="19" t="s">
        <v>37</v>
      </c>
      <c r="D30" s="19">
        <v>14</v>
      </c>
      <c r="E30" s="19">
        <v>8803413845</v>
      </c>
      <c r="F30" s="19" t="s">
        <v>27</v>
      </c>
      <c r="G30" s="19">
        <v>14</v>
      </c>
      <c r="H30" s="19" t="s">
        <v>33</v>
      </c>
      <c r="I30" s="19" t="s">
        <v>16</v>
      </c>
      <c r="J30" s="19" t="s">
        <v>23</v>
      </c>
      <c r="K30" s="19" t="s">
        <v>30</v>
      </c>
      <c r="L30" s="19" t="s">
        <v>28</v>
      </c>
    </row>
    <row r="31" spans="1:12" ht="15.6">
      <c r="A31" s="19" t="s">
        <v>61</v>
      </c>
      <c r="B31" s="19">
        <v>6</v>
      </c>
      <c r="C31" s="19" t="s">
        <v>37</v>
      </c>
      <c r="D31" s="19">
        <v>119</v>
      </c>
      <c r="E31" s="19">
        <v>8375612474</v>
      </c>
      <c r="F31" s="19" t="s">
        <v>27</v>
      </c>
      <c r="G31" s="19">
        <v>12</v>
      </c>
      <c r="H31" s="19" t="s">
        <v>15</v>
      </c>
      <c r="I31" s="19" t="s">
        <v>22</v>
      </c>
      <c r="J31" s="19" t="s">
        <v>17</v>
      </c>
      <c r="K31" s="19" t="s">
        <v>18</v>
      </c>
      <c r="L31" s="19" t="s">
        <v>28</v>
      </c>
    </row>
    <row r="32" spans="1:12" ht="15.6">
      <c r="A32" s="19" t="s">
        <v>62</v>
      </c>
      <c r="B32" s="19">
        <v>8</v>
      </c>
      <c r="C32" s="19" t="s">
        <v>21</v>
      </c>
      <c r="D32" s="19">
        <v>83</v>
      </c>
      <c r="E32" s="19">
        <v>7712069382</v>
      </c>
      <c r="F32" s="19" t="s">
        <v>27</v>
      </c>
      <c r="G32" s="19">
        <v>13</v>
      </c>
      <c r="H32" s="19" t="s">
        <v>33</v>
      </c>
      <c r="I32" s="19" t="s">
        <v>22</v>
      </c>
      <c r="J32" s="19" t="s">
        <v>23</v>
      </c>
      <c r="K32" s="19" t="s">
        <v>24</v>
      </c>
      <c r="L32" s="19" t="s">
        <v>28</v>
      </c>
    </row>
    <row r="33" spans="1:12" ht="15.6">
      <c r="A33" s="19" t="s">
        <v>63</v>
      </c>
      <c r="B33" s="19">
        <v>8</v>
      </c>
      <c r="C33" s="19" t="s">
        <v>21</v>
      </c>
      <c r="D33" s="19">
        <v>86</v>
      </c>
      <c r="E33" s="19">
        <v>9528815783</v>
      </c>
      <c r="F33" s="19" t="s">
        <v>27</v>
      </c>
      <c r="G33" s="19">
        <v>14</v>
      </c>
      <c r="H33" s="19" t="s">
        <v>15</v>
      </c>
      <c r="I33" s="19" t="s">
        <v>16</v>
      </c>
      <c r="J33" s="19" t="s">
        <v>17</v>
      </c>
      <c r="K33" s="19" t="s">
        <v>28</v>
      </c>
      <c r="L33" s="19" t="s">
        <v>31</v>
      </c>
    </row>
    <row r="34" spans="1:12" ht="15.6">
      <c r="A34" s="19" t="s">
        <v>64</v>
      </c>
      <c r="B34" s="19">
        <v>8</v>
      </c>
      <c r="C34" s="19" t="s">
        <v>13</v>
      </c>
      <c r="D34" s="19">
        <v>187</v>
      </c>
      <c r="E34" s="19">
        <v>6414139426</v>
      </c>
      <c r="F34" s="19" t="s">
        <v>14</v>
      </c>
      <c r="G34" s="19">
        <v>14</v>
      </c>
      <c r="H34" s="19" t="s">
        <v>33</v>
      </c>
      <c r="I34" s="19" t="s">
        <v>16</v>
      </c>
      <c r="J34" s="19" t="s">
        <v>23</v>
      </c>
      <c r="K34" s="19" t="s">
        <v>24</v>
      </c>
      <c r="L34" s="19" t="s">
        <v>28</v>
      </c>
    </row>
    <row r="35" spans="1:12" ht="15.6">
      <c r="A35" s="19" t="s">
        <v>65</v>
      </c>
      <c r="B35" s="19">
        <v>6</v>
      </c>
      <c r="C35" s="19" t="s">
        <v>37</v>
      </c>
      <c r="D35" s="19">
        <v>96</v>
      </c>
      <c r="E35" s="19">
        <v>8827463103</v>
      </c>
      <c r="F35" s="19" t="s">
        <v>14</v>
      </c>
      <c r="G35" s="19">
        <v>11</v>
      </c>
      <c r="H35" s="19" t="s">
        <v>33</v>
      </c>
      <c r="I35" s="19" t="s">
        <v>16</v>
      </c>
      <c r="J35" s="19" t="s">
        <v>17</v>
      </c>
      <c r="K35" s="19" t="s">
        <v>18</v>
      </c>
      <c r="L35" s="19" t="s">
        <v>19</v>
      </c>
    </row>
    <row r="36" spans="1:12" ht="15.6">
      <c r="A36" s="19" t="s">
        <v>66</v>
      </c>
      <c r="B36" s="19">
        <v>7</v>
      </c>
      <c r="C36" s="19" t="s">
        <v>21</v>
      </c>
      <c r="D36" s="19">
        <v>192</v>
      </c>
      <c r="E36" s="19">
        <v>9416087152</v>
      </c>
      <c r="F36" s="19" t="s">
        <v>14</v>
      </c>
      <c r="G36" s="19">
        <v>13</v>
      </c>
      <c r="H36" s="19" t="s">
        <v>15</v>
      </c>
      <c r="I36" s="19" t="s">
        <v>16</v>
      </c>
      <c r="J36" s="19" t="s">
        <v>23</v>
      </c>
      <c r="K36" s="19" t="s">
        <v>18</v>
      </c>
      <c r="L36" s="19" t="s">
        <v>28</v>
      </c>
    </row>
    <row r="37" spans="1:12" ht="15.6">
      <c r="A37" s="19" t="s">
        <v>67</v>
      </c>
      <c r="B37" s="19">
        <v>8</v>
      </c>
      <c r="C37" s="19" t="s">
        <v>37</v>
      </c>
      <c r="D37" s="19">
        <v>104</v>
      </c>
      <c r="E37" s="19">
        <v>7662470519</v>
      </c>
      <c r="F37" s="19" t="s">
        <v>27</v>
      </c>
      <c r="G37" s="19">
        <v>14</v>
      </c>
      <c r="H37" s="19" t="s">
        <v>15</v>
      </c>
      <c r="I37" s="19" t="s">
        <v>16</v>
      </c>
      <c r="J37" s="19" t="s">
        <v>17</v>
      </c>
      <c r="K37" s="19" t="s">
        <v>24</v>
      </c>
      <c r="L37" s="19" t="s">
        <v>31</v>
      </c>
    </row>
    <row r="38" spans="1:12" ht="15.6">
      <c r="A38" s="19" t="s">
        <v>68</v>
      </c>
      <c r="B38" s="19">
        <v>7</v>
      </c>
      <c r="C38" s="19" t="s">
        <v>37</v>
      </c>
      <c r="D38" s="19">
        <v>55</v>
      </c>
      <c r="E38" s="19">
        <v>7805221446</v>
      </c>
      <c r="F38" s="19" t="s">
        <v>27</v>
      </c>
      <c r="G38" s="19">
        <v>12</v>
      </c>
      <c r="H38" s="19" t="s">
        <v>15</v>
      </c>
      <c r="I38" s="19" t="s">
        <v>16</v>
      </c>
      <c r="J38" s="19" t="s">
        <v>17</v>
      </c>
      <c r="K38" s="19" t="s">
        <v>24</v>
      </c>
      <c r="L38" s="19" t="s">
        <v>28</v>
      </c>
    </row>
    <row r="39" spans="1:12" ht="15.6">
      <c r="A39" s="19" t="s">
        <v>69</v>
      </c>
      <c r="B39" s="19">
        <v>8</v>
      </c>
      <c r="C39" s="19" t="s">
        <v>26</v>
      </c>
      <c r="D39" s="19">
        <v>178</v>
      </c>
      <c r="E39" s="19">
        <v>9593290697</v>
      </c>
      <c r="F39" s="19" t="s">
        <v>27</v>
      </c>
      <c r="G39" s="19">
        <v>13</v>
      </c>
      <c r="H39" s="19" t="s">
        <v>15</v>
      </c>
      <c r="I39" s="19" t="s">
        <v>16</v>
      </c>
      <c r="J39" s="19" t="s">
        <v>23</v>
      </c>
      <c r="K39" s="19" t="s">
        <v>18</v>
      </c>
      <c r="L39" s="19" t="s">
        <v>31</v>
      </c>
    </row>
    <row r="40" spans="1:12" ht="15.6">
      <c r="A40" s="19" t="s">
        <v>70</v>
      </c>
      <c r="B40" s="19">
        <v>8</v>
      </c>
      <c r="C40" s="19" t="s">
        <v>37</v>
      </c>
      <c r="D40" s="19">
        <v>75</v>
      </c>
      <c r="E40" s="19">
        <v>6957336309</v>
      </c>
      <c r="F40" s="19" t="s">
        <v>27</v>
      </c>
      <c r="G40" s="19">
        <v>14</v>
      </c>
      <c r="H40" s="19" t="s">
        <v>33</v>
      </c>
      <c r="I40" s="19" t="s">
        <v>22</v>
      </c>
      <c r="J40" s="19" t="s">
        <v>17</v>
      </c>
      <c r="K40" s="19" t="s">
        <v>30</v>
      </c>
      <c r="L40" s="19" t="s">
        <v>42</v>
      </c>
    </row>
    <row r="41" spans="1:12" ht="15.6">
      <c r="A41" s="19" t="s">
        <v>71</v>
      </c>
      <c r="B41" s="19">
        <v>7</v>
      </c>
      <c r="C41" s="19" t="s">
        <v>13</v>
      </c>
      <c r="D41" s="19">
        <v>40</v>
      </c>
      <c r="E41" s="19">
        <v>7618035736</v>
      </c>
      <c r="F41" s="19" t="s">
        <v>27</v>
      </c>
      <c r="G41" s="19">
        <v>13</v>
      </c>
      <c r="H41" s="19" t="s">
        <v>15</v>
      </c>
      <c r="I41" s="19" t="s">
        <v>16</v>
      </c>
      <c r="J41" s="19" t="s">
        <v>23</v>
      </c>
      <c r="K41" s="19" t="s">
        <v>49</v>
      </c>
      <c r="L41" s="19" t="s">
        <v>28</v>
      </c>
    </row>
    <row r="42" spans="1:12" ht="15.6">
      <c r="A42" s="19" t="s">
        <v>72</v>
      </c>
      <c r="B42" s="19">
        <v>6</v>
      </c>
      <c r="C42" s="19" t="s">
        <v>13</v>
      </c>
      <c r="D42" s="19">
        <v>43</v>
      </c>
      <c r="E42" s="19">
        <v>6163570603</v>
      </c>
      <c r="F42" s="19" t="s">
        <v>14</v>
      </c>
      <c r="G42" s="19">
        <v>12</v>
      </c>
      <c r="H42" s="19" t="s">
        <v>33</v>
      </c>
      <c r="I42" s="19" t="s">
        <v>22</v>
      </c>
      <c r="J42" s="19" t="s">
        <v>17</v>
      </c>
      <c r="K42" s="19" t="s">
        <v>30</v>
      </c>
      <c r="L42" s="19" t="s">
        <v>42</v>
      </c>
    </row>
    <row r="43" spans="1:12" ht="15.6">
      <c r="A43" s="19" t="s">
        <v>73</v>
      </c>
      <c r="B43" s="19">
        <v>7</v>
      </c>
      <c r="C43" s="19" t="s">
        <v>37</v>
      </c>
      <c r="D43" s="19">
        <v>94</v>
      </c>
      <c r="E43" s="19">
        <v>8504538628</v>
      </c>
      <c r="F43" s="19" t="s">
        <v>14</v>
      </c>
      <c r="G43" s="19">
        <v>13</v>
      </c>
      <c r="H43" s="19" t="s">
        <v>15</v>
      </c>
      <c r="I43" s="19" t="s">
        <v>16</v>
      </c>
      <c r="J43" s="19" t="s">
        <v>17</v>
      </c>
      <c r="K43" s="19" t="s">
        <v>49</v>
      </c>
      <c r="L43" s="19" t="s">
        <v>31</v>
      </c>
    </row>
    <row r="44" spans="1:12" ht="15.6">
      <c r="A44" s="19" t="s">
        <v>74</v>
      </c>
      <c r="B44" s="19">
        <v>6</v>
      </c>
      <c r="C44" s="19" t="s">
        <v>21</v>
      </c>
      <c r="D44" s="19">
        <v>35</v>
      </c>
      <c r="E44" s="19">
        <v>7345783948</v>
      </c>
      <c r="F44" s="19" t="s">
        <v>14</v>
      </c>
      <c r="G44" s="19">
        <v>11</v>
      </c>
      <c r="H44" s="19" t="s">
        <v>15</v>
      </c>
      <c r="I44" s="19" t="s">
        <v>22</v>
      </c>
      <c r="J44" s="19" t="s">
        <v>23</v>
      </c>
      <c r="K44" s="19" t="s">
        <v>18</v>
      </c>
      <c r="L44" s="19" t="s">
        <v>31</v>
      </c>
    </row>
    <row r="45" spans="1:12" ht="15.6">
      <c r="A45" s="19" t="s">
        <v>75</v>
      </c>
      <c r="B45" s="19">
        <v>7</v>
      </c>
      <c r="C45" s="19" t="s">
        <v>37</v>
      </c>
      <c r="D45" s="19">
        <v>79</v>
      </c>
      <c r="E45" s="19">
        <v>8182423144</v>
      </c>
      <c r="F45" s="19" t="s">
        <v>27</v>
      </c>
      <c r="G45" s="19">
        <v>12</v>
      </c>
      <c r="H45" s="19" t="s">
        <v>33</v>
      </c>
      <c r="I45" s="19" t="s">
        <v>16</v>
      </c>
      <c r="J45" s="19" t="s">
        <v>17</v>
      </c>
      <c r="K45" s="19" t="s">
        <v>18</v>
      </c>
      <c r="L45" s="19" t="s">
        <v>31</v>
      </c>
    </row>
    <row r="46" spans="1:12" ht="15.6">
      <c r="A46" s="19" t="s">
        <v>76</v>
      </c>
      <c r="B46" s="19">
        <v>7</v>
      </c>
      <c r="C46" s="19" t="s">
        <v>13</v>
      </c>
      <c r="D46" s="19">
        <v>147</v>
      </c>
      <c r="E46" s="19">
        <v>7252523188</v>
      </c>
      <c r="F46" s="19" t="s">
        <v>14</v>
      </c>
      <c r="G46" s="19">
        <v>12</v>
      </c>
      <c r="H46" s="19" t="s">
        <v>15</v>
      </c>
      <c r="I46" s="19" t="s">
        <v>22</v>
      </c>
      <c r="J46" s="19" t="s">
        <v>17</v>
      </c>
      <c r="K46" s="19" t="s">
        <v>18</v>
      </c>
      <c r="L46" s="19" t="s">
        <v>19</v>
      </c>
    </row>
    <row r="47" spans="1:12" ht="15.6">
      <c r="A47" s="19" t="s">
        <v>77</v>
      </c>
      <c r="B47" s="19">
        <v>6</v>
      </c>
      <c r="C47" s="19" t="s">
        <v>26</v>
      </c>
      <c r="D47" s="19">
        <v>45</v>
      </c>
      <c r="E47" s="19">
        <v>6697504469</v>
      </c>
      <c r="F47" s="19" t="s">
        <v>27</v>
      </c>
      <c r="G47" s="19">
        <v>12</v>
      </c>
      <c r="H47" s="19" t="s">
        <v>15</v>
      </c>
      <c r="I47" s="19" t="s">
        <v>16</v>
      </c>
      <c r="J47" s="19" t="s">
        <v>23</v>
      </c>
      <c r="K47" s="19" t="s">
        <v>18</v>
      </c>
      <c r="L47" s="19" t="s">
        <v>42</v>
      </c>
    </row>
    <row r="48" spans="1:12" ht="15.6">
      <c r="A48" s="19" t="s">
        <v>78</v>
      </c>
      <c r="B48" s="19">
        <v>9</v>
      </c>
      <c r="C48" s="19" t="s">
        <v>37</v>
      </c>
      <c r="D48" s="19">
        <v>180</v>
      </c>
      <c r="E48" s="19">
        <v>7440397282</v>
      </c>
      <c r="F48" s="19" t="s">
        <v>27</v>
      </c>
      <c r="G48" s="19">
        <v>14</v>
      </c>
      <c r="H48" s="19" t="s">
        <v>15</v>
      </c>
      <c r="I48" s="19" t="s">
        <v>22</v>
      </c>
      <c r="J48" s="19" t="s">
        <v>17</v>
      </c>
      <c r="K48" s="19" t="s">
        <v>49</v>
      </c>
      <c r="L48" s="19" t="s">
        <v>28</v>
      </c>
    </row>
    <row r="49" spans="1:12" ht="15.6">
      <c r="A49" s="19" t="s">
        <v>79</v>
      </c>
      <c r="B49" s="19">
        <v>10</v>
      </c>
      <c r="C49" s="19" t="s">
        <v>37</v>
      </c>
      <c r="D49" s="19">
        <v>175</v>
      </c>
      <c r="E49" s="19">
        <v>9341371650</v>
      </c>
      <c r="F49" s="19" t="s">
        <v>14</v>
      </c>
      <c r="G49" s="19">
        <v>16</v>
      </c>
      <c r="H49" s="19" t="s">
        <v>33</v>
      </c>
      <c r="I49" s="19" t="s">
        <v>22</v>
      </c>
      <c r="J49" s="19" t="s">
        <v>23</v>
      </c>
      <c r="K49" s="19" t="s">
        <v>28</v>
      </c>
      <c r="L49" s="19" t="s">
        <v>42</v>
      </c>
    </row>
    <row r="50" spans="1:12" ht="15.6">
      <c r="A50" s="19" t="s">
        <v>80</v>
      </c>
      <c r="B50" s="19">
        <v>10</v>
      </c>
      <c r="C50" s="19" t="s">
        <v>21</v>
      </c>
      <c r="D50" s="19">
        <v>16</v>
      </c>
      <c r="E50" s="19">
        <v>9234597593</v>
      </c>
      <c r="F50" s="19" t="s">
        <v>27</v>
      </c>
      <c r="G50" s="19">
        <v>16</v>
      </c>
      <c r="H50" s="19" t="s">
        <v>33</v>
      </c>
      <c r="I50" s="19" t="s">
        <v>22</v>
      </c>
      <c r="J50" s="19" t="s">
        <v>23</v>
      </c>
      <c r="K50" s="19" t="s">
        <v>24</v>
      </c>
      <c r="L50" s="19" t="s">
        <v>28</v>
      </c>
    </row>
    <row r="51" spans="1:12" ht="15.6">
      <c r="A51" s="19" t="s">
        <v>81</v>
      </c>
      <c r="B51" s="19">
        <v>9</v>
      </c>
      <c r="C51" s="19" t="s">
        <v>26</v>
      </c>
      <c r="D51" s="19">
        <v>90</v>
      </c>
      <c r="E51" s="19">
        <v>6211063080</v>
      </c>
      <c r="F51" s="19" t="s">
        <v>27</v>
      </c>
      <c r="G51" s="19">
        <v>15</v>
      </c>
      <c r="H51" s="19" t="s">
        <v>15</v>
      </c>
      <c r="I51" s="19" t="s">
        <v>22</v>
      </c>
      <c r="J51" s="19" t="s">
        <v>17</v>
      </c>
      <c r="K51" s="19" t="s">
        <v>49</v>
      </c>
      <c r="L51" s="19" t="s">
        <v>42</v>
      </c>
    </row>
    <row r="52" spans="1:12" ht="15.6">
      <c r="A52" s="19" t="s">
        <v>82</v>
      </c>
      <c r="B52" s="19">
        <v>9</v>
      </c>
      <c r="C52" s="19" t="s">
        <v>26</v>
      </c>
      <c r="D52" s="19">
        <v>73</v>
      </c>
      <c r="E52" s="19">
        <v>9886825680</v>
      </c>
      <c r="F52" s="19" t="s">
        <v>14</v>
      </c>
      <c r="G52" s="19">
        <v>14</v>
      </c>
      <c r="H52" s="19" t="s">
        <v>33</v>
      </c>
      <c r="I52" s="19" t="s">
        <v>22</v>
      </c>
      <c r="J52" s="19" t="s">
        <v>17</v>
      </c>
      <c r="K52" s="19" t="s">
        <v>28</v>
      </c>
      <c r="L52" s="19" t="s">
        <v>31</v>
      </c>
    </row>
    <row r="53" spans="1:12" ht="15.6">
      <c r="A53" s="19" t="s">
        <v>83</v>
      </c>
      <c r="B53" s="19">
        <v>7</v>
      </c>
      <c r="C53" s="19" t="s">
        <v>21</v>
      </c>
      <c r="D53" s="19">
        <v>145</v>
      </c>
      <c r="E53" s="19">
        <v>6802416319</v>
      </c>
      <c r="F53" s="19" t="s">
        <v>14</v>
      </c>
      <c r="G53" s="19">
        <v>12</v>
      </c>
      <c r="H53" s="19" t="s">
        <v>33</v>
      </c>
      <c r="I53" s="19" t="s">
        <v>22</v>
      </c>
      <c r="J53" s="19" t="s">
        <v>23</v>
      </c>
      <c r="K53" s="19" t="s">
        <v>18</v>
      </c>
      <c r="L53" s="19" t="s">
        <v>28</v>
      </c>
    </row>
    <row r="54" spans="1:12" ht="15.6">
      <c r="A54" s="19" t="s">
        <v>84</v>
      </c>
      <c r="B54" s="19">
        <v>8</v>
      </c>
      <c r="C54" s="19" t="s">
        <v>13</v>
      </c>
      <c r="D54" s="19">
        <v>161</v>
      </c>
      <c r="E54" s="19">
        <v>9561126301</v>
      </c>
      <c r="F54" s="19" t="s">
        <v>27</v>
      </c>
      <c r="G54" s="19">
        <v>14</v>
      </c>
      <c r="H54" s="19" t="s">
        <v>15</v>
      </c>
      <c r="I54" s="19" t="s">
        <v>22</v>
      </c>
      <c r="J54" s="19" t="s">
        <v>17</v>
      </c>
      <c r="K54" s="19" t="s">
        <v>18</v>
      </c>
      <c r="L54" s="19" t="s">
        <v>28</v>
      </c>
    </row>
    <row r="55" spans="1:12" ht="15.6">
      <c r="A55" s="19" t="s">
        <v>85</v>
      </c>
      <c r="B55" s="19">
        <v>9</v>
      </c>
      <c r="C55" s="19" t="s">
        <v>37</v>
      </c>
      <c r="D55" s="19">
        <v>128</v>
      </c>
      <c r="E55" s="19">
        <v>6838066231</v>
      </c>
      <c r="F55" s="19" t="s">
        <v>14</v>
      </c>
      <c r="G55" s="19">
        <v>14</v>
      </c>
      <c r="H55" s="19" t="s">
        <v>15</v>
      </c>
      <c r="I55" s="19" t="s">
        <v>22</v>
      </c>
      <c r="J55" s="19" t="s">
        <v>17</v>
      </c>
      <c r="K55" s="19" t="s">
        <v>30</v>
      </c>
      <c r="L55" s="19" t="s">
        <v>19</v>
      </c>
    </row>
    <row r="56" spans="1:12" ht="15.6">
      <c r="A56" s="19" t="s">
        <v>86</v>
      </c>
      <c r="B56" s="19">
        <v>6</v>
      </c>
      <c r="C56" s="19" t="s">
        <v>37</v>
      </c>
      <c r="D56" s="19">
        <v>55</v>
      </c>
      <c r="E56" s="19">
        <v>7916460593</v>
      </c>
      <c r="F56" s="19" t="s">
        <v>14</v>
      </c>
      <c r="G56" s="19">
        <v>11</v>
      </c>
      <c r="H56" s="19" t="s">
        <v>33</v>
      </c>
      <c r="I56" s="19" t="s">
        <v>22</v>
      </c>
      <c r="J56" s="19" t="s">
        <v>23</v>
      </c>
      <c r="K56" s="19" t="s">
        <v>30</v>
      </c>
      <c r="L56" s="19" t="s">
        <v>28</v>
      </c>
    </row>
    <row r="57" spans="1:12" ht="15.6">
      <c r="A57" s="19" t="s">
        <v>87</v>
      </c>
      <c r="B57" s="19">
        <v>6</v>
      </c>
      <c r="C57" s="19" t="s">
        <v>21</v>
      </c>
      <c r="D57" s="19">
        <v>184</v>
      </c>
      <c r="E57" s="19">
        <v>8238961022</v>
      </c>
      <c r="F57" s="19" t="s">
        <v>14</v>
      </c>
      <c r="G57" s="19">
        <v>12</v>
      </c>
      <c r="H57" s="19" t="s">
        <v>15</v>
      </c>
      <c r="I57" s="19" t="s">
        <v>22</v>
      </c>
      <c r="J57" s="19" t="s">
        <v>17</v>
      </c>
      <c r="K57" s="19" t="s">
        <v>30</v>
      </c>
      <c r="L57" s="19" t="s">
        <v>31</v>
      </c>
    </row>
    <row r="58" spans="1:12" ht="15.6">
      <c r="A58" s="19" t="s">
        <v>88</v>
      </c>
      <c r="B58" s="19">
        <v>6</v>
      </c>
      <c r="C58" s="19" t="s">
        <v>13</v>
      </c>
      <c r="D58" s="19">
        <v>126</v>
      </c>
      <c r="E58" s="19">
        <v>6845970030</v>
      </c>
      <c r="F58" s="19" t="s">
        <v>14</v>
      </c>
      <c r="G58" s="19">
        <v>11</v>
      </c>
      <c r="H58" s="19" t="s">
        <v>33</v>
      </c>
      <c r="I58" s="19" t="s">
        <v>16</v>
      </c>
      <c r="J58" s="19" t="s">
        <v>17</v>
      </c>
      <c r="K58" s="19" t="s">
        <v>28</v>
      </c>
      <c r="L58" s="19" t="s">
        <v>19</v>
      </c>
    </row>
    <row r="59" spans="1:12" ht="15.6">
      <c r="A59" s="19" t="s">
        <v>89</v>
      </c>
      <c r="B59" s="19">
        <v>10</v>
      </c>
      <c r="C59" s="19" t="s">
        <v>21</v>
      </c>
      <c r="D59" s="19">
        <v>38</v>
      </c>
      <c r="E59" s="19">
        <v>8157065604</v>
      </c>
      <c r="F59" s="19" t="s">
        <v>14</v>
      </c>
      <c r="G59" s="19">
        <v>16</v>
      </c>
      <c r="H59" s="19" t="s">
        <v>15</v>
      </c>
      <c r="I59" s="19" t="s">
        <v>16</v>
      </c>
      <c r="J59" s="19" t="s">
        <v>17</v>
      </c>
      <c r="K59" s="19" t="s">
        <v>30</v>
      </c>
      <c r="L59" s="19" t="s">
        <v>28</v>
      </c>
    </row>
    <row r="60" spans="1:12" ht="15.6">
      <c r="A60" s="19" t="s">
        <v>90</v>
      </c>
      <c r="B60" s="19">
        <v>10</v>
      </c>
      <c r="C60" s="19" t="s">
        <v>37</v>
      </c>
      <c r="D60" s="19">
        <v>161</v>
      </c>
      <c r="E60" s="19">
        <v>9160766337</v>
      </c>
      <c r="F60" s="19" t="s">
        <v>14</v>
      </c>
      <c r="G60" s="19">
        <v>16</v>
      </c>
      <c r="H60" s="19" t="s">
        <v>33</v>
      </c>
      <c r="I60" s="19" t="s">
        <v>22</v>
      </c>
      <c r="J60" s="19" t="s">
        <v>17</v>
      </c>
      <c r="K60" s="19" t="s">
        <v>28</v>
      </c>
      <c r="L60" s="19" t="s">
        <v>28</v>
      </c>
    </row>
    <row r="61" spans="1:12" ht="15.6">
      <c r="A61" s="19" t="s">
        <v>91</v>
      </c>
      <c r="B61" s="19">
        <v>10</v>
      </c>
      <c r="C61" s="19" t="s">
        <v>26</v>
      </c>
      <c r="D61" s="19">
        <v>6</v>
      </c>
      <c r="E61" s="19">
        <v>8995548191</v>
      </c>
      <c r="F61" s="19" t="s">
        <v>27</v>
      </c>
      <c r="G61" s="19">
        <v>15</v>
      </c>
      <c r="H61" s="19" t="s">
        <v>33</v>
      </c>
      <c r="I61" s="19" t="s">
        <v>16</v>
      </c>
      <c r="J61" s="19" t="s">
        <v>17</v>
      </c>
      <c r="K61" s="19" t="s">
        <v>24</v>
      </c>
      <c r="L61" s="19" t="s">
        <v>42</v>
      </c>
    </row>
    <row r="62" spans="1:12" ht="15.6">
      <c r="A62" s="19" t="s">
        <v>92</v>
      </c>
      <c r="B62" s="19">
        <v>8</v>
      </c>
      <c r="C62" s="19" t="s">
        <v>37</v>
      </c>
      <c r="D62" s="19">
        <v>11</v>
      </c>
      <c r="E62" s="19">
        <v>9143990361</v>
      </c>
      <c r="F62" s="19" t="s">
        <v>14</v>
      </c>
      <c r="G62" s="19">
        <v>14</v>
      </c>
      <c r="H62" s="19" t="s">
        <v>33</v>
      </c>
      <c r="I62" s="19" t="s">
        <v>22</v>
      </c>
      <c r="J62" s="19" t="s">
        <v>23</v>
      </c>
      <c r="K62" s="19" t="s">
        <v>24</v>
      </c>
      <c r="L62" s="19" t="s">
        <v>42</v>
      </c>
    </row>
    <row r="63" spans="1:12" ht="15.6">
      <c r="A63" s="19" t="s">
        <v>93</v>
      </c>
      <c r="B63" s="19">
        <v>8</v>
      </c>
      <c r="C63" s="19" t="s">
        <v>37</v>
      </c>
      <c r="D63" s="19">
        <v>16</v>
      </c>
      <c r="E63" s="19">
        <v>8538902897</v>
      </c>
      <c r="F63" s="19" t="s">
        <v>14</v>
      </c>
      <c r="G63" s="19">
        <v>13</v>
      </c>
      <c r="H63" s="19" t="s">
        <v>33</v>
      </c>
      <c r="I63" s="19" t="s">
        <v>22</v>
      </c>
      <c r="J63" s="19" t="s">
        <v>17</v>
      </c>
      <c r="K63" s="19" t="s">
        <v>28</v>
      </c>
      <c r="L63" s="19" t="s">
        <v>42</v>
      </c>
    </row>
    <row r="64" spans="1:12" ht="15.6">
      <c r="A64" s="19" t="s">
        <v>94</v>
      </c>
      <c r="B64" s="19">
        <v>7</v>
      </c>
      <c r="C64" s="19" t="s">
        <v>21</v>
      </c>
      <c r="D64" s="19">
        <v>113</v>
      </c>
      <c r="E64" s="19">
        <v>9364871580</v>
      </c>
      <c r="F64" s="19" t="s">
        <v>14</v>
      </c>
      <c r="G64" s="19">
        <v>12</v>
      </c>
      <c r="H64" s="19" t="s">
        <v>33</v>
      </c>
      <c r="I64" s="19" t="s">
        <v>22</v>
      </c>
      <c r="J64" s="19" t="s">
        <v>23</v>
      </c>
      <c r="K64" s="19" t="s">
        <v>49</v>
      </c>
      <c r="L64" s="19" t="s">
        <v>19</v>
      </c>
    </row>
    <row r="65" spans="1:12" ht="15.6">
      <c r="A65" s="19" t="s">
        <v>95</v>
      </c>
      <c r="B65" s="19">
        <v>7</v>
      </c>
      <c r="C65" s="19" t="s">
        <v>26</v>
      </c>
      <c r="D65" s="19">
        <v>154</v>
      </c>
      <c r="E65" s="19">
        <v>7743447476</v>
      </c>
      <c r="F65" s="19" t="s">
        <v>27</v>
      </c>
      <c r="G65" s="19">
        <v>12</v>
      </c>
      <c r="H65" s="19" t="s">
        <v>15</v>
      </c>
      <c r="I65" s="19" t="s">
        <v>16</v>
      </c>
      <c r="J65" s="19" t="s">
        <v>17</v>
      </c>
      <c r="K65" s="19" t="s">
        <v>18</v>
      </c>
      <c r="L65" s="19" t="s">
        <v>19</v>
      </c>
    </row>
    <row r="66" spans="1:12" ht="15.6">
      <c r="A66" s="19" t="s">
        <v>96</v>
      </c>
      <c r="B66" s="19">
        <v>6</v>
      </c>
      <c r="C66" s="19" t="s">
        <v>13</v>
      </c>
      <c r="D66" s="19">
        <v>25</v>
      </c>
      <c r="E66" s="19">
        <v>8554672698</v>
      </c>
      <c r="F66" s="19" t="s">
        <v>27</v>
      </c>
      <c r="G66" s="19">
        <v>12</v>
      </c>
      <c r="H66" s="19" t="s">
        <v>15</v>
      </c>
      <c r="I66" s="19" t="s">
        <v>16</v>
      </c>
      <c r="J66" s="19" t="s">
        <v>17</v>
      </c>
      <c r="K66" s="19" t="s">
        <v>28</v>
      </c>
      <c r="L66" s="19" t="s">
        <v>28</v>
      </c>
    </row>
    <row r="67" spans="1:12" ht="15.6">
      <c r="A67" s="19" t="s">
        <v>97</v>
      </c>
      <c r="B67" s="19">
        <v>10</v>
      </c>
      <c r="C67" s="19" t="s">
        <v>13</v>
      </c>
      <c r="D67" s="19">
        <v>5</v>
      </c>
      <c r="E67" s="19">
        <v>7747808498</v>
      </c>
      <c r="F67" s="19" t="s">
        <v>27</v>
      </c>
      <c r="G67" s="19">
        <v>16</v>
      </c>
      <c r="H67" s="19" t="s">
        <v>15</v>
      </c>
      <c r="I67" s="19" t="s">
        <v>22</v>
      </c>
      <c r="J67" s="19" t="s">
        <v>23</v>
      </c>
      <c r="K67" s="19" t="s">
        <v>24</v>
      </c>
      <c r="L67" s="19" t="s">
        <v>28</v>
      </c>
    </row>
    <row r="68" spans="1:12" ht="15.6">
      <c r="A68" s="19" t="s">
        <v>98</v>
      </c>
      <c r="B68" s="19">
        <v>10</v>
      </c>
      <c r="C68" s="19" t="s">
        <v>37</v>
      </c>
      <c r="D68" s="19">
        <v>68</v>
      </c>
      <c r="E68" s="19">
        <v>7579855465</v>
      </c>
      <c r="F68" s="19" t="s">
        <v>27</v>
      </c>
      <c r="G68" s="19">
        <v>15</v>
      </c>
      <c r="H68" s="19" t="s">
        <v>15</v>
      </c>
      <c r="I68" s="19" t="s">
        <v>22</v>
      </c>
      <c r="J68" s="19" t="s">
        <v>23</v>
      </c>
      <c r="K68" s="19" t="s">
        <v>30</v>
      </c>
      <c r="L68" s="19" t="s">
        <v>28</v>
      </c>
    </row>
    <row r="69" spans="1:12" ht="15.6">
      <c r="A69" s="19" t="s">
        <v>99</v>
      </c>
      <c r="B69" s="19">
        <v>10</v>
      </c>
      <c r="C69" s="19" t="s">
        <v>37</v>
      </c>
      <c r="D69" s="19">
        <v>164</v>
      </c>
      <c r="E69" s="19">
        <v>6112577470</v>
      </c>
      <c r="F69" s="19" t="s">
        <v>27</v>
      </c>
      <c r="G69" s="19">
        <v>15</v>
      </c>
      <c r="H69" s="19" t="s">
        <v>33</v>
      </c>
      <c r="I69" s="19" t="s">
        <v>16</v>
      </c>
      <c r="J69" s="19" t="s">
        <v>17</v>
      </c>
      <c r="K69" s="19" t="s">
        <v>28</v>
      </c>
      <c r="L69" s="19" t="s">
        <v>31</v>
      </c>
    </row>
    <row r="70" spans="1:12" ht="15.6">
      <c r="A70" s="19" t="s">
        <v>100</v>
      </c>
      <c r="B70" s="19">
        <v>10</v>
      </c>
      <c r="C70" s="19" t="s">
        <v>37</v>
      </c>
      <c r="D70" s="19">
        <v>188</v>
      </c>
      <c r="E70" s="19">
        <v>6485967943</v>
      </c>
      <c r="F70" s="19" t="s">
        <v>14</v>
      </c>
      <c r="G70" s="19">
        <v>15</v>
      </c>
      <c r="H70" s="19" t="s">
        <v>15</v>
      </c>
      <c r="I70" s="19" t="s">
        <v>22</v>
      </c>
      <c r="J70" s="19" t="s">
        <v>17</v>
      </c>
      <c r="K70" s="19" t="s">
        <v>28</v>
      </c>
      <c r="L70" s="19" t="s">
        <v>42</v>
      </c>
    </row>
    <row r="71" spans="1:12" ht="15.6">
      <c r="A71" s="19" t="s">
        <v>101</v>
      </c>
      <c r="B71" s="19">
        <v>10</v>
      </c>
      <c r="C71" s="19" t="s">
        <v>26</v>
      </c>
      <c r="D71" s="19">
        <v>88</v>
      </c>
      <c r="E71" s="19">
        <v>9875181725</v>
      </c>
      <c r="F71" s="19" t="s">
        <v>14</v>
      </c>
      <c r="G71" s="19">
        <v>16</v>
      </c>
      <c r="H71" s="19" t="s">
        <v>33</v>
      </c>
      <c r="I71" s="19" t="s">
        <v>16</v>
      </c>
      <c r="J71" s="19" t="s">
        <v>23</v>
      </c>
      <c r="K71" s="19" t="s">
        <v>24</v>
      </c>
      <c r="L71" s="19" t="s">
        <v>42</v>
      </c>
    </row>
    <row r="72" spans="1:12" ht="15.6">
      <c r="A72" s="19" t="s">
        <v>102</v>
      </c>
      <c r="B72" s="19">
        <v>7</v>
      </c>
      <c r="C72" s="19" t="s">
        <v>21</v>
      </c>
      <c r="D72" s="19">
        <v>151</v>
      </c>
      <c r="E72" s="19">
        <v>9105471787</v>
      </c>
      <c r="F72" s="19" t="s">
        <v>14</v>
      </c>
      <c r="G72" s="19">
        <v>13</v>
      </c>
      <c r="H72" s="19" t="s">
        <v>15</v>
      </c>
      <c r="I72" s="19" t="s">
        <v>16</v>
      </c>
      <c r="J72" s="19" t="s">
        <v>23</v>
      </c>
      <c r="K72" s="19" t="s">
        <v>24</v>
      </c>
      <c r="L72" s="19" t="s">
        <v>28</v>
      </c>
    </row>
    <row r="73" spans="1:12" ht="15.6">
      <c r="A73" s="19" t="s">
        <v>103</v>
      </c>
      <c r="B73" s="19">
        <v>10</v>
      </c>
      <c r="C73" s="19" t="s">
        <v>13</v>
      </c>
      <c r="D73" s="19">
        <v>138</v>
      </c>
      <c r="E73" s="19">
        <v>9186514022</v>
      </c>
      <c r="F73" s="19" t="s">
        <v>27</v>
      </c>
      <c r="G73" s="19">
        <v>15</v>
      </c>
      <c r="H73" s="19" t="s">
        <v>33</v>
      </c>
      <c r="I73" s="19" t="s">
        <v>16</v>
      </c>
      <c r="J73" s="19" t="s">
        <v>17</v>
      </c>
      <c r="K73" s="19" t="s">
        <v>49</v>
      </c>
      <c r="L73" s="19" t="s">
        <v>31</v>
      </c>
    </row>
    <row r="74" spans="1:12" ht="15.6">
      <c r="A74" s="19" t="s">
        <v>104</v>
      </c>
      <c r="B74" s="19">
        <v>8</v>
      </c>
      <c r="C74" s="19" t="s">
        <v>26</v>
      </c>
      <c r="D74" s="19">
        <v>61</v>
      </c>
      <c r="E74" s="19">
        <v>9303485856</v>
      </c>
      <c r="F74" s="19" t="s">
        <v>14</v>
      </c>
      <c r="G74" s="19">
        <v>14</v>
      </c>
      <c r="H74" s="19" t="s">
        <v>33</v>
      </c>
      <c r="I74" s="19" t="s">
        <v>16</v>
      </c>
      <c r="J74" s="19" t="s">
        <v>23</v>
      </c>
      <c r="K74" s="19" t="s">
        <v>28</v>
      </c>
      <c r="L74" s="19" t="s">
        <v>28</v>
      </c>
    </row>
    <row r="75" spans="1:12" ht="15.6">
      <c r="A75" s="19" t="s">
        <v>105</v>
      </c>
      <c r="B75" s="19">
        <v>8</v>
      </c>
      <c r="C75" s="19" t="s">
        <v>26</v>
      </c>
      <c r="D75" s="19">
        <v>153</v>
      </c>
      <c r="E75" s="19">
        <v>9983936773</v>
      </c>
      <c r="F75" s="19" t="s">
        <v>27</v>
      </c>
      <c r="G75" s="19">
        <v>13</v>
      </c>
      <c r="H75" s="19" t="s">
        <v>15</v>
      </c>
      <c r="I75" s="19" t="s">
        <v>16</v>
      </c>
      <c r="J75" s="19" t="s">
        <v>23</v>
      </c>
      <c r="K75" s="19" t="s">
        <v>18</v>
      </c>
      <c r="L75" s="19" t="s">
        <v>42</v>
      </c>
    </row>
    <row r="76" spans="1:12" ht="15.6">
      <c r="A76" s="19" t="s">
        <v>106</v>
      </c>
      <c r="B76" s="19">
        <v>9</v>
      </c>
      <c r="C76" s="19" t="s">
        <v>21</v>
      </c>
      <c r="D76" s="19">
        <v>7</v>
      </c>
      <c r="E76" s="19">
        <v>7953741263</v>
      </c>
      <c r="F76" s="19" t="s">
        <v>27</v>
      </c>
      <c r="G76" s="19">
        <v>15</v>
      </c>
      <c r="H76" s="19" t="s">
        <v>33</v>
      </c>
      <c r="I76" s="19" t="s">
        <v>16</v>
      </c>
      <c r="J76" s="19" t="s">
        <v>23</v>
      </c>
      <c r="K76" s="19" t="s">
        <v>24</v>
      </c>
      <c r="L76" s="19" t="s">
        <v>42</v>
      </c>
    </row>
    <row r="77" spans="1:12" ht="15.6">
      <c r="A77" s="19" t="s">
        <v>107</v>
      </c>
      <c r="B77" s="19">
        <v>10</v>
      </c>
      <c r="C77" s="19" t="s">
        <v>21</v>
      </c>
      <c r="D77" s="19">
        <v>168</v>
      </c>
      <c r="E77" s="19">
        <v>6534787768</v>
      </c>
      <c r="F77" s="19" t="s">
        <v>27</v>
      </c>
      <c r="G77" s="19">
        <v>16</v>
      </c>
      <c r="H77" s="19" t="s">
        <v>33</v>
      </c>
      <c r="I77" s="19" t="s">
        <v>22</v>
      </c>
      <c r="J77" s="19" t="s">
        <v>23</v>
      </c>
      <c r="K77" s="19" t="s">
        <v>28</v>
      </c>
      <c r="L77" s="19" t="s">
        <v>28</v>
      </c>
    </row>
    <row r="78" spans="1:12" ht="15.6">
      <c r="A78" s="19" t="s">
        <v>108</v>
      </c>
      <c r="B78" s="19">
        <v>10</v>
      </c>
      <c r="C78" s="19" t="s">
        <v>13</v>
      </c>
      <c r="D78" s="19">
        <v>136</v>
      </c>
      <c r="E78" s="19">
        <v>6579822435</v>
      </c>
      <c r="F78" s="19" t="s">
        <v>27</v>
      </c>
      <c r="G78" s="19">
        <v>16</v>
      </c>
      <c r="H78" s="19" t="s">
        <v>33</v>
      </c>
      <c r="I78" s="19" t="s">
        <v>22</v>
      </c>
      <c r="J78" s="19" t="s">
        <v>17</v>
      </c>
      <c r="K78" s="19" t="s">
        <v>24</v>
      </c>
      <c r="L78" s="19" t="s">
        <v>19</v>
      </c>
    </row>
    <row r="79" spans="1:12" ht="15.6">
      <c r="A79" s="19" t="s">
        <v>109</v>
      </c>
      <c r="B79" s="19">
        <v>10</v>
      </c>
      <c r="C79" s="19" t="s">
        <v>26</v>
      </c>
      <c r="D79" s="19">
        <v>159</v>
      </c>
      <c r="E79" s="19">
        <v>8413697693</v>
      </c>
      <c r="F79" s="19" t="s">
        <v>27</v>
      </c>
      <c r="G79" s="19">
        <v>16</v>
      </c>
      <c r="H79" s="19" t="s">
        <v>33</v>
      </c>
      <c r="I79" s="19" t="s">
        <v>22</v>
      </c>
      <c r="J79" s="19" t="s">
        <v>23</v>
      </c>
      <c r="K79" s="19" t="s">
        <v>28</v>
      </c>
      <c r="L79" s="19" t="s">
        <v>42</v>
      </c>
    </row>
    <row r="80" spans="1:12" ht="15.6">
      <c r="A80" s="19" t="s">
        <v>110</v>
      </c>
      <c r="B80" s="19">
        <v>6</v>
      </c>
      <c r="C80" s="19" t="s">
        <v>26</v>
      </c>
      <c r="D80" s="19">
        <v>117</v>
      </c>
      <c r="E80" s="19">
        <v>7764919782</v>
      </c>
      <c r="F80" s="19" t="s">
        <v>14</v>
      </c>
      <c r="G80" s="19">
        <v>12</v>
      </c>
      <c r="H80" s="19" t="s">
        <v>15</v>
      </c>
      <c r="I80" s="19" t="s">
        <v>16</v>
      </c>
      <c r="J80" s="19" t="s">
        <v>23</v>
      </c>
      <c r="K80" s="19" t="s">
        <v>24</v>
      </c>
      <c r="L80" s="19" t="s">
        <v>28</v>
      </c>
    </row>
    <row r="81" spans="1:12" ht="15.6">
      <c r="A81" s="19" t="s">
        <v>111</v>
      </c>
      <c r="B81" s="19">
        <v>9</v>
      </c>
      <c r="C81" s="19" t="s">
        <v>26</v>
      </c>
      <c r="D81" s="19">
        <v>72</v>
      </c>
      <c r="E81" s="19">
        <v>9612407611</v>
      </c>
      <c r="F81" s="19" t="s">
        <v>27</v>
      </c>
      <c r="G81" s="19">
        <v>15</v>
      </c>
      <c r="H81" s="19" t="s">
        <v>15</v>
      </c>
      <c r="I81" s="19" t="s">
        <v>16</v>
      </c>
      <c r="J81" s="19" t="s">
        <v>23</v>
      </c>
      <c r="K81" s="19" t="s">
        <v>18</v>
      </c>
      <c r="L81" s="19" t="s">
        <v>28</v>
      </c>
    </row>
    <row r="82" spans="1:12" ht="15.6">
      <c r="A82" s="19" t="s">
        <v>112</v>
      </c>
      <c r="B82" s="19">
        <v>7</v>
      </c>
      <c r="C82" s="19" t="s">
        <v>21</v>
      </c>
      <c r="D82" s="19">
        <v>125</v>
      </c>
      <c r="E82" s="19">
        <v>7629798635</v>
      </c>
      <c r="F82" s="19" t="s">
        <v>14</v>
      </c>
      <c r="G82" s="19">
        <v>13</v>
      </c>
      <c r="H82" s="19" t="s">
        <v>33</v>
      </c>
      <c r="I82" s="19" t="s">
        <v>22</v>
      </c>
      <c r="J82" s="19" t="s">
        <v>17</v>
      </c>
      <c r="K82" s="19" t="s">
        <v>30</v>
      </c>
      <c r="L82" s="19" t="s">
        <v>28</v>
      </c>
    </row>
    <row r="83" spans="1:12" ht="15.6">
      <c r="A83" s="19" t="s">
        <v>113</v>
      </c>
      <c r="B83" s="19">
        <v>7</v>
      </c>
      <c r="C83" s="19" t="s">
        <v>21</v>
      </c>
      <c r="D83" s="19">
        <v>165</v>
      </c>
      <c r="E83" s="19">
        <v>9101168500</v>
      </c>
      <c r="F83" s="19" t="s">
        <v>27</v>
      </c>
      <c r="G83" s="19">
        <v>13</v>
      </c>
      <c r="H83" s="19" t="s">
        <v>15</v>
      </c>
      <c r="I83" s="19" t="s">
        <v>16</v>
      </c>
      <c r="J83" s="19" t="s">
        <v>17</v>
      </c>
      <c r="K83" s="19" t="s">
        <v>28</v>
      </c>
      <c r="L83" s="19" t="s">
        <v>28</v>
      </c>
    </row>
    <row r="84" spans="1:12" ht="15.6">
      <c r="A84" s="19" t="s">
        <v>114</v>
      </c>
      <c r="B84" s="19">
        <v>10</v>
      </c>
      <c r="C84" s="19" t="s">
        <v>13</v>
      </c>
      <c r="D84" s="19">
        <v>169</v>
      </c>
      <c r="E84" s="19">
        <v>9328190969</v>
      </c>
      <c r="F84" s="19" t="s">
        <v>14</v>
      </c>
      <c r="G84" s="19">
        <v>16</v>
      </c>
      <c r="H84" s="19" t="s">
        <v>33</v>
      </c>
      <c r="I84" s="19" t="s">
        <v>22</v>
      </c>
      <c r="J84" s="19" t="s">
        <v>17</v>
      </c>
      <c r="K84" s="19" t="s">
        <v>24</v>
      </c>
      <c r="L84" s="19" t="s">
        <v>28</v>
      </c>
    </row>
    <row r="85" spans="1:12" ht="15.6">
      <c r="A85" s="19" t="s">
        <v>115</v>
      </c>
      <c r="B85" s="19">
        <v>7</v>
      </c>
      <c r="C85" s="19" t="s">
        <v>21</v>
      </c>
      <c r="D85" s="19">
        <v>34</v>
      </c>
      <c r="E85" s="19">
        <v>6994158784</v>
      </c>
      <c r="F85" s="19" t="s">
        <v>14</v>
      </c>
      <c r="G85" s="19">
        <v>12</v>
      </c>
      <c r="H85" s="19" t="s">
        <v>15</v>
      </c>
      <c r="I85" s="19" t="s">
        <v>22</v>
      </c>
      <c r="J85" s="19" t="s">
        <v>23</v>
      </c>
      <c r="K85" s="19" t="s">
        <v>28</v>
      </c>
      <c r="L85" s="19" t="s">
        <v>19</v>
      </c>
    </row>
    <row r="86" spans="1:12" ht="15.6">
      <c r="A86" s="19" t="s">
        <v>116</v>
      </c>
      <c r="B86" s="19">
        <v>10</v>
      </c>
      <c r="C86" s="19" t="s">
        <v>26</v>
      </c>
      <c r="D86" s="19">
        <v>135</v>
      </c>
      <c r="E86" s="19">
        <v>9404886292</v>
      </c>
      <c r="F86" s="19" t="s">
        <v>14</v>
      </c>
      <c r="G86" s="19">
        <v>15</v>
      </c>
      <c r="H86" s="19" t="s">
        <v>15</v>
      </c>
      <c r="I86" s="19" t="s">
        <v>16</v>
      </c>
      <c r="J86" s="19" t="s">
        <v>23</v>
      </c>
      <c r="K86" s="19" t="s">
        <v>30</v>
      </c>
      <c r="L86" s="19" t="s">
        <v>31</v>
      </c>
    </row>
    <row r="87" spans="1:12" ht="15.6">
      <c r="A87" s="19" t="s">
        <v>117</v>
      </c>
      <c r="B87" s="19">
        <v>10</v>
      </c>
      <c r="C87" s="19" t="s">
        <v>13</v>
      </c>
      <c r="D87" s="19">
        <v>126</v>
      </c>
      <c r="E87" s="19">
        <v>8650253014</v>
      </c>
      <c r="F87" s="19" t="s">
        <v>14</v>
      </c>
      <c r="G87" s="19">
        <v>15</v>
      </c>
      <c r="H87" s="19" t="s">
        <v>33</v>
      </c>
      <c r="I87" s="19" t="s">
        <v>16</v>
      </c>
      <c r="J87" s="19" t="s">
        <v>17</v>
      </c>
      <c r="K87" s="19" t="s">
        <v>18</v>
      </c>
      <c r="L87" s="19" t="s">
        <v>19</v>
      </c>
    </row>
    <row r="88" spans="1:12" ht="15.6">
      <c r="A88" s="19" t="s">
        <v>118</v>
      </c>
      <c r="B88" s="19">
        <v>10</v>
      </c>
      <c r="C88" s="19" t="s">
        <v>21</v>
      </c>
      <c r="D88" s="19">
        <v>101</v>
      </c>
      <c r="E88" s="19">
        <v>7973398390</v>
      </c>
      <c r="F88" s="19" t="s">
        <v>27</v>
      </c>
      <c r="G88" s="19">
        <v>16</v>
      </c>
      <c r="H88" s="19" t="s">
        <v>15</v>
      </c>
      <c r="I88" s="19" t="s">
        <v>16</v>
      </c>
      <c r="J88" s="19" t="s">
        <v>23</v>
      </c>
      <c r="K88" s="19" t="s">
        <v>24</v>
      </c>
      <c r="L88" s="19" t="s">
        <v>42</v>
      </c>
    </row>
    <row r="89" spans="1:12" ht="15.6">
      <c r="A89" s="19" t="s">
        <v>119</v>
      </c>
      <c r="B89" s="19">
        <v>10</v>
      </c>
      <c r="C89" s="19" t="s">
        <v>26</v>
      </c>
      <c r="D89" s="19">
        <v>93</v>
      </c>
      <c r="E89" s="19">
        <v>7261183426</v>
      </c>
      <c r="F89" s="19" t="s">
        <v>14</v>
      </c>
      <c r="G89" s="19">
        <v>15</v>
      </c>
      <c r="H89" s="19" t="s">
        <v>15</v>
      </c>
      <c r="I89" s="19" t="s">
        <v>16</v>
      </c>
      <c r="J89" s="19" t="s">
        <v>17</v>
      </c>
      <c r="K89" s="19" t="s">
        <v>24</v>
      </c>
      <c r="L89" s="19" t="s">
        <v>28</v>
      </c>
    </row>
    <row r="90" spans="1:12" ht="15.6">
      <c r="A90" s="19" t="s">
        <v>120</v>
      </c>
      <c r="B90" s="19">
        <v>8</v>
      </c>
      <c r="C90" s="19" t="s">
        <v>26</v>
      </c>
      <c r="D90" s="19">
        <v>157</v>
      </c>
      <c r="E90" s="19">
        <v>6250799294</v>
      </c>
      <c r="F90" s="19" t="s">
        <v>27</v>
      </c>
      <c r="G90" s="19">
        <v>14</v>
      </c>
      <c r="H90" s="19" t="s">
        <v>33</v>
      </c>
      <c r="I90" s="19" t="s">
        <v>16</v>
      </c>
      <c r="J90" s="19" t="s">
        <v>17</v>
      </c>
      <c r="K90" s="19" t="s">
        <v>18</v>
      </c>
      <c r="L90" s="19" t="s">
        <v>19</v>
      </c>
    </row>
    <row r="91" spans="1:12" ht="15.6">
      <c r="A91" s="19" t="s">
        <v>121</v>
      </c>
      <c r="B91" s="19">
        <v>10</v>
      </c>
      <c r="C91" s="19" t="s">
        <v>21</v>
      </c>
      <c r="D91" s="19">
        <v>29</v>
      </c>
      <c r="E91" s="19">
        <v>6308666381</v>
      </c>
      <c r="F91" s="19" t="s">
        <v>14</v>
      </c>
      <c r="G91" s="19">
        <v>15</v>
      </c>
      <c r="H91" s="19" t="s">
        <v>33</v>
      </c>
      <c r="I91" s="19" t="s">
        <v>22</v>
      </c>
      <c r="J91" s="19" t="s">
        <v>17</v>
      </c>
      <c r="K91" s="19" t="s">
        <v>28</v>
      </c>
      <c r="L91" s="19" t="s">
        <v>28</v>
      </c>
    </row>
    <row r="92" spans="1:12" ht="15.6">
      <c r="A92" s="19" t="s">
        <v>122</v>
      </c>
      <c r="B92" s="19">
        <v>9</v>
      </c>
      <c r="C92" s="19" t="s">
        <v>37</v>
      </c>
      <c r="D92" s="19">
        <v>130</v>
      </c>
      <c r="E92" s="19">
        <v>9838812885</v>
      </c>
      <c r="F92" s="19" t="s">
        <v>14</v>
      </c>
      <c r="G92" s="19">
        <v>15</v>
      </c>
      <c r="H92" s="19" t="s">
        <v>15</v>
      </c>
      <c r="I92" s="19" t="s">
        <v>16</v>
      </c>
      <c r="J92" s="19" t="s">
        <v>17</v>
      </c>
      <c r="K92" s="19" t="s">
        <v>30</v>
      </c>
      <c r="L92" s="19" t="s">
        <v>31</v>
      </c>
    </row>
    <row r="93" spans="1:12" ht="15.6">
      <c r="A93" s="19" t="s">
        <v>123</v>
      </c>
      <c r="B93" s="19">
        <v>7</v>
      </c>
      <c r="C93" s="19" t="s">
        <v>13</v>
      </c>
      <c r="D93" s="19">
        <v>164</v>
      </c>
      <c r="E93" s="19">
        <v>9366761686</v>
      </c>
      <c r="F93" s="19" t="s">
        <v>14</v>
      </c>
      <c r="G93" s="19">
        <v>13</v>
      </c>
      <c r="H93" s="19" t="s">
        <v>15</v>
      </c>
      <c r="I93" s="19" t="s">
        <v>22</v>
      </c>
      <c r="J93" s="19" t="s">
        <v>23</v>
      </c>
      <c r="K93" s="19" t="s">
        <v>28</v>
      </c>
      <c r="L93" s="19" t="s">
        <v>31</v>
      </c>
    </row>
    <row r="94" spans="1:12" ht="15.6">
      <c r="A94" s="19" t="s">
        <v>124</v>
      </c>
      <c r="B94" s="19">
        <v>9</v>
      </c>
      <c r="C94" s="19" t="s">
        <v>37</v>
      </c>
      <c r="D94" s="19">
        <v>177</v>
      </c>
      <c r="E94" s="19">
        <v>7953107794</v>
      </c>
      <c r="F94" s="19" t="s">
        <v>27</v>
      </c>
      <c r="G94" s="19">
        <v>14</v>
      </c>
      <c r="H94" s="19" t="s">
        <v>33</v>
      </c>
      <c r="I94" s="19" t="s">
        <v>16</v>
      </c>
      <c r="J94" s="19" t="s">
        <v>17</v>
      </c>
      <c r="K94" s="19" t="s">
        <v>28</v>
      </c>
      <c r="L94" s="19" t="s">
        <v>31</v>
      </c>
    </row>
    <row r="95" spans="1:12" ht="15.6">
      <c r="A95" s="19" t="s">
        <v>125</v>
      </c>
      <c r="B95" s="19">
        <v>8</v>
      </c>
      <c r="C95" s="19" t="s">
        <v>13</v>
      </c>
      <c r="D95" s="19">
        <v>8</v>
      </c>
      <c r="E95" s="19">
        <v>8274054508</v>
      </c>
      <c r="F95" s="19" t="s">
        <v>14</v>
      </c>
      <c r="G95" s="19">
        <v>14</v>
      </c>
      <c r="H95" s="19" t="s">
        <v>15</v>
      </c>
      <c r="I95" s="19" t="s">
        <v>22</v>
      </c>
      <c r="J95" s="19" t="s">
        <v>17</v>
      </c>
      <c r="K95" s="19" t="s">
        <v>30</v>
      </c>
      <c r="L95" s="19" t="s">
        <v>42</v>
      </c>
    </row>
    <row r="96" spans="1:12" ht="15.6">
      <c r="A96" s="19" t="s">
        <v>126</v>
      </c>
      <c r="B96" s="19">
        <v>8</v>
      </c>
      <c r="C96" s="19" t="s">
        <v>37</v>
      </c>
      <c r="D96" s="19">
        <v>87</v>
      </c>
      <c r="E96" s="19">
        <v>9381204573</v>
      </c>
      <c r="F96" s="19" t="s">
        <v>14</v>
      </c>
      <c r="G96" s="19">
        <v>13</v>
      </c>
      <c r="H96" s="19" t="s">
        <v>15</v>
      </c>
      <c r="I96" s="19" t="s">
        <v>16</v>
      </c>
      <c r="J96" s="19" t="s">
        <v>23</v>
      </c>
      <c r="K96" s="19" t="s">
        <v>30</v>
      </c>
      <c r="L96" s="19" t="s">
        <v>42</v>
      </c>
    </row>
    <row r="97" spans="1:12" ht="15.6">
      <c r="A97" s="19" t="s">
        <v>127</v>
      </c>
      <c r="B97" s="19">
        <v>10</v>
      </c>
      <c r="C97" s="19" t="s">
        <v>13</v>
      </c>
      <c r="D97" s="19">
        <v>13</v>
      </c>
      <c r="E97" s="19">
        <v>8509696114</v>
      </c>
      <c r="F97" s="19" t="s">
        <v>14</v>
      </c>
      <c r="G97" s="19">
        <v>16</v>
      </c>
      <c r="H97" s="19" t="s">
        <v>33</v>
      </c>
      <c r="I97" s="19" t="s">
        <v>16</v>
      </c>
      <c r="J97" s="19" t="s">
        <v>23</v>
      </c>
      <c r="K97" s="19" t="s">
        <v>30</v>
      </c>
      <c r="L97" s="19" t="s">
        <v>28</v>
      </c>
    </row>
    <row r="98" spans="1:12" ht="15.6">
      <c r="A98" s="19" t="s">
        <v>128</v>
      </c>
      <c r="B98" s="19">
        <v>6</v>
      </c>
      <c r="C98" s="19" t="s">
        <v>37</v>
      </c>
      <c r="D98" s="19">
        <v>8</v>
      </c>
      <c r="E98" s="19">
        <v>7582672016</v>
      </c>
      <c r="F98" s="19" t="s">
        <v>14</v>
      </c>
      <c r="G98" s="19">
        <v>12</v>
      </c>
      <c r="H98" s="19" t="s">
        <v>15</v>
      </c>
      <c r="I98" s="19" t="s">
        <v>22</v>
      </c>
      <c r="J98" s="19" t="s">
        <v>23</v>
      </c>
      <c r="K98" s="19" t="s">
        <v>18</v>
      </c>
      <c r="L98" s="19" t="s">
        <v>42</v>
      </c>
    </row>
    <row r="99" spans="1:12" ht="15.6">
      <c r="A99" s="19" t="s">
        <v>129</v>
      </c>
      <c r="B99" s="19">
        <v>6</v>
      </c>
      <c r="C99" s="19" t="s">
        <v>26</v>
      </c>
      <c r="D99" s="19">
        <v>171</v>
      </c>
      <c r="E99" s="19">
        <v>7229937676</v>
      </c>
      <c r="F99" s="19" t="s">
        <v>14</v>
      </c>
      <c r="G99" s="19">
        <v>11</v>
      </c>
      <c r="H99" s="19" t="s">
        <v>15</v>
      </c>
      <c r="I99" s="19" t="s">
        <v>22</v>
      </c>
      <c r="J99" s="19" t="s">
        <v>23</v>
      </c>
      <c r="K99" s="19" t="s">
        <v>49</v>
      </c>
      <c r="L99" s="19" t="s">
        <v>42</v>
      </c>
    </row>
    <row r="100" spans="1:12" ht="15.6">
      <c r="A100" s="19" t="s">
        <v>130</v>
      </c>
      <c r="B100" s="19">
        <v>10</v>
      </c>
      <c r="C100" s="19" t="s">
        <v>26</v>
      </c>
      <c r="D100" s="19">
        <v>173</v>
      </c>
      <c r="E100" s="19">
        <v>6048541704</v>
      </c>
      <c r="F100" s="19" t="s">
        <v>14</v>
      </c>
      <c r="G100" s="19">
        <v>16</v>
      </c>
      <c r="H100" s="19" t="s">
        <v>15</v>
      </c>
      <c r="I100" s="19" t="s">
        <v>16</v>
      </c>
      <c r="J100" s="19" t="s">
        <v>23</v>
      </c>
      <c r="K100" s="19" t="s">
        <v>18</v>
      </c>
      <c r="L100" s="19" t="s">
        <v>31</v>
      </c>
    </row>
    <row r="101" spans="1:12" ht="15.6">
      <c r="A101" s="19" t="s">
        <v>131</v>
      </c>
      <c r="B101" s="19">
        <v>10</v>
      </c>
      <c r="C101" s="19" t="s">
        <v>37</v>
      </c>
      <c r="D101" s="19">
        <v>139</v>
      </c>
      <c r="E101" s="19">
        <v>7245937462</v>
      </c>
      <c r="F101" s="19" t="s">
        <v>27</v>
      </c>
      <c r="G101" s="19">
        <v>16</v>
      </c>
      <c r="H101" s="19" t="s">
        <v>15</v>
      </c>
      <c r="I101" s="19" t="s">
        <v>22</v>
      </c>
      <c r="J101" s="19" t="s">
        <v>17</v>
      </c>
      <c r="K101" s="19" t="s">
        <v>28</v>
      </c>
      <c r="L101" s="19" t="s">
        <v>42</v>
      </c>
    </row>
    <row r="102" spans="1:12" ht="15.6">
      <c r="A102" s="19" t="s">
        <v>132</v>
      </c>
      <c r="B102" s="19">
        <v>10</v>
      </c>
      <c r="C102" s="19" t="s">
        <v>26</v>
      </c>
      <c r="D102" s="19">
        <v>170</v>
      </c>
      <c r="E102" s="19">
        <v>7331312674</v>
      </c>
      <c r="F102" s="19" t="s">
        <v>27</v>
      </c>
      <c r="G102" s="19">
        <v>15</v>
      </c>
      <c r="H102" s="19" t="s">
        <v>33</v>
      </c>
      <c r="I102" s="19" t="s">
        <v>22</v>
      </c>
      <c r="J102" s="19" t="s">
        <v>17</v>
      </c>
      <c r="K102" s="19" t="s">
        <v>18</v>
      </c>
      <c r="L102" s="19" t="s">
        <v>28</v>
      </c>
    </row>
    <row r="103" spans="1:12" ht="15.6">
      <c r="A103" s="19" t="s">
        <v>133</v>
      </c>
      <c r="B103" s="19">
        <v>7</v>
      </c>
      <c r="C103" s="19" t="s">
        <v>37</v>
      </c>
      <c r="D103" s="19">
        <v>70</v>
      </c>
      <c r="E103" s="19">
        <v>6012414338</v>
      </c>
      <c r="F103" s="19" t="s">
        <v>27</v>
      </c>
      <c r="G103" s="19">
        <v>13</v>
      </c>
      <c r="H103" s="19" t="s">
        <v>33</v>
      </c>
      <c r="I103" s="19" t="s">
        <v>22</v>
      </c>
      <c r="J103" s="19" t="s">
        <v>17</v>
      </c>
      <c r="K103" s="19" t="s">
        <v>30</v>
      </c>
      <c r="L103" s="19" t="s">
        <v>42</v>
      </c>
    </row>
    <row r="104" spans="1:12" ht="15.6">
      <c r="A104" s="19" t="s">
        <v>134</v>
      </c>
      <c r="B104" s="19">
        <v>9</v>
      </c>
      <c r="C104" s="19" t="s">
        <v>13</v>
      </c>
      <c r="D104" s="19">
        <v>62</v>
      </c>
      <c r="E104" s="19">
        <v>6887130241</v>
      </c>
      <c r="F104" s="19" t="s">
        <v>27</v>
      </c>
      <c r="G104" s="19">
        <v>14</v>
      </c>
      <c r="H104" s="19" t="s">
        <v>33</v>
      </c>
      <c r="I104" s="19" t="s">
        <v>16</v>
      </c>
      <c r="J104" s="19" t="s">
        <v>23</v>
      </c>
      <c r="K104" s="19" t="s">
        <v>18</v>
      </c>
      <c r="L104" s="19" t="s">
        <v>28</v>
      </c>
    </row>
    <row r="105" spans="1:12" ht="15.6">
      <c r="A105" s="19" t="s">
        <v>135</v>
      </c>
      <c r="B105" s="19">
        <v>9</v>
      </c>
      <c r="C105" s="19" t="s">
        <v>37</v>
      </c>
      <c r="D105" s="19">
        <v>51</v>
      </c>
      <c r="E105" s="19">
        <v>8097102473</v>
      </c>
      <c r="F105" s="19" t="s">
        <v>27</v>
      </c>
      <c r="G105" s="19">
        <v>15</v>
      </c>
      <c r="H105" s="19" t="s">
        <v>33</v>
      </c>
      <c r="I105" s="19" t="s">
        <v>22</v>
      </c>
      <c r="J105" s="19" t="s">
        <v>23</v>
      </c>
      <c r="K105" s="19" t="s">
        <v>24</v>
      </c>
      <c r="L105" s="19" t="s">
        <v>31</v>
      </c>
    </row>
    <row r="106" spans="1:12" ht="15.6">
      <c r="A106" s="19" t="s">
        <v>136</v>
      </c>
      <c r="B106" s="19">
        <v>8</v>
      </c>
      <c r="C106" s="19" t="s">
        <v>21</v>
      </c>
      <c r="D106" s="19">
        <v>13</v>
      </c>
      <c r="E106" s="19">
        <v>9810013788</v>
      </c>
      <c r="F106" s="19" t="s">
        <v>27</v>
      </c>
      <c r="G106" s="19">
        <v>13</v>
      </c>
      <c r="H106" s="19" t="s">
        <v>33</v>
      </c>
      <c r="I106" s="19" t="s">
        <v>22</v>
      </c>
      <c r="J106" s="19" t="s">
        <v>23</v>
      </c>
      <c r="K106" s="19" t="s">
        <v>30</v>
      </c>
      <c r="L106" s="19" t="s">
        <v>31</v>
      </c>
    </row>
    <row r="107" spans="1:12" ht="15.6">
      <c r="A107" s="19" t="s">
        <v>137</v>
      </c>
      <c r="B107" s="19">
        <v>6</v>
      </c>
      <c r="C107" s="19" t="s">
        <v>21</v>
      </c>
      <c r="D107" s="19">
        <v>4</v>
      </c>
      <c r="E107" s="19">
        <v>6208919826</v>
      </c>
      <c r="F107" s="19" t="s">
        <v>14</v>
      </c>
      <c r="G107" s="19">
        <v>12</v>
      </c>
      <c r="H107" s="19" t="s">
        <v>33</v>
      </c>
      <c r="I107" s="19" t="s">
        <v>22</v>
      </c>
      <c r="J107" s="19" t="s">
        <v>23</v>
      </c>
      <c r="K107" s="19" t="s">
        <v>28</v>
      </c>
      <c r="L107" s="19" t="s">
        <v>28</v>
      </c>
    </row>
    <row r="108" spans="1:12" ht="15.6">
      <c r="A108" s="19" t="s">
        <v>138</v>
      </c>
      <c r="B108" s="19">
        <v>7</v>
      </c>
      <c r="C108" s="19" t="s">
        <v>13</v>
      </c>
      <c r="D108" s="19">
        <v>172</v>
      </c>
      <c r="E108" s="19">
        <v>7232203642</v>
      </c>
      <c r="F108" s="19" t="s">
        <v>14</v>
      </c>
      <c r="G108" s="19">
        <v>12</v>
      </c>
      <c r="H108" s="19" t="s">
        <v>15</v>
      </c>
      <c r="I108" s="19" t="s">
        <v>22</v>
      </c>
      <c r="J108" s="19" t="s">
        <v>17</v>
      </c>
      <c r="K108" s="19" t="s">
        <v>18</v>
      </c>
      <c r="L108" s="19" t="s">
        <v>31</v>
      </c>
    </row>
    <row r="109" spans="1:12" ht="15.6">
      <c r="A109" s="19" t="s">
        <v>139</v>
      </c>
      <c r="B109" s="19">
        <v>7</v>
      </c>
      <c r="C109" s="19" t="s">
        <v>37</v>
      </c>
      <c r="D109" s="19">
        <v>38</v>
      </c>
      <c r="E109" s="19">
        <v>6302217937</v>
      </c>
      <c r="F109" s="19" t="s">
        <v>27</v>
      </c>
      <c r="G109" s="19">
        <v>12</v>
      </c>
      <c r="H109" s="19" t="s">
        <v>15</v>
      </c>
      <c r="I109" s="19" t="s">
        <v>16</v>
      </c>
      <c r="J109" s="19" t="s">
        <v>17</v>
      </c>
      <c r="K109" s="19" t="s">
        <v>28</v>
      </c>
      <c r="L109" s="19" t="s">
        <v>28</v>
      </c>
    </row>
    <row r="110" spans="1:12" ht="15.6">
      <c r="A110" s="19" t="s">
        <v>140</v>
      </c>
      <c r="B110" s="19">
        <v>7</v>
      </c>
      <c r="C110" s="19" t="s">
        <v>26</v>
      </c>
      <c r="D110" s="19">
        <v>84</v>
      </c>
      <c r="E110" s="19">
        <v>8470814178</v>
      </c>
      <c r="F110" s="19" t="s">
        <v>14</v>
      </c>
      <c r="G110" s="19">
        <v>12</v>
      </c>
      <c r="H110" s="19" t="s">
        <v>15</v>
      </c>
      <c r="I110" s="19" t="s">
        <v>16</v>
      </c>
      <c r="J110" s="19" t="s">
        <v>23</v>
      </c>
      <c r="K110" s="19" t="s">
        <v>28</v>
      </c>
      <c r="L110" s="19" t="s">
        <v>28</v>
      </c>
    </row>
    <row r="111" spans="1:12" ht="15.6">
      <c r="A111" s="19" t="s">
        <v>141</v>
      </c>
      <c r="B111" s="19">
        <v>6</v>
      </c>
      <c r="C111" s="19" t="s">
        <v>37</v>
      </c>
      <c r="D111" s="19">
        <v>123</v>
      </c>
      <c r="E111" s="19">
        <v>8010747305</v>
      </c>
      <c r="F111" s="19" t="s">
        <v>14</v>
      </c>
      <c r="G111" s="19">
        <v>11</v>
      </c>
      <c r="H111" s="19" t="s">
        <v>33</v>
      </c>
      <c r="I111" s="19" t="s">
        <v>16</v>
      </c>
      <c r="J111" s="19" t="s">
        <v>17</v>
      </c>
      <c r="K111" s="19" t="s">
        <v>28</v>
      </c>
      <c r="L111" s="19" t="s">
        <v>42</v>
      </c>
    </row>
    <row r="112" spans="1:12" ht="15.6">
      <c r="A112" s="19" t="s">
        <v>142</v>
      </c>
      <c r="B112" s="19">
        <v>9</v>
      </c>
      <c r="C112" s="19" t="s">
        <v>26</v>
      </c>
      <c r="D112" s="19">
        <v>162</v>
      </c>
      <c r="E112" s="19">
        <v>9967306157</v>
      </c>
      <c r="F112" s="19" t="s">
        <v>14</v>
      </c>
      <c r="G112" s="19">
        <v>15</v>
      </c>
      <c r="H112" s="19" t="s">
        <v>33</v>
      </c>
      <c r="I112" s="19" t="s">
        <v>22</v>
      </c>
      <c r="J112" s="19" t="s">
        <v>23</v>
      </c>
      <c r="K112" s="19" t="s">
        <v>28</v>
      </c>
      <c r="L112" s="19" t="s">
        <v>19</v>
      </c>
    </row>
    <row r="113" spans="1:12" ht="15.6">
      <c r="A113" s="19" t="s">
        <v>143</v>
      </c>
      <c r="B113" s="19">
        <v>9</v>
      </c>
      <c r="C113" s="19" t="s">
        <v>13</v>
      </c>
      <c r="D113" s="19">
        <v>32</v>
      </c>
      <c r="E113" s="19">
        <v>9765374378</v>
      </c>
      <c r="F113" s="19" t="s">
        <v>14</v>
      </c>
      <c r="G113" s="19">
        <v>15</v>
      </c>
      <c r="H113" s="19" t="s">
        <v>33</v>
      </c>
      <c r="I113" s="19" t="s">
        <v>22</v>
      </c>
      <c r="J113" s="19" t="s">
        <v>17</v>
      </c>
      <c r="K113" s="19" t="s">
        <v>28</v>
      </c>
      <c r="L113" s="19" t="s">
        <v>19</v>
      </c>
    </row>
    <row r="114" spans="1:12" ht="15.6">
      <c r="A114" s="19" t="s">
        <v>144</v>
      </c>
      <c r="B114" s="19">
        <v>10</v>
      </c>
      <c r="C114" s="19" t="s">
        <v>37</v>
      </c>
      <c r="D114" s="19">
        <v>166</v>
      </c>
      <c r="E114" s="19">
        <v>9266631981</v>
      </c>
      <c r="F114" s="19" t="s">
        <v>14</v>
      </c>
      <c r="G114" s="19">
        <v>16</v>
      </c>
      <c r="H114" s="19" t="s">
        <v>33</v>
      </c>
      <c r="I114" s="19" t="s">
        <v>22</v>
      </c>
      <c r="J114" s="19" t="s">
        <v>23</v>
      </c>
      <c r="K114" s="19" t="s">
        <v>24</v>
      </c>
      <c r="L114" s="19" t="s">
        <v>28</v>
      </c>
    </row>
    <row r="115" spans="1:12" ht="15.6">
      <c r="A115" s="19" t="s">
        <v>145</v>
      </c>
      <c r="B115" s="19">
        <v>6</v>
      </c>
      <c r="C115" s="19" t="s">
        <v>13</v>
      </c>
      <c r="D115" s="19">
        <v>64</v>
      </c>
      <c r="E115" s="19">
        <v>8761634838</v>
      </c>
      <c r="F115" s="19" t="s">
        <v>14</v>
      </c>
      <c r="G115" s="19">
        <v>11</v>
      </c>
      <c r="H115" s="19" t="s">
        <v>33</v>
      </c>
      <c r="I115" s="19" t="s">
        <v>22</v>
      </c>
      <c r="J115" s="19" t="s">
        <v>17</v>
      </c>
      <c r="K115" s="19" t="s">
        <v>18</v>
      </c>
      <c r="L115" s="19" t="s">
        <v>31</v>
      </c>
    </row>
    <row r="116" spans="1:12" ht="15.6">
      <c r="A116" s="19" t="s">
        <v>146</v>
      </c>
      <c r="B116" s="19">
        <v>7</v>
      </c>
      <c r="C116" s="19" t="s">
        <v>26</v>
      </c>
      <c r="D116" s="19">
        <v>24</v>
      </c>
      <c r="E116" s="19">
        <v>8185889058</v>
      </c>
      <c r="F116" s="19" t="s">
        <v>14</v>
      </c>
      <c r="G116" s="19">
        <v>12</v>
      </c>
      <c r="H116" s="19" t="s">
        <v>15</v>
      </c>
      <c r="I116" s="19" t="s">
        <v>22</v>
      </c>
      <c r="J116" s="19" t="s">
        <v>23</v>
      </c>
      <c r="K116" s="19" t="s">
        <v>30</v>
      </c>
      <c r="L116" s="19" t="s">
        <v>19</v>
      </c>
    </row>
    <row r="117" spans="1:12" ht="15.6">
      <c r="A117" s="19" t="s">
        <v>147</v>
      </c>
      <c r="B117" s="19">
        <v>6</v>
      </c>
      <c r="C117" s="19" t="s">
        <v>37</v>
      </c>
      <c r="D117" s="19">
        <v>19</v>
      </c>
      <c r="E117" s="19">
        <v>8110501007</v>
      </c>
      <c r="F117" s="19" t="s">
        <v>27</v>
      </c>
      <c r="G117" s="19">
        <v>12</v>
      </c>
      <c r="H117" s="19" t="s">
        <v>15</v>
      </c>
      <c r="I117" s="19" t="s">
        <v>16</v>
      </c>
      <c r="J117" s="19" t="s">
        <v>23</v>
      </c>
      <c r="K117" s="19" t="s">
        <v>30</v>
      </c>
      <c r="L117" s="19" t="s">
        <v>19</v>
      </c>
    </row>
    <row r="118" spans="1:12" ht="15.6">
      <c r="A118" s="19" t="s">
        <v>148</v>
      </c>
      <c r="B118" s="19">
        <v>10</v>
      </c>
      <c r="C118" s="19" t="s">
        <v>37</v>
      </c>
      <c r="D118" s="19">
        <v>67</v>
      </c>
      <c r="E118" s="19">
        <v>8482117850</v>
      </c>
      <c r="F118" s="19" t="s">
        <v>14</v>
      </c>
      <c r="G118" s="19">
        <v>16</v>
      </c>
      <c r="H118" s="19" t="s">
        <v>15</v>
      </c>
      <c r="I118" s="19" t="s">
        <v>22</v>
      </c>
      <c r="J118" s="19" t="s">
        <v>23</v>
      </c>
      <c r="K118" s="19" t="s">
        <v>49</v>
      </c>
      <c r="L118" s="19" t="s">
        <v>31</v>
      </c>
    </row>
    <row r="119" spans="1:12" ht="15.6">
      <c r="A119" s="19" t="s">
        <v>149</v>
      </c>
      <c r="B119" s="19">
        <v>6</v>
      </c>
      <c r="C119" s="19" t="s">
        <v>13</v>
      </c>
      <c r="D119" s="19">
        <v>14</v>
      </c>
      <c r="E119" s="19">
        <v>9537567486</v>
      </c>
      <c r="F119" s="19" t="s">
        <v>27</v>
      </c>
      <c r="G119" s="19">
        <v>11</v>
      </c>
      <c r="H119" s="19" t="s">
        <v>33</v>
      </c>
      <c r="I119" s="19" t="s">
        <v>16</v>
      </c>
      <c r="J119" s="19" t="s">
        <v>17</v>
      </c>
      <c r="K119" s="19" t="s">
        <v>28</v>
      </c>
      <c r="L119" s="19" t="s">
        <v>42</v>
      </c>
    </row>
    <row r="120" spans="1:12" ht="15.6">
      <c r="A120" s="19" t="s">
        <v>150</v>
      </c>
      <c r="B120" s="19">
        <v>7</v>
      </c>
      <c r="C120" s="19" t="s">
        <v>26</v>
      </c>
      <c r="D120" s="19">
        <v>60</v>
      </c>
      <c r="E120" s="19">
        <v>9336854927</v>
      </c>
      <c r="F120" s="19" t="s">
        <v>27</v>
      </c>
      <c r="G120" s="19">
        <v>13</v>
      </c>
      <c r="H120" s="19" t="s">
        <v>15</v>
      </c>
      <c r="I120" s="19" t="s">
        <v>16</v>
      </c>
      <c r="J120" s="19" t="s">
        <v>17</v>
      </c>
      <c r="K120" s="19" t="s">
        <v>30</v>
      </c>
      <c r="L120" s="19" t="s">
        <v>28</v>
      </c>
    </row>
    <row r="121" spans="1:12" ht="15.6">
      <c r="A121" s="19" t="s">
        <v>151</v>
      </c>
      <c r="B121" s="19">
        <v>9</v>
      </c>
      <c r="C121" s="19" t="s">
        <v>13</v>
      </c>
      <c r="D121" s="19">
        <v>101</v>
      </c>
      <c r="E121" s="19">
        <v>7979243444</v>
      </c>
      <c r="F121" s="19" t="s">
        <v>27</v>
      </c>
      <c r="G121" s="19">
        <v>15</v>
      </c>
      <c r="H121" s="19" t="s">
        <v>33</v>
      </c>
      <c r="I121" s="19" t="s">
        <v>22</v>
      </c>
      <c r="J121" s="19" t="s">
        <v>17</v>
      </c>
      <c r="K121" s="19" t="s">
        <v>28</v>
      </c>
      <c r="L121" s="19" t="s">
        <v>42</v>
      </c>
    </row>
    <row r="122" spans="1:12" ht="15.6">
      <c r="A122" s="19" t="s">
        <v>152</v>
      </c>
      <c r="B122" s="19">
        <v>7</v>
      </c>
      <c r="C122" s="19" t="s">
        <v>13</v>
      </c>
      <c r="D122" s="19">
        <v>12</v>
      </c>
      <c r="E122" s="19">
        <v>8565533039</v>
      </c>
      <c r="F122" s="19" t="s">
        <v>14</v>
      </c>
      <c r="G122" s="19">
        <v>12</v>
      </c>
      <c r="H122" s="19" t="s">
        <v>33</v>
      </c>
      <c r="I122" s="19" t="s">
        <v>16</v>
      </c>
      <c r="J122" s="19" t="s">
        <v>23</v>
      </c>
      <c r="K122" s="19" t="s">
        <v>28</v>
      </c>
      <c r="L122" s="19" t="s">
        <v>28</v>
      </c>
    </row>
    <row r="123" spans="1:12" ht="15.6">
      <c r="A123" s="19" t="s">
        <v>153</v>
      </c>
      <c r="B123" s="19">
        <v>10</v>
      </c>
      <c r="C123" s="19" t="s">
        <v>21</v>
      </c>
      <c r="D123" s="19">
        <v>74</v>
      </c>
      <c r="E123" s="19">
        <v>7182234815</v>
      </c>
      <c r="F123" s="19" t="s">
        <v>27</v>
      </c>
      <c r="G123" s="19">
        <v>15</v>
      </c>
      <c r="H123" s="19" t="s">
        <v>33</v>
      </c>
      <c r="I123" s="19" t="s">
        <v>22</v>
      </c>
      <c r="J123" s="19" t="s">
        <v>23</v>
      </c>
      <c r="K123" s="19" t="s">
        <v>18</v>
      </c>
      <c r="L123" s="19" t="s">
        <v>31</v>
      </c>
    </row>
    <row r="124" spans="1:12" ht="15.6">
      <c r="A124" s="19" t="s">
        <v>154</v>
      </c>
      <c r="B124" s="19">
        <v>8</v>
      </c>
      <c r="C124" s="19" t="s">
        <v>26</v>
      </c>
      <c r="D124" s="19">
        <v>124</v>
      </c>
      <c r="E124" s="19">
        <v>7766741885</v>
      </c>
      <c r="F124" s="19" t="s">
        <v>14</v>
      </c>
      <c r="G124" s="19">
        <v>14</v>
      </c>
      <c r="H124" s="19" t="s">
        <v>15</v>
      </c>
      <c r="I124" s="19" t="s">
        <v>22</v>
      </c>
      <c r="J124" s="19" t="s">
        <v>17</v>
      </c>
      <c r="K124" s="19" t="s">
        <v>49</v>
      </c>
      <c r="L124" s="19" t="s">
        <v>28</v>
      </c>
    </row>
    <row r="125" spans="1:12" ht="15.6">
      <c r="A125" s="19" t="s">
        <v>155</v>
      </c>
      <c r="B125" s="19">
        <v>6</v>
      </c>
      <c r="C125" s="19" t="s">
        <v>26</v>
      </c>
      <c r="D125" s="19">
        <v>68</v>
      </c>
      <c r="E125" s="19">
        <v>9469338154</v>
      </c>
      <c r="F125" s="19" t="s">
        <v>14</v>
      </c>
      <c r="G125" s="19">
        <v>11</v>
      </c>
      <c r="H125" s="19" t="s">
        <v>15</v>
      </c>
      <c r="I125" s="19" t="s">
        <v>16</v>
      </c>
      <c r="J125" s="19" t="s">
        <v>17</v>
      </c>
      <c r="K125" s="19" t="s">
        <v>28</v>
      </c>
      <c r="L125" s="19" t="s">
        <v>28</v>
      </c>
    </row>
    <row r="126" spans="1:12" ht="15.6">
      <c r="A126" s="19" t="s">
        <v>156</v>
      </c>
      <c r="B126" s="19">
        <v>9</v>
      </c>
      <c r="C126" s="19" t="s">
        <v>13</v>
      </c>
      <c r="D126" s="19">
        <v>109</v>
      </c>
      <c r="E126" s="19">
        <v>9074829846</v>
      </c>
      <c r="F126" s="19" t="s">
        <v>27</v>
      </c>
      <c r="G126" s="19">
        <v>15</v>
      </c>
      <c r="H126" s="19" t="s">
        <v>15</v>
      </c>
      <c r="I126" s="19" t="s">
        <v>22</v>
      </c>
      <c r="J126" s="19" t="s">
        <v>23</v>
      </c>
      <c r="K126" s="19" t="s">
        <v>49</v>
      </c>
      <c r="L126" s="19" t="s">
        <v>31</v>
      </c>
    </row>
    <row r="127" spans="1:12" ht="15.6">
      <c r="A127" s="19" t="s">
        <v>157</v>
      </c>
      <c r="B127" s="19">
        <v>7</v>
      </c>
      <c r="C127" s="19" t="s">
        <v>37</v>
      </c>
      <c r="D127" s="19">
        <v>63</v>
      </c>
      <c r="E127" s="19">
        <v>9709137577</v>
      </c>
      <c r="F127" s="19" t="s">
        <v>27</v>
      </c>
      <c r="G127" s="19">
        <v>12</v>
      </c>
      <c r="H127" s="19" t="s">
        <v>15</v>
      </c>
      <c r="I127" s="19" t="s">
        <v>16</v>
      </c>
      <c r="J127" s="19" t="s">
        <v>23</v>
      </c>
      <c r="K127" s="19" t="s">
        <v>18</v>
      </c>
      <c r="L127" s="19" t="s">
        <v>42</v>
      </c>
    </row>
    <row r="128" spans="1:12" ht="15.6">
      <c r="A128" s="19" t="s">
        <v>158</v>
      </c>
      <c r="B128" s="19">
        <v>9</v>
      </c>
      <c r="C128" s="19" t="s">
        <v>13</v>
      </c>
      <c r="D128" s="19">
        <v>13</v>
      </c>
      <c r="E128" s="19">
        <v>7536744531</v>
      </c>
      <c r="F128" s="19" t="s">
        <v>14</v>
      </c>
      <c r="G128" s="19">
        <v>15</v>
      </c>
      <c r="H128" s="19" t="s">
        <v>33</v>
      </c>
      <c r="I128" s="19" t="s">
        <v>16</v>
      </c>
      <c r="J128" s="19" t="s">
        <v>23</v>
      </c>
      <c r="K128" s="19" t="s">
        <v>49</v>
      </c>
      <c r="L128" s="19" t="s">
        <v>31</v>
      </c>
    </row>
    <row r="129" spans="1:12" ht="15.6">
      <c r="A129" s="19" t="s">
        <v>159</v>
      </c>
      <c r="B129" s="19">
        <v>7</v>
      </c>
      <c r="C129" s="19" t="s">
        <v>21</v>
      </c>
      <c r="D129" s="19">
        <v>185</v>
      </c>
      <c r="E129" s="19">
        <v>6932787149</v>
      </c>
      <c r="F129" s="19" t="s">
        <v>27</v>
      </c>
      <c r="G129" s="19">
        <v>13</v>
      </c>
      <c r="H129" s="19" t="s">
        <v>15</v>
      </c>
      <c r="I129" s="19" t="s">
        <v>22</v>
      </c>
      <c r="J129" s="19" t="s">
        <v>17</v>
      </c>
      <c r="K129" s="19" t="s">
        <v>18</v>
      </c>
      <c r="L129" s="19" t="s">
        <v>19</v>
      </c>
    </row>
    <row r="130" spans="1:12" ht="15.6">
      <c r="A130" s="19" t="s">
        <v>160</v>
      </c>
      <c r="B130" s="19">
        <v>9</v>
      </c>
      <c r="C130" s="19" t="s">
        <v>21</v>
      </c>
      <c r="D130" s="19">
        <v>150</v>
      </c>
      <c r="E130" s="19">
        <v>8543473029</v>
      </c>
      <c r="F130" s="19" t="s">
        <v>14</v>
      </c>
      <c r="G130" s="19">
        <v>15</v>
      </c>
      <c r="H130" s="19" t="s">
        <v>33</v>
      </c>
      <c r="I130" s="19" t="s">
        <v>16</v>
      </c>
      <c r="J130" s="19" t="s">
        <v>23</v>
      </c>
      <c r="K130" s="19" t="s">
        <v>28</v>
      </c>
      <c r="L130" s="19" t="s">
        <v>31</v>
      </c>
    </row>
    <row r="131" spans="1:12" ht="15.6">
      <c r="A131" s="19" t="s">
        <v>161</v>
      </c>
      <c r="B131" s="19">
        <v>7</v>
      </c>
      <c r="C131" s="19" t="s">
        <v>37</v>
      </c>
      <c r="D131" s="19">
        <v>189</v>
      </c>
      <c r="E131" s="19">
        <v>8141569323</v>
      </c>
      <c r="F131" s="19" t="s">
        <v>14</v>
      </c>
      <c r="G131" s="19">
        <v>12</v>
      </c>
      <c r="H131" s="19" t="s">
        <v>15</v>
      </c>
      <c r="I131" s="19" t="s">
        <v>16</v>
      </c>
      <c r="J131" s="19" t="s">
        <v>23</v>
      </c>
      <c r="K131" s="19" t="s">
        <v>49</v>
      </c>
      <c r="L131" s="19" t="s">
        <v>28</v>
      </c>
    </row>
    <row r="132" spans="1:12" ht="15.6">
      <c r="A132" s="19" t="s">
        <v>162</v>
      </c>
      <c r="B132" s="19">
        <v>6</v>
      </c>
      <c r="C132" s="19" t="s">
        <v>37</v>
      </c>
      <c r="D132" s="19">
        <v>65</v>
      </c>
      <c r="E132" s="19">
        <v>6786330171</v>
      </c>
      <c r="F132" s="19" t="s">
        <v>14</v>
      </c>
      <c r="G132" s="19">
        <v>12</v>
      </c>
      <c r="H132" s="19" t="s">
        <v>33</v>
      </c>
      <c r="I132" s="19" t="s">
        <v>22</v>
      </c>
      <c r="J132" s="19" t="s">
        <v>23</v>
      </c>
      <c r="K132" s="19" t="s">
        <v>30</v>
      </c>
      <c r="L132" s="19" t="s">
        <v>28</v>
      </c>
    </row>
    <row r="133" spans="1:12" ht="15.6">
      <c r="A133" s="19" t="s">
        <v>163</v>
      </c>
      <c r="B133" s="19">
        <v>8</v>
      </c>
      <c r="C133" s="19" t="s">
        <v>21</v>
      </c>
      <c r="D133" s="19">
        <v>120</v>
      </c>
      <c r="E133" s="19">
        <v>9086989169</v>
      </c>
      <c r="F133" s="19" t="s">
        <v>27</v>
      </c>
      <c r="G133" s="19">
        <v>14</v>
      </c>
      <c r="H133" s="19" t="s">
        <v>15</v>
      </c>
      <c r="I133" s="19" t="s">
        <v>16</v>
      </c>
      <c r="J133" s="19" t="s">
        <v>23</v>
      </c>
      <c r="K133" s="19" t="s">
        <v>30</v>
      </c>
      <c r="L133" s="19" t="s">
        <v>31</v>
      </c>
    </row>
    <row r="134" spans="1:12" ht="15.6">
      <c r="A134" s="19" t="s">
        <v>164</v>
      </c>
      <c r="B134" s="19">
        <v>8</v>
      </c>
      <c r="C134" s="19" t="s">
        <v>37</v>
      </c>
      <c r="D134" s="19">
        <v>139</v>
      </c>
      <c r="E134" s="19">
        <v>9289148781</v>
      </c>
      <c r="F134" s="19" t="s">
        <v>14</v>
      </c>
      <c r="G134" s="19">
        <v>13</v>
      </c>
      <c r="H134" s="19" t="s">
        <v>15</v>
      </c>
      <c r="I134" s="19" t="s">
        <v>22</v>
      </c>
      <c r="J134" s="19" t="s">
        <v>17</v>
      </c>
      <c r="K134" s="19" t="s">
        <v>28</v>
      </c>
      <c r="L134" s="19" t="s">
        <v>28</v>
      </c>
    </row>
    <row r="135" spans="1:12" ht="15.6">
      <c r="A135" s="19" t="s">
        <v>165</v>
      </c>
      <c r="B135" s="19">
        <v>9</v>
      </c>
      <c r="C135" s="19" t="s">
        <v>37</v>
      </c>
      <c r="D135" s="19">
        <v>54</v>
      </c>
      <c r="E135" s="19">
        <v>7537019224</v>
      </c>
      <c r="F135" s="19" t="s">
        <v>14</v>
      </c>
      <c r="G135" s="19">
        <v>15</v>
      </c>
      <c r="H135" s="19" t="s">
        <v>15</v>
      </c>
      <c r="I135" s="19" t="s">
        <v>16</v>
      </c>
      <c r="J135" s="19" t="s">
        <v>23</v>
      </c>
      <c r="K135" s="19" t="s">
        <v>28</v>
      </c>
      <c r="L135" s="19" t="s">
        <v>19</v>
      </c>
    </row>
    <row r="136" spans="1:12" ht="15.6">
      <c r="A136" s="19" t="s">
        <v>166</v>
      </c>
      <c r="B136" s="19">
        <v>7</v>
      </c>
      <c r="C136" s="19" t="s">
        <v>21</v>
      </c>
      <c r="D136" s="19">
        <v>181</v>
      </c>
      <c r="E136" s="19">
        <v>6301323536</v>
      </c>
      <c r="F136" s="19" t="s">
        <v>14</v>
      </c>
      <c r="G136" s="19">
        <v>13</v>
      </c>
      <c r="H136" s="19" t="s">
        <v>15</v>
      </c>
      <c r="I136" s="19" t="s">
        <v>22</v>
      </c>
      <c r="J136" s="19" t="s">
        <v>23</v>
      </c>
      <c r="K136" s="19" t="s">
        <v>28</v>
      </c>
      <c r="L136" s="19" t="s">
        <v>31</v>
      </c>
    </row>
    <row r="137" spans="1:12" ht="15.6">
      <c r="A137" s="19" t="s">
        <v>167</v>
      </c>
      <c r="B137" s="19">
        <v>7</v>
      </c>
      <c r="C137" s="19" t="s">
        <v>13</v>
      </c>
      <c r="D137" s="19">
        <v>177</v>
      </c>
      <c r="E137" s="19">
        <v>8257766806</v>
      </c>
      <c r="F137" s="19" t="s">
        <v>27</v>
      </c>
      <c r="G137" s="19">
        <v>12</v>
      </c>
      <c r="H137" s="19" t="s">
        <v>33</v>
      </c>
      <c r="I137" s="19" t="s">
        <v>22</v>
      </c>
      <c r="J137" s="19" t="s">
        <v>17</v>
      </c>
      <c r="K137" s="19" t="s">
        <v>24</v>
      </c>
      <c r="L137" s="19" t="s">
        <v>28</v>
      </c>
    </row>
    <row r="138" spans="1:12" ht="15.6">
      <c r="A138" s="19" t="s">
        <v>168</v>
      </c>
      <c r="B138" s="19">
        <v>8</v>
      </c>
      <c r="C138" s="19" t="s">
        <v>21</v>
      </c>
      <c r="D138" s="19">
        <v>148</v>
      </c>
      <c r="E138" s="19">
        <v>9733627528</v>
      </c>
      <c r="F138" s="19" t="s">
        <v>14</v>
      </c>
      <c r="G138" s="19">
        <v>13</v>
      </c>
      <c r="H138" s="19" t="s">
        <v>33</v>
      </c>
      <c r="I138" s="19" t="s">
        <v>22</v>
      </c>
      <c r="J138" s="19" t="s">
        <v>17</v>
      </c>
      <c r="K138" s="19" t="s">
        <v>28</v>
      </c>
      <c r="L138" s="19" t="s">
        <v>31</v>
      </c>
    </row>
    <row r="139" spans="1:12" ht="15.6">
      <c r="A139" s="19" t="s">
        <v>169</v>
      </c>
      <c r="B139" s="19">
        <v>7</v>
      </c>
      <c r="C139" s="19" t="s">
        <v>13</v>
      </c>
      <c r="D139" s="19">
        <v>2</v>
      </c>
      <c r="E139" s="19">
        <v>8744287402</v>
      </c>
      <c r="F139" s="19" t="s">
        <v>14</v>
      </c>
      <c r="G139" s="19">
        <v>13</v>
      </c>
      <c r="H139" s="19" t="s">
        <v>33</v>
      </c>
      <c r="I139" s="19" t="s">
        <v>22</v>
      </c>
      <c r="J139" s="19" t="s">
        <v>23</v>
      </c>
      <c r="K139" s="19" t="s">
        <v>28</v>
      </c>
      <c r="L139" s="19" t="s">
        <v>31</v>
      </c>
    </row>
    <row r="140" spans="1:12" ht="15.6">
      <c r="A140" s="19" t="s">
        <v>170</v>
      </c>
      <c r="B140" s="19">
        <v>6</v>
      </c>
      <c r="C140" s="19" t="s">
        <v>21</v>
      </c>
      <c r="D140" s="19">
        <v>124</v>
      </c>
      <c r="E140" s="19">
        <v>9338273427</v>
      </c>
      <c r="F140" s="19" t="s">
        <v>27</v>
      </c>
      <c r="G140" s="19">
        <v>12</v>
      </c>
      <c r="H140" s="19" t="s">
        <v>33</v>
      </c>
      <c r="I140" s="19" t="s">
        <v>16</v>
      </c>
      <c r="J140" s="19" t="s">
        <v>23</v>
      </c>
      <c r="K140" s="19" t="s">
        <v>24</v>
      </c>
      <c r="L140" s="19" t="s">
        <v>28</v>
      </c>
    </row>
    <row r="141" spans="1:12" ht="15.6">
      <c r="A141" s="19" t="s">
        <v>171</v>
      </c>
      <c r="B141" s="19">
        <v>10</v>
      </c>
      <c r="C141" s="19" t="s">
        <v>21</v>
      </c>
      <c r="D141" s="19">
        <v>121</v>
      </c>
      <c r="E141" s="19">
        <v>6489184156</v>
      </c>
      <c r="F141" s="19" t="s">
        <v>14</v>
      </c>
      <c r="G141" s="19">
        <v>15</v>
      </c>
      <c r="H141" s="19" t="s">
        <v>15</v>
      </c>
      <c r="I141" s="19" t="s">
        <v>16</v>
      </c>
      <c r="J141" s="19" t="s">
        <v>23</v>
      </c>
      <c r="K141" s="19" t="s">
        <v>28</v>
      </c>
      <c r="L141" s="19" t="s">
        <v>28</v>
      </c>
    </row>
    <row r="142" spans="1:12" ht="15.6">
      <c r="A142" s="19" t="s">
        <v>172</v>
      </c>
      <c r="B142" s="19">
        <v>7</v>
      </c>
      <c r="C142" s="19" t="s">
        <v>26</v>
      </c>
      <c r="D142" s="19">
        <v>117</v>
      </c>
      <c r="E142" s="19">
        <v>6265169347</v>
      </c>
      <c r="F142" s="19" t="s">
        <v>14</v>
      </c>
      <c r="G142" s="19">
        <v>13</v>
      </c>
      <c r="H142" s="19" t="s">
        <v>33</v>
      </c>
      <c r="I142" s="19" t="s">
        <v>16</v>
      </c>
      <c r="J142" s="19" t="s">
        <v>17</v>
      </c>
      <c r="K142" s="19" t="s">
        <v>28</v>
      </c>
      <c r="L142" s="19" t="s">
        <v>19</v>
      </c>
    </row>
    <row r="143" spans="1:12" ht="15.6">
      <c r="A143" s="19" t="s">
        <v>173</v>
      </c>
      <c r="B143" s="19">
        <v>7</v>
      </c>
      <c r="C143" s="19" t="s">
        <v>21</v>
      </c>
      <c r="D143" s="19">
        <v>52</v>
      </c>
      <c r="E143" s="19">
        <v>9785226819</v>
      </c>
      <c r="F143" s="19" t="s">
        <v>14</v>
      </c>
      <c r="G143" s="19">
        <v>13</v>
      </c>
      <c r="H143" s="19" t="s">
        <v>33</v>
      </c>
      <c r="I143" s="19" t="s">
        <v>16</v>
      </c>
      <c r="J143" s="19" t="s">
        <v>23</v>
      </c>
      <c r="K143" s="19" t="s">
        <v>28</v>
      </c>
      <c r="L143" s="19" t="s">
        <v>28</v>
      </c>
    </row>
    <row r="144" spans="1:12" ht="15.6">
      <c r="A144" s="19" t="s">
        <v>174</v>
      </c>
      <c r="B144" s="19">
        <v>6</v>
      </c>
      <c r="C144" s="19" t="s">
        <v>37</v>
      </c>
      <c r="D144" s="19">
        <v>192</v>
      </c>
      <c r="E144" s="19">
        <v>6411502603</v>
      </c>
      <c r="F144" s="19" t="s">
        <v>27</v>
      </c>
      <c r="G144" s="19">
        <v>12</v>
      </c>
      <c r="H144" s="19" t="s">
        <v>33</v>
      </c>
      <c r="I144" s="19" t="s">
        <v>22</v>
      </c>
      <c r="J144" s="19" t="s">
        <v>23</v>
      </c>
      <c r="K144" s="19" t="s">
        <v>30</v>
      </c>
      <c r="L144" s="19" t="s">
        <v>19</v>
      </c>
    </row>
    <row r="145" spans="1:12" ht="15.6">
      <c r="A145" s="19" t="s">
        <v>175</v>
      </c>
      <c r="B145" s="19">
        <v>10</v>
      </c>
      <c r="C145" s="19" t="s">
        <v>37</v>
      </c>
      <c r="D145" s="19">
        <v>142</v>
      </c>
      <c r="E145" s="19">
        <v>7172201582</v>
      </c>
      <c r="F145" s="19" t="s">
        <v>27</v>
      </c>
      <c r="G145" s="19">
        <v>15</v>
      </c>
      <c r="H145" s="19" t="s">
        <v>33</v>
      </c>
      <c r="I145" s="19" t="s">
        <v>16</v>
      </c>
      <c r="J145" s="19" t="s">
        <v>23</v>
      </c>
      <c r="K145" s="19" t="s">
        <v>28</v>
      </c>
      <c r="L145" s="19" t="s">
        <v>31</v>
      </c>
    </row>
    <row r="146" spans="1:12" ht="15.6">
      <c r="A146" s="19" t="s">
        <v>176</v>
      </c>
      <c r="B146" s="19">
        <v>9</v>
      </c>
      <c r="C146" s="19" t="s">
        <v>13</v>
      </c>
      <c r="D146" s="19">
        <v>181</v>
      </c>
      <c r="E146" s="19">
        <v>7647433205</v>
      </c>
      <c r="F146" s="19" t="s">
        <v>14</v>
      </c>
      <c r="G146" s="19">
        <v>15</v>
      </c>
      <c r="H146" s="19" t="s">
        <v>33</v>
      </c>
      <c r="I146" s="19" t="s">
        <v>22</v>
      </c>
      <c r="J146" s="19" t="s">
        <v>23</v>
      </c>
      <c r="K146" s="19" t="s">
        <v>18</v>
      </c>
      <c r="L146" s="19" t="s">
        <v>31</v>
      </c>
    </row>
    <row r="147" spans="1:12" ht="15.6">
      <c r="A147" s="19" t="s">
        <v>177</v>
      </c>
      <c r="B147" s="19">
        <v>10</v>
      </c>
      <c r="C147" s="19" t="s">
        <v>26</v>
      </c>
      <c r="D147" s="19">
        <v>79</v>
      </c>
      <c r="E147" s="19">
        <v>8215823382</v>
      </c>
      <c r="F147" s="19" t="s">
        <v>14</v>
      </c>
      <c r="G147" s="19">
        <v>15</v>
      </c>
      <c r="H147" s="19" t="s">
        <v>33</v>
      </c>
      <c r="I147" s="19" t="s">
        <v>16</v>
      </c>
      <c r="J147" s="19" t="s">
        <v>17</v>
      </c>
      <c r="K147" s="19" t="s">
        <v>28</v>
      </c>
      <c r="L147" s="19" t="s">
        <v>42</v>
      </c>
    </row>
    <row r="148" spans="1:12" ht="15.6">
      <c r="A148" s="19" t="s">
        <v>178</v>
      </c>
      <c r="B148" s="19">
        <v>7</v>
      </c>
      <c r="C148" s="19" t="s">
        <v>13</v>
      </c>
      <c r="D148" s="19">
        <v>28</v>
      </c>
      <c r="E148" s="19">
        <v>9419473053</v>
      </c>
      <c r="F148" s="19" t="s">
        <v>14</v>
      </c>
      <c r="G148" s="19">
        <v>12</v>
      </c>
      <c r="H148" s="19" t="s">
        <v>33</v>
      </c>
      <c r="I148" s="19" t="s">
        <v>16</v>
      </c>
      <c r="J148" s="19" t="s">
        <v>23</v>
      </c>
      <c r="K148" s="19" t="s">
        <v>30</v>
      </c>
      <c r="L148" s="19" t="s">
        <v>19</v>
      </c>
    </row>
    <row r="149" spans="1:12" ht="15.6">
      <c r="A149" s="19" t="s">
        <v>179</v>
      </c>
      <c r="B149" s="19">
        <v>6</v>
      </c>
      <c r="C149" s="19" t="s">
        <v>21</v>
      </c>
      <c r="D149" s="19">
        <v>142</v>
      </c>
      <c r="E149" s="19">
        <v>9698950793</v>
      </c>
      <c r="F149" s="19" t="s">
        <v>14</v>
      </c>
      <c r="G149" s="19">
        <v>11</v>
      </c>
      <c r="H149" s="19" t="s">
        <v>15</v>
      </c>
      <c r="I149" s="19" t="s">
        <v>16</v>
      </c>
      <c r="J149" s="19" t="s">
        <v>17</v>
      </c>
      <c r="K149" s="19" t="s">
        <v>28</v>
      </c>
      <c r="L149" s="19" t="s">
        <v>28</v>
      </c>
    </row>
    <row r="150" spans="1:12" ht="15.6">
      <c r="A150" s="19" t="s">
        <v>180</v>
      </c>
      <c r="B150" s="19">
        <v>6</v>
      </c>
      <c r="C150" s="19" t="s">
        <v>21</v>
      </c>
      <c r="D150" s="19">
        <v>179</v>
      </c>
      <c r="E150" s="19">
        <v>9958117583</v>
      </c>
      <c r="F150" s="19" t="s">
        <v>27</v>
      </c>
      <c r="G150" s="19">
        <v>12</v>
      </c>
      <c r="H150" s="19" t="s">
        <v>15</v>
      </c>
      <c r="I150" s="19" t="s">
        <v>16</v>
      </c>
      <c r="J150" s="19" t="s">
        <v>17</v>
      </c>
      <c r="K150" s="19" t="s">
        <v>18</v>
      </c>
      <c r="L150" s="19" t="s">
        <v>31</v>
      </c>
    </row>
    <row r="151" spans="1:12" ht="15.6">
      <c r="A151" s="19" t="s">
        <v>181</v>
      </c>
      <c r="B151" s="19">
        <v>7</v>
      </c>
      <c r="C151" s="19" t="s">
        <v>13</v>
      </c>
      <c r="D151" s="19">
        <v>33</v>
      </c>
      <c r="E151" s="19">
        <v>7610639415</v>
      </c>
      <c r="F151" s="19" t="s">
        <v>14</v>
      </c>
      <c r="G151" s="19">
        <v>13</v>
      </c>
      <c r="H151" s="19" t="s">
        <v>15</v>
      </c>
      <c r="I151" s="19" t="s">
        <v>22</v>
      </c>
      <c r="J151" s="19" t="s">
        <v>17</v>
      </c>
      <c r="K151" s="19" t="s">
        <v>18</v>
      </c>
      <c r="L151" s="19" t="s">
        <v>28</v>
      </c>
    </row>
    <row r="152" spans="1:12" ht="15.6">
      <c r="A152" s="19" t="s">
        <v>176</v>
      </c>
      <c r="B152" s="19">
        <v>9</v>
      </c>
      <c r="C152" s="19" t="s">
        <v>37</v>
      </c>
      <c r="D152" s="19">
        <v>49</v>
      </c>
      <c r="E152" s="19">
        <v>8865054802</v>
      </c>
      <c r="F152" s="19" t="s">
        <v>14</v>
      </c>
      <c r="G152" s="19">
        <v>14</v>
      </c>
      <c r="H152" s="19" t="s">
        <v>33</v>
      </c>
      <c r="I152" s="19" t="s">
        <v>22</v>
      </c>
      <c r="J152" s="19" t="s">
        <v>23</v>
      </c>
      <c r="K152" s="19" t="s">
        <v>18</v>
      </c>
      <c r="L152" s="19" t="s">
        <v>28</v>
      </c>
    </row>
    <row r="153" spans="1:12" ht="15.6">
      <c r="A153" s="19" t="s">
        <v>182</v>
      </c>
      <c r="B153" s="19">
        <v>6</v>
      </c>
      <c r="C153" s="19" t="s">
        <v>26</v>
      </c>
      <c r="D153" s="19">
        <v>5</v>
      </c>
      <c r="E153" s="19">
        <v>7469835950</v>
      </c>
      <c r="F153" s="19" t="s">
        <v>14</v>
      </c>
      <c r="G153" s="19">
        <v>11</v>
      </c>
      <c r="H153" s="19" t="s">
        <v>33</v>
      </c>
      <c r="I153" s="19" t="s">
        <v>16</v>
      </c>
      <c r="J153" s="19" t="s">
        <v>23</v>
      </c>
      <c r="K153" s="19" t="s">
        <v>30</v>
      </c>
      <c r="L153" s="19" t="s">
        <v>28</v>
      </c>
    </row>
    <row r="154" spans="1:12" ht="15.6">
      <c r="A154" s="19" t="s">
        <v>183</v>
      </c>
      <c r="B154" s="19">
        <v>7</v>
      </c>
      <c r="C154" s="19" t="s">
        <v>37</v>
      </c>
      <c r="D154" s="19">
        <v>67</v>
      </c>
      <c r="E154" s="19">
        <v>6178636960</v>
      </c>
      <c r="F154" s="19" t="s">
        <v>27</v>
      </c>
      <c r="G154" s="19">
        <v>12</v>
      </c>
      <c r="H154" s="19" t="s">
        <v>33</v>
      </c>
      <c r="I154" s="19" t="s">
        <v>16</v>
      </c>
      <c r="J154" s="19" t="s">
        <v>23</v>
      </c>
      <c r="K154" s="19" t="s">
        <v>24</v>
      </c>
      <c r="L154" s="19" t="s">
        <v>42</v>
      </c>
    </row>
    <row r="155" spans="1:12" ht="15.6">
      <c r="A155" s="19" t="s">
        <v>184</v>
      </c>
      <c r="B155" s="19">
        <v>8</v>
      </c>
      <c r="C155" s="19" t="s">
        <v>13</v>
      </c>
      <c r="D155" s="19">
        <v>40</v>
      </c>
      <c r="E155" s="19">
        <v>7767072892</v>
      </c>
      <c r="F155" s="19" t="s">
        <v>27</v>
      </c>
      <c r="G155" s="19">
        <v>14</v>
      </c>
      <c r="H155" s="19" t="s">
        <v>15</v>
      </c>
      <c r="I155" s="19" t="s">
        <v>22</v>
      </c>
      <c r="J155" s="19" t="s">
        <v>23</v>
      </c>
      <c r="K155" s="19" t="s">
        <v>28</v>
      </c>
      <c r="L155" s="19" t="s">
        <v>42</v>
      </c>
    </row>
    <row r="156" spans="1:12" ht="15.6">
      <c r="A156" s="19" t="s">
        <v>185</v>
      </c>
      <c r="B156" s="19">
        <v>8</v>
      </c>
      <c r="C156" s="19" t="s">
        <v>26</v>
      </c>
      <c r="D156" s="19">
        <v>18</v>
      </c>
      <c r="E156" s="19">
        <v>6078305509</v>
      </c>
      <c r="F156" s="19" t="s">
        <v>27</v>
      </c>
      <c r="G156" s="19">
        <v>13</v>
      </c>
      <c r="H156" s="19" t="s">
        <v>15</v>
      </c>
      <c r="I156" s="19" t="s">
        <v>16</v>
      </c>
      <c r="J156" s="19" t="s">
        <v>23</v>
      </c>
      <c r="K156" s="19" t="s">
        <v>30</v>
      </c>
      <c r="L156" s="19" t="s">
        <v>28</v>
      </c>
    </row>
    <row r="157" spans="1:12" ht="15.6">
      <c r="A157" s="19" t="s">
        <v>186</v>
      </c>
      <c r="B157" s="19">
        <v>8</v>
      </c>
      <c r="C157" s="19" t="s">
        <v>13</v>
      </c>
      <c r="D157" s="19">
        <v>80</v>
      </c>
      <c r="E157" s="19">
        <v>9536605311</v>
      </c>
      <c r="F157" s="19" t="s">
        <v>14</v>
      </c>
      <c r="G157" s="19">
        <v>14</v>
      </c>
      <c r="H157" s="19" t="s">
        <v>15</v>
      </c>
      <c r="I157" s="19" t="s">
        <v>16</v>
      </c>
      <c r="J157" s="19" t="s">
        <v>23</v>
      </c>
      <c r="K157" s="19" t="s">
        <v>28</v>
      </c>
      <c r="L157" s="19" t="s">
        <v>28</v>
      </c>
    </row>
    <row r="158" spans="1:12" ht="15.6">
      <c r="A158" s="19" t="s">
        <v>187</v>
      </c>
      <c r="B158" s="19">
        <v>10</v>
      </c>
      <c r="C158" s="19" t="s">
        <v>37</v>
      </c>
      <c r="D158" s="19">
        <v>28</v>
      </c>
      <c r="E158" s="19">
        <v>9238935345</v>
      </c>
      <c r="F158" s="19" t="s">
        <v>27</v>
      </c>
      <c r="G158" s="19">
        <v>15</v>
      </c>
      <c r="H158" s="19" t="s">
        <v>33</v>
      </c>
      <c r="I158" s="19" t="s">
        <v>22</v>
      </c>
      <c r="J158" s="19" t="s">
        <v>17</v>
      </c>
      <c r="K158" s="19" t="s">
        <v>24</v>
      </c>
      <c r="L158" s="19" t="s">
        <v>28</v>
      </c>
    </row>
    <row r="159" spans="1:12" ht="15.6">
      <c r="A159" s="19" t="s">
        <v>188</v>
      </c>
      <c r="B159" s="19">
        <v>9</v>
      </c>
      <c r="C159" s="19" t="s">
        <v>26</v>
      </c>
      <c r="D159" s="19">
        <v>156</v>
      </c>
      <c r="E159" s="19">
        <v>8966435176</v>
      </c>
      <c r="F159" s="19" t="s">
        <v>14</v>
      </c>
      <c r="G159" s="19">
        <v>15</v>
      </c>
      <c r="H159" s="19" t="s">
        <v>15</v>
      </c>
      <c r="I159" s="19" t="s">
        <v>22</v>
      </c>
      <c r="J159" s="19" t="s">
        <v>17</v>
      </c>
      <c r="K159" s="19" t="s">
        <v>28</v>
      </c>
      <c r="L159" s="19" t="s">
        <v>28</v>
      </c>
    </row>
    <row r="160" spans="1:12" ht="15.6">
      <c r="A160" s="19" t="s">
        <v>189</v>
      </c>
      <c r="B160" s="19">
        <v>7</v>
      </c>
      <c r="C160" s="19" t="s">
        <v>21</v>
      </c>
      <c r="D160" s="19">
        <v>96</v>
      </c>
      <c r="E160" s="19">
        <v>9808051582</v>
      </c>
      <c r="F160" s="19" t="s">
        <v>14</v>
      </c>
      <c r="G160" s="19">
        <v>13</v>
      </c>
      <c r="H160" s="19" t="s">
        <v>33</v>
      </c>
      <c r="I160" s="19" t="s">
        <v>16</v>
      </c>
      <c r="J160" s="19" t="s">
        <v>23</v>
      </c>
      <c r="K160" s="19" t="s">
        <v>28</v>
      </c>
      <c r="L160" s="19" t="s">
        <v>19</v>
      </c>
    </row>
    <row r="161" spans="1:12" ht="15.6">
      <c r="A161" s="19" t="s">
        <v>190</v>
      </c>
      <c r="B161" s="19">
        <v>10</v>
      </c>
      <c r="C161" s="19" t="s">
        <v>26</v>
      </c>
      <c r="D161" s="19">
        <v>4</v>
      </c>
      <c r="E161" s="19">
        <v>8561783383</v>
      </c>
      <c r="F161" s="19" t="s">
        <v>27</v>
      </c>
      <c r="G161" s="19">
        <v>15</v>
      </c>
      <c r="H161" s="19" t="s">
        <v>33</v>
      </c>
      <c r="I161" s="19" t="s">
        <v>16</v>
      </c>
      <c r="J161" s="19" t="s">
        <v>17</v>
      </c>
      <c r="K161" s="19" t="s">
        <v>30</v>
      </c>
      <c r="L161" s="19" t="s">
        <v>28</v>
      </c>
    </row>
    <row r="162" spans="1:12" ht="15.6">
      <c r="A162" s="19" t="s">
        <v>191</v>
      </c>
      <c r="B162" s="19">
        <v>10</v>
      </c>
      <c r="C162" s="19" t="s">
        <v>37</v>
      </c>
      <c r="D162" s="19">
        <v>187</v>
      </c>
      <c r="E162" s="19">
        <v>9087234617</v>
      </c>
      <c r="F162" s="19" t="s">
        <v>14</v>
      </c>
      <c r="G162" s="19">
        <v>15</v>
      </c>
      <c r="H162" s="19" t="s">
        <v>33</v>
      </c>
      <c r="I162" s="19" t="s">
        <v>16</v>
      </c>
      <c r="J162" s="19" t="s">
        <v>23</v>
      </c>
      <c r="K162" s="19" t="s">
        <v>24</v>
      </c>
      <c r="L162" s="19" t="s">
        <v>19</v>
      </c>
    </row>
    <row r="163" spans="1:12" ht="15.6">
      <c r="A163" s="19" t="s">
        <v>192</v>
      </c>
      <c r="B163" s="19">
        <v>10</v>
      </c>
      <c r="C163" s="19" t="s">
        <v>26</v>
      </c>
      <c r="D163" s="19">
        <v>69</v>
      </c>
      <c r="E163" s="19">
        <v>6190618547</v>
      </c>
      <c r="F163" s="19" t="s">
        <v>27</v>
      </c>
      <c r="G163" s="19">
        <v>16</v>
      </c>
      <c r="H163" s="19" t="s">
        <v>15</v>
      </c>
      <c r="I163" s="19" t="s">
        <v>22</v>
      </c>
      <c r="J163" s="19" t="s">
        <v>17</v>
      </c>
      <c r="K163" s="19" t="s">
        <v>24</v>
      </c>
      <c r="L163" s="19" t="s">
        <v>28</v>
      </c>
    </row>
    <row r="164" spans="1:12" ht="15.6">
      <c r="A164" s="19" t="s">
        <v>193</v>
      </c>
      <c r="B164" s="19">
        <v>9</v>
      </c>
      <c r="C164" s="19" t="s">
        <v>26</v>
      </c>
      <c r="D164" s="19">
        <v>82</v>
      </c>
      <c r="E164" s="19">
        <v>6556596501</v>
      </c>
      <c r="F164" s="19" t="s">
        <v>14</v>
      </c>
      <c r="G164" s="19">
        <v>14</v>
      </c>
      <c r="H164" s="19" t="s">
        <v>33</v>
      </c>
      <c r="I164" s="19" t="s">
        <v>16</v>
      </c>
      <c r="J164" s="19" t="s">
        <v>17</v>
      </c>
      <c r="K164" s="19" t="s">
        <v>28</v>
      </c>
      <c r="L164" s="19" t="s">
        <v>19</v>
      </c>
    </row>
    <row r="165" spans="1:12" ht="15.6">
      <c r="A165" s="19" t="s">
        <v>194</v>
      </c>
      <c r="B165" s="19">
        <v>10</v>
      </c>
      <c r="C165" s="19" t="s">
        <v>13</v>
      </c>
      <c r="D165" s="19">
        <v>76</v>
      </c>
      <c r="E165" s="19">
        <v>8788172658</v>
      </c>
      <c r="F165" s="19" t="s">
        <v>27</v>
      </c>
      <c r="G165" s="19">
        <v>16</v>
      </c>
      <c r="H165" s="19" t="s">
        <v>15</v>
      </c>
      <c r="I165" s="19" t="s">
        <v>22</v>
      </c>
      <c r="J165" s="19" t="s">
        <v>23</v>
      </c>
      <c r="K165" s="19" t="s">
        <v>28</v>
      </c>
      <c r="L165" s="19" t="s">
        <v>28</v>
      </c>
    </row>
    <row r="166" spans="1:12" ht="15.6">
      <c r="A166" s="19" t="s">
        <v>195</v>
      </c>
      <c r="B166" s="19">
        <v>9</v>
      </c>
      <c r="C166" s="19" t="s">
        <v>21</v>
      </c>
      <c r="D166" s="19">
        <v>99</v>
      </c>
      <c r="E166" s="19">
        <v>8328554358</v>
      </c>
      <c r="F166" s="19" t="s">
        <v>14</v>
      </c>
      <c r="G166" s="19">
        <v>14</v>
      </c>
      <c r="H166" s="19" t="s">
        <v>15</v>
      </c>
      <c r="I166" s="19" t="s">
        <v>16</v>
      </c>
      <c r="J166" s="19" t="s">
        <v>17</v>
      </c>
      <c r="K166" s="19" t="s">
        <v>28</v>
      </c>
      <c r="L166" s="19" t="s">
        <v>19</v>
      </c>
    </row>
    <row r="167" spans="1:12" ht="15.6">
      <c r="A167" s="19" t="s">
        <v>196</v>
      </c>
      <c r="B167" s="19">
        <v>8</v>
      </c>
      <c r="C167" s="19" t="s">
        <v>26</v>
      </c>
      <c r="D167" s="19">
        <v>39</v>
      </c>
      <c r="E167" s="19">
        <v>9417797312</v>
      </c>
      <c r="F167" s="19" t="s">
        <v>14</v>
      </c>
      <c r="G167" s="19">
        <v>13</v>
      </c>
      <c r="H167" s="19" t="s">
        <v>33</v>
      </c>
      <c r="I167" s="19" t="s">
        <v>22</v>
      </c>
      <c r="J167" s="19" t="s">
        <v>17</v>
      </c>
      <c r="K167" s="19" t="s">
        <v>18</v>
      </c>
      <c r="L167" s="19" t="s">
        <v>31</v>
      </c>
    </row>
    <row r="168" spans="1:12" ht="15.6">
      <c r="A168" s="19" t="s">
        <v>197</v>
      </c>
      <c r="B168" s="19">
        <v>9</v>
      </c>
      <c r="C168" s="19" t="s">
        <v>37</v>
      </c>
      <c r="D168" s="19">
        <v>22</v>
      </c>
      <c r="E168" s="19">
        <v>7779755272</v>
      </c>
      <c r="F168" s="19" t="s">
        <v>27</v>
      </c>
      <c r="G168" s="19">
        <v>14</v>
      </c>
      <c r="H168" s="19" t="s">
        <v>15</v>
      </c>
      <c r="I168" s="19" t="s">
        <v>22</v>
      </c>
      <c r="J168" s="19" t="s">
        <v>23</v>
      </c>
      <c r="K168" s="19" t="s">
        <v>28</v>
      </c>
      <c r="L168" s="19" t="s">
        <v>31</v>
      </c>
    </row>
    <row r="169" spans="1:12" ht="15.6">
      <c r="A169" s="19" t="s">
        <v>198</v>
      </c>
      <c r="B169" s="19">
        <v>9</v>
      </c>
      <c r="C169" s="19" t="s">
        <v>26</v>
      </c>
      <c r="D169" s="19">
        <v>170</v>
      </c>
      <c r="E169" s="19">
        <v>8421398850</v>
      </c>
      <c r="F169" s="19" t="s">
        <v>27</v>
      </c>
      <c r="G169" s="19">
        <v>15</v>
      </c>
      <c r="H169" s="19" t="s">
        <v>33</v>
      </c>
      <c r="I169" s="19" t="s">
        <v>16</v>
      </c>
      <c r="J169" s="19" t="s">
        <v>23</v>
      </c>
      <c r="K169" s="19" t="s">
        <v>49</v>
      </c>
      <c r="L169" s="19" t="s">
        <v>19</v>
      </c>
    </row>
    <row r="170" spans="1:12" ht="15.6">
      <c r="A170" s="19" t="s">
        <v>199</v>
      </c>
      <c r="B170" s="19">
        <v>9</v>
      </c>
      <c r="C170" s="19" t="s">
        <v>13</v>
      </c>
      <c r="D170" s="19">
        <v>198</v>
      </c>
      <c r="E170" s="19">
        <v>9997702795</v>
      </c>
      <c r="F170" s="19" t="s">
        <v>27</v>
      </c>
      <c r="G170" s="19">
        <v>15</v>
      </c>
      <c r="H170" s="19" t="s">
        <v>15</v>
      </c>
      <c r="I170" s="19" t="s">
        <v>22</v>
      </c>
      <c r="J170" s="19" t="s">
        <v>23</v>
      </c>
      <c r="K170" s="19" t="s">
        <v>28</v>
      </c>
      <c r="L170" s="19" t="s">
        <v>42</v>
      </c>
    </row>
    <row r="171" spans="1:12" ht="15.6">
      <c r="A171" s="19" t="s">
        <v>200</v>
      </c>
      <c r="B171" s="19">
        <v>10</v>
      </c>
      <c r="C171" s="19" t="s">
        <v>21</v>
      </c>
      <c r="D171" s="19">
        <v>65</v>
      </c>
      <c r="E171" s="19">
        <v>8779617855</v>
      </c>
      <c r="F171" s="19" t="s">
        <v>14</v>
      </c>
      <c r="G171" s="19">
        <v>15</v>
      </c>
      <c r="H171" s="19" t="s">
        <v>33</v>
      </c>
      <c r="I171" s="19" t="s">
        <v>22</v>
      </c>
      <c r="J171" s="19" t="s">
        <v>23</v>
      </c>
      <c r="K171" s="19" t="s">
        <v>30</v>
      </c>
      <c r="L171" s="19" t="s">
        <v>42</v>
      </c>
    </row>
    <row r="172" spans="1:12" ht="15.6">
      <c r="A172" s="19" t="s">
        <v>201</v>
      </c>
      <c r="B172" s="19">
        <v>7</v>
      </c>
      <c r="C172" s="19" t="s">
        <v>37</v>
      </c>
      <c r="D172" s="19">
        <v>50</v>
      </c>
      <c r="E172" s="19">
        <v>7049369232</v>
      </c>
      <c r="F172" s="19" t="s">
        <v>27</v>
      </c>
      <c r="G172" s="19">
        <v>12</v>
      </c>
      <c r="H172" s="19" t="s">
        <v>33</v>
      </c>
      <c r="I172" s="19" t="s">
        <v>16</v>
      </c>
      <c r="J172" s="19" t="s">
        <v>17</v>
      </c>
      <c r="K172" s="19" t="s">
        <v>18</v>
      </c>
      <c r="L172" s="19" t="s">
        <v>19</v>
      </c>
    </row>
    <row r="173" spans="1:12" ht="15.6">
      <c r="A173" s="19" t="s">
        <v>202</v>
      </c>
      <c r="B173" s="19">
        <v>10</v>
      </c>
      <c r="C173" s="19" t="s">
        <v>26</v>
      </c>
      <c r="D173" s="19">
        <v>50</v>
      </c>
      <c r="E173" s="19">
        <v>8939410412</v>
      </c>
      <c r="F173" s="19" t="s">
        <v>14</v>
      </c>
      <c r="G173" s="19">
        <v>15</v>
      </c>
      <c r="H173" s="19" t="s">
        <v>33</v>
      </c>
      <c r="I173" s="19" t="s">
        <v>22</v>
      </c>
      <c r="J173" s="19" t="s">
        <v>23</v>
      </c>
      <c r="K173" s="19" t="s">
        <v>49</v>
      </c>
      <c r="L173" s="19" t="s">
        <v>42</v>
      </c>
    </row>
    <row r="174" spans="1:12" ht="15.6">
      <c r="A174" s="19" t="s">
        <v>203</v>
      </c>
      <c r="B174" s="19">
        <v>8</v>
      </c>
      <c r="C174" s="19" t="s">
        <v>26</v>
      </c>
      <c r="D174" s="19">
        <v>116</v>
      </c>
      <c r="E174" s="19">
        <v>6447618263</v>
      </c>
      <c r="F174" s="19" t="s">
        <v>14</v>
      </c>
      <c r="G174" s="19">
        <v>13</v>
      </c>
      <c r="H174" s="19" t="s">
        <v>15</v>
      </c>
      <c r="I174" s="19" t="s">
        <v>22</v>
      </c>
      <c r="J174" s="19" t="s">
        <v>17</v>
      </c>
      <c r="K174" s="19" t="s">
        <v>28</v>
      </c>
      <c r="L174" s="19" t="s">
        <v>31</v>
      </c>
    </row>
    <row r="175" spans="1:12" ht="15.6">
      <c r="A175" s="19" t="s">
        <v>204</v>
      </c>
      <c r="B175" s="19">
        <v>7</v>
      </c>
      <c r="C175" s="19" t="s">
        <v>13</v>
      </c>
      <c r="D175" s="19">
        <v>112</v>
      </c>
      <c r="E175" s="19">
        <v>9185748012</v>
      </c>
      <c r="F175" s="19" t="s">
        <v>27</v>
      </c>
      <c r="G175" s="19">
        <v>12</v>
      </c>
      <c r="H175" s="19" t="s">
        <v>15</v>
      </c>
      <c r="I175" s="19" t="s">
        <v>16</v>
      </c>
      <c r="J175" s="19" t="s">
        <v>23</v>
      </c>
      <c r="K175" s="19" t="s">
        <v>28</v>
      </c>
      <c r="L175" s="19" t="s">
        <v>28</v>
      </c>
    </row>
    <row r="176" spans="1:12" ht="15.6">
      <c r="A176" s="19" t="s">
        <v>205</v>
      </c>
      <c r="B176" s="19">
        <v>10</v>
      </c>
      <c r="C176" s="19" t="s">
        <v>21</v>
      </c>
      <c r="D176" s="19">
        <v>35</v>
      </c>
      <c r="E176" s="19">
        <v>7657854638</v>
      </c>
      <c r="F176" s="19" t="s">
        <v>14</v>
      </c>
      <c r="G176" s="19">
        <v>16</v>
      </c>
      <c r="H176" s="19" t="s">
        <v>15</v>
      </c>
      <c r="I176" s="19" t="s">
        <v>22</v>
      </c>
      <c r="J176" s="19" t="s">
        <v>23</v>
      </c>
      <c r="K176" s="19" t="s">
        <v>28</v>
      </c>
      <c r="L176" s="19" t="s">
        <v>19</v>
      </c>
    </row>
    <row r="177" spans="1:12" ht="15.6">
      <c r="A177" s="19" t="s">
        <v>206</v>
      </c>
      <c r="B177" s="19">
        <v>10</v>
      </c>
      <c r="C177" s="19" t="s">
        <v>37</v>
      </c>
      <c r="D177" s="19">
        <v>176</v>
      </c>
      <c r="E177" s="19">
        <v>8236764435</v>
      </c>
      <c r="F177" s="19" t="s">
        <v>14</v>
      </c>
      <c r="G177" s="19">
        <v>15</v>
      </c>
      <c r="H177" s="19" t="s">
        <v>33</v>
      </c>
      <c r="I177" s="19" t="s">
        <v>22</v>
      </c>
      <c r="J177" s="19" t="s">
        <v>17</v>
      </c>
      <c r="K177" s="19" t="s">
        <v>30</v>
      </c>
      <c r="L177" s="19" t="s">
        <v>42</v>
      </c>
    </row>
    <row r="178" spans="1:12" ht="15.6">
      <c r="A178" s="19" t="s">
        <v>207</v>
      </c>
      <c r="B178" s="19">
        <v>7</v>
      </c>
      <c r="C178" s="19" t="s">
        <v>13</v>
      </c>
      <c r="D178" s="19">
        <v>45</v>
      </c>
      <c r="E178" s="19">
        <v>9909568364</v>
      </c>
      <c r="F178" s="19" t="s">
        <v>14</v>
      </c>
      <c r="G178" s="19">
        <v>13</v>
      </c>
      <c r="H178" s="19" t="s">
        <v>15</v>
      </c>
      <c r="I178" s="19" t="s">
        <v>22</v>
      </c>
      <c r="J178" s="19" t="s">
        <v>23</v>
      </c>
      <c r="K178" s="19" t="s">
        <v>30</v>
      </c>
      <c r="L178" s="19" t="s">
        <v>28</v>
      </c>
    </row>
    <row r="179" spans="1:12" ht="15.6">
      <c r="A179" s="19" t="s">
        <v>208</v>
      </c>
      <c r="B179" s="19">
        <v>10</v>
      </c>
      <c r="C179" s="19" t="s">
        <v>37</v>
      </c>
      <c r="D179" s="19">
        <v>148</v>
      </c>
      <c r="E179" s="19">
        <v>6879328898</v>
      </c>
      <c r="F179" s="19" t="s">
        <v>14</v>
      </c>
      <c r="G179" s="19">
        <v>16</v>
      </c>
      <c r="H179" s="19" t="s">
        <v>33</v>
      </c>
      <c r="I179" s="19" t="s">
        <v>16</v>
      </c>
      <c r="J179" s="19" t="s">
        <v>23</v>
      </c>
      <c r="K179" s="19" t="s">
        <v>28</v>
      </c>
      <c r="L179" s="19" t="s">
        <v>19</v>
      </c>
    </row>
    <row r="180" spans="1:12" ht="15.6">
      <c r="A180" s="19" t="s">
        <v>209</v>
      </c>
      <c r="B180" s="19">
        <v>8</v>
      </c>
      <c r="C180" s="19" t="s">
        <v>37</v>
      </c>
      <c r="D180" s="19">
        <v>193</v>
      </c>
      <c r="E180" s="19">
        <v>9240710799</v>
      </c>
      <c r="F180" s="19" t="s">
        <v>27</v>
      </c>
      <c r="G180" s="19">
        <v>13</v>
      </c>
      <c r="H180" s="19" t="s">
        <v>15</v>
      </c>
      <c r="I180" s="19" t="s">
        <v>16</v>
      </c>
      <c r="J180" s="19" t="s">
        <v>23</v>
      </c>
      <c r="K180" s="19" t="s">
        <v>24</v>
      </c>
      <c r="L180" s="19" t="s">
        <v>42</v>
      </c>
    </row>
    <row r="181" spans="1:12" ht="15.6">
      <c r="A181" s="19" t="s">
        <v>210</v>
      </c>
      <c r="B181" s="19">
        <v>6</v>
      </c>
      <c r="C181" s="19" t="s">
        <v>37</v>
      </c>
      <c r="D181" s="19">
        <v>197</v>
      </c>
      <c r="E181" s="19">
        <v>7689341110</v>
      </c>
      <c r="F181" s="19" t="s">
        <v>27</v>
      </c>
      <c r="G181" s="19">
        <v>11</v>
      </c>
      <c r="H181" s="19" t="s">
        <v>15</v>
      </c>
      <c r="I181" s="19" t="s">
        <v>16</v>
      </c>
      <c r="J181" s="19" t="s">
        <v>23</v>
      </c>
      <c r="K181" s="19" t="s">
        <v>30</v>
      </c>
      <c r="L181" s="19" t="s">
        <v>31</v>
      </c>
    </row>
    <row r="182" spans="1:12" ht="15.6">
      <c r="A182" s="19" t="s">
        <v>211</v>
      </c>
      <c r="B182" s="19">
        <v>7</v>
      </c>
      <c r="C182" s="19" t="s">
        <v>13</v>
      </c>
      <c r="D182" s="19">
        <v>75</v>
      </c>
      <c r="E182" s="19">
        <v>9045552902</v>
      </c>
      <c r="F182" s="19" t="s">
        <v>14</v>
      </c>
      <c r="G182" s="19">
        <v>12</v>
      </c>
      <c r="H182" s="19" t="s">
        <v>15</v>
      </c>
      <c r="I182" s="19" t="s">
        <v>22</v>
      </c>
      <c r="J182" s="19" t="s">
        <v>17</v>
      </c>
      <c r="K182" s="19" t="s">
        <v>28</v>
      </c>
      <c r="L182" s="19" t="s">
        <v>42</v>
      </c>
    </row>
    <row r="183" spans="1:12" ht="15.6">
      <c r="A183" s="19" t="s">
        <v>212</v>
      </c>
      <c r="B183" s="19">
        <v>8</v>
      </c>
      <c r="C183" s="19" t="s">
        <v>13</v>
      </c>
      <c r="D183" s="19">
        <v>37</v>
      </c>
      <c r="E183" s="19">
        <v>9167716884</v>
      </c>
      <c r="F183" s="19" t="s">
        <v>14</v>
      </c>
      <c r="G183" s="19">
        <v>13</v>
      </c>
      <c r="H183" s="19" t="s">
        <v>33</v>
      </c>
      <c r="I183" s="19" t="s">
        <v>22</v>
      </c>
      <c r="J183" s="19" t="s">
        <v>23</v>
      </c>
      <c r="K183" s="19" t="s">
        <v>28</v>
      </c>
      <c r="L183" s="19" t="s">
        <v>28</v>
      </c>
    </row>
    <row r="184" spans="1:12" ht="15.6">
      <c r="A184" s="19" t="s">
        <v>213</v>
      </c>
      <c r="B184" s="19">
        <v>9</v>
      </c>
      <c r="C184" s="19" t="s">
        <v>37</v>
      </c>
      <c r="D184" s="19">
        <v>38</v>
      </c>
      <c r="E184" s="19">
        <v>8184238398</v>
      </c>
      <c r="F184" s="19" t="s">
        <v>27</v>
      </c>
      <c r="G184" s="19">
        <v>14</v>
      </c>
      <c r="H184" s="19" t="s">
        <v>15</v>
      </c>
      <c r="I184" s="19" t="s">
        <v>16</v>
      </c>
      <c r="J184" s="19" t="s">
        <v>23</v>
      </c>
      <c r="K184" s="19" t="s">
        <v>24</v>
      </c>
      <c r="L184" s="19" t="s">
        <v>42</v>
      </c>
    </row>
    <row r="185" spans="1:12" ht="15.6">
      <c r="A185" s="19" t="s">
        <v>214</v>
      </c>
      <c r="B185" s="19">
        <v>7</v>
      </c>
      <c r="C185" s="19" t="s">
        <v>21</v>
      </c>
      <c r="D185" s="19">
        <v>143</v>
      </c>
      <c r="E185" s="19">
        <v>7193210449</v>
      </c>
      <c r="F185" s="19" t="s">
        <v>14</v>
      </c>
      <c r="G185" s="19">
        <v>13</v>
      </c>
      <c r="H185" s="19" t="s">
        <v>15</v>
      </c>
      <c r="I185" s="19" t="s">
        <v>16</v>
      </c>
      <c r="J185" s="19" t="s">
        <v>17</v>
      </c>
      <c r="K185" s="19" t="s">
        <v>30</v>
      </c>
      <c r="L185" s="19" t="s">
        <v>31</v>
      </c>
    </row>
    <row r="186" spans="1:12" ht="15.6">
      <c r="A186" s="19" t="s">
        <v>215</v>
      </c>
      <c r="B186" s="19">
        <v>9</v>
      </c>
      <c r="C186" s="19" t="s">
        <v>21</v>
      </c>
      <c r="D186" s="19">
        <v>80</v>
      </c>
      <c r="E186" s="19">
        <v>6057377980</v>
      </c>
      <c r="F186" s="19" t="s">
        <v>27</v>
      </c>
      <c r="G186" s="19">
        <v>14</v>
      </c>
      <c r="H186" s="19" t="s">
        <v>33</v>
      </c>
      <c r="I186" s="19" t="s">
        <v>16</v>
      </c>
      <c r="J186" s="19" t="s">
        <v>23</v>
      </c>
      <c r="K186" s="19" t="s">
        <v>18</v>
      </c>
      <c r="L186" s="19" t="s">
        <v>28</v>
      </c>
    </row>
    <row r="187" spans="1:12" ht="15.6">
      <c r="A187" s="19" t="s">
        <v>216</v>
      </c>
      <c r="B187" s="19">
        <v>6</v>
      </c>
      <c r="C187" s="19" t="s">
        <v>21</v>
      </c>
      <c r="D187" s="19">
        <v>183</v>
      </c>
      <c r="E187" s="19">
        <v>9157164063</v>
      </c>
      <c r="F187" s="19" t="s">
        <v>14</v>
      </c>
      <c r="G187" s="19">
        <v>11</v>
      </c>
      <c r="H187" s="19" t="s">
        <v>33</v>
      </c>
      <c r="I187" s="19" t="s">
        <v>16</v>
      </c>
      <c r="J187" s="19" t="s">
        <v>23</v>
      </c>
      <c r="K187" s="19" t="s">
        <v>30</v>
      </c>
      <c r="L187" s="19" t="s">
        <v>19</v>
      </c>
    </row>
    <row r="188" spans="1:12" ht="15.6">
      <c r="A188" s="19" t="s">
        <v>217</v>
      </c>
      <c r="B188" s="19">
        <v>7</v>
      </c>
      <c r="C188" s="19" t="s">
        <v>21</v>
      </c>
      <c r="D188" s="19">
        <v>64</v>
      </c>
      <c r="E188" s="19">
        <v>7548061947</v>
      </c>
      <c r="F188" s="19" t="s">
        <v>27</v>
      </c>
      <c r="G188" s="19">
        <v>12</v>
      </c>
      <c r="H188" s="19" t="s">
        <v>33</v>
      </c>
      <c r="I188" s="19" t="s">
        <v>16</v>
      </c>
      <c r="J188" s="19" t="s">
        <v>17</v>
      </c>
      <c r="K188" s="19" t="s">
        <v>24</v>
      </c>
      <c r="L188" s="19" t="s">
        <v>19</v>
      </c>
    </row>
    <row r="189" spans="1:12" ht="15.6">
      <c r="A189" s="19" t="s">
        <v>218</v>
      </c>
      <c r="B189" s="19">
        <v>6</v>
      </c>
      <c r="C189" s="19" t="s">
        <v>21</v>
      </c>
      <c r="D189" s="19">
        <v>70</v>
      </c>
      <c r="E189" s="19">
        <v>6601978313</v>
      </c>
      <c r="F189" s="19" t="s">
        <v>27</v>
      </c>
      <c r="G189" s="19">
        <v>11</v>
      </c>
      <c r="H189" s="19" t="s">
        <v>33</v>
      </c>
      <c r="I189" s="19" t="s">
        <v>22</v>
      </c>
      <c r="J189" s="19" t="s">
        <v>23</v>
      </c>
      <c r="K189" s="19" t="s">
        <v>24</v>
      </c>
      <c r="L189" s="19" t="s">
        <v>42</v>
      </c>
    </row>
    <row r="190" spans="1:12" ht="15.6">
      <c r="A190" s="19" t="s">
        <v>219</v>
      </c>
      <c r="B190" s="19">
        <v>10</v>
      </c>
      <c r="C190" s="19" t="s">
        <v>37</v>
      </c>
      <c r="D190" s="19">
        <v>194</v>
      </c>
      <c r="E190" s="19">
        <v>6452874707</v>
      </c>
      <c r="F190" s="19" t="s">
        <v>14</v>
      </c>
      <c r="G190" s="19">
        <v>16</v>
      </c>
      <c r="H190" s="19" t="s">
        <v>15</v>
      </c>
      <c r="I190" s="19" t="s">
        <v>22</v>
      </c>
      <c r="J190" s="19" t="s">
        <v>17</v>
      </c>
      <c r="K190" s="19" t="s">
        <v>24</v>
      </c>
      <c r="L190" s="19" t="s">
        <v>42</v>
      </c>
    </row>
    <row r="191" spans="1:12" ht="15.6">
      <c r="A191" s="19" t="s">
        <v>220</v>
      </c>
      <c r="B191" s="19">
        <v>6</v>
      </c>
      <c r="C191" s="19" t="s">
        <v>26</v>
      </c>
      <c r="D191" s="19">
        <v>10</v>
      </c>
      <c r="E191" s="19">
        <v>8176425970</v>
      </c>
      <c r="F191" s="19" t="s">
        <v>14</v>
      </c>
      <c r="G191" s="19">
        <v>11</v>
      </c>
      <c r="H191" s="19" t="s">
        <v>15</v>
      </c>
      <c r="I191" s="19" t="s">
        <v>22</v>
      </c>
      <c r="J191" s="19" t="s">
        <v>23</v>
      </c>
      <c r="K191" s="19" t="s">
        <v>28</v>
      </c>
      <c r="L191" s="19" t="s">
        <v>31</v>
      </c>
    </row>
    <row r="192" spans="1:12" ht="15.6">
      <c r="A192" s="19" t="s">
        <v>221</v>
      </c>
      <c r="B192" s="19">
        <v>10</v>
      </c>
      <c r="C192" s="19" t="s">
        <v>21</v>
      </c>
      <c r="D192" s="19">
        <v>191</v>
      </c>
      <c r="E192" s="19">
        <v>7681465244</v>
      </c>
      <c r="F192" s="19" t="s">
        <v>14</v>
      </c>
      <c r="G192" s="19">
        <v>16</v>
      </c>
      <c r="H192" s="19" t="s">
        <v>33</v>
      </c>
      <c r="I192" s="19" t="s">
        <v>22</v>
      </c>
      <c r="J192" s="19" t="s">
        <v>17</v>
      </c>
      <c r="K192" s="19" t="s">
        <v>24</v>
      </c>
      <c r="L192" s="19" t="s">
        <v>31</v>
      </c>
    </row>
    <row r="193" spans="1:12" ht="15.6">
      <c r="A193" s="19" t="s">
        <v>222</v>
      </c>
      <c r="B193" s="19">
        <v>8</v>
      </c>
      <c r="C193" s="19" t="s">
        <v>26</v>
      </c>
      <c r="D193" s="19">
        <v>96</v>
      </c>
      <c r="E193" s="19">
        <v>9243106463</v>
      </c>
      <c r="F193" s="19" t="s">
        <v>27</v>
      </c>
      <c r="G193" s="19">
        <v>14</v>
      </c>
      <c r="H193" s="19" t="s">
        <v>15</v>
      </c>
      <c r="I193" s="19" t="s">
        <v>22</v>
      </c>
      <c r="J193" s="19" t="s">
        <v>17</v>
      </c>
      <c r="K193" s="19" t="s">
        <v>28</v>
      </c>
      <c r="L193" s="19" t="s">
        <v>42</v>
      </c>
    </row>
    <row r="194" spans="1:12" ht="15.6">
      <c r="A194" s="19" t="s">
        <v>223</v>
      </c>
      <c r="B194" s="19">
        <v>8</v>
      </c>
      <c r="C194" s="19" t="s">
        <v>26</v>
      </c>
      <c r="D194" s="19">
        <v>4</v>
      </c>
      <c r="E194" s="19">
        <v>9103155178</v>
      </c>
      <c r="F194" s="19" t="s">
        <v>14</v>
      </c>
      <c r="G194" s="19">
        <v>13</v>
      </c>
      <c r="H194" s="19" t="s">
        <v>15</v>
      </c>
      <c r="I194" s="19" t="s">
        <v>22</v>
      </c>
      <c r="J194" s="19" t="s">
        <v>23</v>
      </c>
      <c r="K194" s="19" t="s">
        <v>28</v>
      </c>
      <c r="L194" s="19" t="s">
        <v>42</v>
      </c>
    </row>
    <row r="195" spans="1:12" ht="15.6">
      <c r="A195" s="19" t="s">
        <v>224</v>
      </c>
      <c r="B195" s="19">
        <v>9</v>
      </c>
      <c r="C195" s="19" t="s">
        <v>37</v>
      </c>
      <c r="D195" s="19">
        <v>35</v>
      </c>
      <c r="E195" s="19">
        <v>9998165013</v>
      </c>
      <c r="F195" s="19" t="s">
        <v>14</v>
      </c>
      <c r="G195" s="19">
        <v>14</v>
      </c>
      <c r="H195" s="19" t="s">
        <v>33</v>
      </c>
      <c r="I195" s="19" t="s">
        <v>22</v>
      </c>
      <c r="J195" s="19" t="s">
        <v>23</v>
      </c>
      <c r="K195" s="19" t="s">
        <v>24</v>
      </c>
      <c r="L195" s="19" t="s">
        <v>31</v>
      </c>
    </row>
    <row r="196" spans="1:12" ht="15.6">
      <c r="A196" s="19" t="s">
        <v>225</v>
      </c>
      <c r="B196" s="19">
        <v>8</v>
      </c>
      <c r="C196" s="19" t="s">
        <v>13</v>
      </c>
      <c r="D196" s="19">
        <v>198</v>
      </c>
      <c r="E196" s="19">
        <v>8342877034</v>
      </c>
      <c r="F196" s="19" t="s">
        <v>27</v>
      </c>
      <c r="G196" s="19">
        <v>14</v>
      </c>
      <c r="H196" s="19" t="s">
        <v>33</v>
      </c>
      <c r="I196" s="19" t="s">
        <v>22</v>
      </c>
      <c r="J196" s="19" t="s">
        <v>23</v>
      </c>
      <c r="K196" s="19" t="s">
        <v>24</v>
      </c>
      <c r="L196" s="19" t="s">
        <v>28</v>
      </c>
    </row>
    <row r="197" spans="1:12" ht="15.6">
      <c r="A197" s="19" t="s">
        <v>226</v>
      </c>
      <c r="B197" s="19">
        <v>8</v>
      </c>
      <c r="C197" s="19" t="s">
        <v>26</v>
      </c>
      <c r="D197" s="19">
        <v>180</v>
      </c>
      <c r="E197" s="19">
        <v>9423117891</v>
      </c>
      <c r="F197" s="19" t="s">
        <v>14</v>
      </c>
      <c r="G197" s="19">
        <v>13</v>
      </c>
      <c r="H197" s="19" t="s">
        <v>33</v>
      </c>
      <c r="I197" s="19" t="s">
        <v>22</v>
      </c>
      <c r="J197" s="19" t="s">
        <v>23</v>
      </c>
      <c r="K197" s="19" t="s">
        <v>28</v>
      </c>
      <c r="L197" s="19" t="s">
        <v>28</v>
      </c>
    </row>
    <row r="198" spans="1:12" ht="15.6">
      <c r="A198" s="19" t="s">
        <v>227</v>
      </c>
      <c r="B198" s="19">
        <v>8</v>
      </c>
      <c r="C198" s="19" t="s">
        <v>26</v>
      </c>
      <c r="D198" s="19">
        <v>19</v>
      </c>
      <c r="E198" s="19">
        <v>6798431187</v>
      </c>
      <c r="F198" s="19" t="s">
        <v>27</v>
      </c>
      <c r="G198" s="19">
        <v>14</v>
      </c>
      <c r="H198" s="19" t="s">
        <v>15</v>
      </c>
      <c r="I198" s="19" t="s">
        <v>22</v>
      </c>
      <c r="J198" s="19" t="s">
        <v>23</v>
      </c>
      <c r="K198" s="19" t="s">
        <v>28</v>
      </c>
      <c r="L198" s="19" t="s">
        <v>31</v>
      </c>
    </row>
    <row r="199" spans="1:12" ht="15.6">
      <c r="A199" s="19" t="s">
        <v>228</v>
      </c>
      <c r="B199" s="19">
        <v>8</v>
      </c>
      <c r="C199" s="19" t="s">
        <v>13</v>
      </c>
      <c r="D199" s="19">
        <v>143</v>
      </c>
      <c r="E199" s="19">
        <v>9931043083</v>
      </c>
      <c r="F199" s="19" t="s">
        <v>27</v>
      </c>
      <c r="G199" s="19">
        <v>13</v>
      </c>
      <c r="H199" s="19" t="s">
        <v>15</v>
      </c>
      <c r="I199" s="19" t="s">
        <v>22</v>
      </c>
      <c r="J199" s="19" t="s">
        <v>17</v>
      </c>
      <c r="K199" s="19" t="s">
        <v>28</v>
      </c>
      <c r="L199" s="19" t="s">
        <v>42</v>
      </c>
    </row>
    <row r="200" spans="1:12" ht="15.6">
      <c r="A200" s="19" t="s">
        <v>229</v>
      </c>
      <c r="B200" s="19">
        <v>8</v>
      </c>
      <c r="C200" s="19" t="s">
        <v>37</v>
      </c>
      <c r="D200" s="19">
        <v>166</v>
      </c>
      <c r="E200" s="19">
        <v>6939851105</v>
      </c>
      <c r="F200" s="19" t="s">
        <v>14</v>
      </c>
      <c r="G200" s="19">
        <v>14</v>
      </c>
      <c r="H200" s="19" t="s">
        <v>33</v>
      </c>
      <c r="I200" s="19" t="s">
        <v>16</v>
      </c>
      <c r="J200" s="19" t="s">
        <v>17</v>
      </c>
      <c r="K200" s="19" t="s">
        <v>28</v>
      </c>
      <c r="L200" s="19" t="s">
        <v>19</v>
      </c>
    </row>
    <row r="201" spans="1:12" ht="15.6">
      <c r="A201" s="19" t="s">
        <v>230</v>
      </c>
      <c r="B201" s="19">
        <v>9</v>
      </c>
      <c r="C201" s="19" t="s">
        <v>13</v>
      </c>
      <c r="D201" s="19">
        <v>98</v>
      </c>
      <c r="E201" s="19">
        <v>6739762162</v>
      </c>
      <c r="F201" s="19" t="s">
        <v>27</v>
      </c>
      <c r="G201" s="19">
        <v>15</v>
      </c>
      <c r="H201" s="19" t="s">
        <v>33</v>
      </c>
      <c r="I201" s="19" t="s">
        <v>16</v>
      </c>
      <c r="J201" s="19" t="s">
        <v>17</v>
      </c>
      <c r="K201" s="19" t="s">
        <v>18</v>
      </c>
      <c r="L201" s="19" t="s">
        <v>28</v>
      </c>
    </row>
    <row r="202" spans="1:12" ht="15.6">
      <c r="A202" s="19" t="s">
        <v>231</v>
      </c>
      <c r="B202" s="19">
        <v>7</v>
      </c>
      <c r="C202" s="19" t="s">
        <v>37</v>
      </c>
      <c r="D202" s="19">
        <v>123</v>
      </c>
      <c r="E202" s="19">
        <v>6182695240</v>
      </c>
      <c r="F202" s="19" t="s">
        <v>27</v>
      </c>
      <c r="G202" s="19">
        <v>12</v>
      </c>
      <c r="H202" s="19" t="s">
        <v>15</v>
      </c>
      <c r="I202" s="19" t="s">
        <v>22</v>
      </c>
      <c r="J202" s="19" t="s">
        <v>17</v>
      </c>
      <c r="K202" s="19" t="s">
        <v>28</v>
      </c>
      <c r="L202" s="19" t="s">
        <v>42</v>
      </c>
    </row>
    <row r="203" spans="1:12" ht="15.6">
      <c r="A203" s="19" t="s">
        <v>232</v>
      </c>
      <c r="B203" s="19">
        <v>10</v>
      </c>
      <c r="C203" s="19" t="s">
        <v>21</v>
      </c>
      <c r="D203" s="19">
        <v>134</v>
      </c>
      <c r="E203" s="19">
        <v>9302381821</v>
      </c>
      <c r="F203" s="19" t="s">
        <v>27</v>
      </c>
      <c r="G203" s="19">
        <v>15</v>
      </c>
      <c r="H203" s="19" t="s">
        <v>15</v>
      </c>
      <c r="I203" s="19" t="s">
        <v>22</v>
      </c>
      <c r="J203" s="19" t="s">
        <v>23</v>
      </c>
      <c r="K203" s="19" t="s">
        <v>28</v>
      </c>
      <c r="L203" s="19" t="s">
        <v>28</v>
      </c>
    </row>
    <row r="204" spans="1:12" ht="15.6">
      <c r="A204" s="19" t="s">
        <v>233</v>
      </c>
      <c r="B204" s="19">
        <v>7</v>
      </c>
      <c r="C204" s="19" t="s">
        <v>37</v>
      </c>
      <c r="D204" s="19">
        <v>142</v>
      </c>
      <c r="E204" s="19">
        <v>9144162847</v>
      </c>
      <c r="F204" s="19" t="s">
        <v>27</v>
      </c>
      <c r="G204" s="19">
        <v>13</v>
      </c>
      <c r="H204" s="19" t="s">
        <v>33</v>
      </c>
      <c r="I204" s="19" t="s">
        <v>16</v>
      </c>
      <c r="J204" s="19" t="s">
        <v>23</v>
      </c>
      <c r="K204" s="19" t="s">
        <v>28</v>
      </c>
      <c r="L204" s="19" t="s">
        <v>42</v>
      </c>
    </row>
    <row r="205" spans="1:12" ht="15.6">
      <c r="A205" s="19" t="s">
        <v>234</v>
      </c>
      <c r="B205" s="19">
        <v>10</v>
      </c>
      <c r="C205" s="19" t="s">
        <v>13</v>
      </c>
      <c r="D205" s="19">
        <v>179</v>
      </c>
      <c r="E205" s="19">
        <v>9689116737</v>
      </c>
      <c r="F205" s="19" t="s">
        <v>14</v>
      </c>
      <c r="G205" s="19">
        <v>15</v>
      </c>
      <c r="H205" s="19" t="s">
        <v>15</v>
      </c>
      <c r="I205" s="19" t="s">
        <v>22</v>
      </c>
      <c r="J205" s="19" t="s">
        <v>17</v>
      </c>
      <c r="K205" s="19" t="s">
        <v>49</v>
      </c>
      <c r="L205" s="19" t="s">
        <v>28</v>
      </c>
    </row>
    <row r="206" spans="1:12" ht="15.6">
      <c r="A206" s="19" t="s">
        <v>235</v>
      </c>
      <c r="B206" s="19">
        <v>9</v>
      </c>
      <c r="C206" s="19" t="s">
        <v>13</v>
      </c>
      <c r="D206" s="19">
        <v>199</v>
      </c>
      <c r="E206" s="19">
        <v>6596323831</v>
      </c>
      <c r="F206" s="19" t="s">
        <v>14</v>
      </c>
      <c r="G206" s="19">
        <v>15</v>
      </c>
      <c r="H206" s="19" t="s">
        <v>15</v>
      </c>
      <c r="I206" s="19" t="s">
        <v>22</v>
      </c>
      <c r="J206" s="19" t="s">
        <v>23</v>
      </c>
      <c r="K206" s="19" t="s">
        <v>28</v>
      </c>
      <c r="L206" s="19" t="s">
        <v>19</v>
      </c>
    </row>
    <row r="207" spans="1:12" ht="15.6">
      <c r="A207" s="19" t="s">
        <v>236</v>
      </c>
      <c r="B207" s="19">
        <v>8</v>
      </c>
      <c r="C207" s="19" t="s">
        <v>26</v>
      </c>
      <c r="D207" s="19">
        <v>63</v>
      </c>
      <c r="E207" s="19">
        <v>8276021547</v>
      </c>
      <c r="F207" s="19" t="s">
        <v>27</v>
      </c>
      <c r="G207" s="19">
        <v>14</v>
      </c>
      <c r="H207" s="19" t="s">
        <v>33</v>
      </c>
      <c r="I207" s="19" t="s">
        <v>16</v>
      </c>
      <c r="J207" s="19" t="s">
        <v>23</v>
      </c>
      <c r="K207" s="19" t="s">
        <v>30</v>
      </c>
      <c r="L207" s="19" t="s">
        <v>19</v>
      </c>
    </row>
    <row r="208" spans="1:12" ht="15.6">
      <c r="A208" s="19" t="s">
        <v>237</v>
      </c>
      <c r="B208" s="19">
        <v>8</v>
      </c>
      <c r="C208" s="19" t="s">
        <v>21</v>
      </c>
      <c r="D208" s="19">
        <v>53</v>
      </c>
      <c r="E208" s="19">
        <v>6002938615</v>
      </c>
      <c r="F208" s="19" t="s">
        <v>27</v>
      </c>
      <c r="G208" s="19">
        <v>14</v>
      </c>
      <c r="H208" s="19" t="s">
        <v>33</v>
      </c>
      <c r="I208" s="19" t="s">
        <v>16</v>
      </c>
      <c r="J208" s="19" t="s">
        <v>23</v>
      </c>
      <c r="K208" s="19" t="s">
        <v>24</v>
      </c>
      <c r="L208" s="19" t="s">
        <v>19</v>
      </c>
    </row>
    <row r="209" spans="1:12" ht="15.6">
      <c r="A209" s="19" t="s">
        <v>238</v>
      </c>
      <c r="B209" s="19">
        <v>7</v>
      </c>
      <c r="C209" s="19" t="s">
        <v>26</v>
      </c>
      <c r="D209" s="19">
        <v>10</v>
      </c>
      <c r="E209" s="19">
        <v>6217737939</v>
      </c>
      <c r="F209" s="19" t="s">
        <v>14</v>
      </c>
      <c r="G209" s="19">
        <v>13</v>
      </c>
      <c r="H209" s="19" t="s">
        <v>15</v>
      </c>
      <c r="I209" s="19" t="s">
        <v>16</v>
      </c>
      <c r="J209" s="19" t="s">
        <v>23</v>
      </c>
      <c r="K209" s="19" t="s">
        <v>18</v>
      </c>
      <c r="L209" s="19" t="s">
        <v>28</v>
      </c>
    </row>
    <row r="210" spans="1:12" ht="15.6">
      <c r="A210" s="19" t="s">
        <v>239</v>
      </c>
      <c r="B210" s="19">
        <v>7</v>
      </c>
      <c r="C210" s="19" t="s">
        <v>13</v>
      </c>
      <c r="D210" s="19">
        <v>155</v>
      </c>
      <c r="E210" s="19">
        <v>6385115680</v>
      </c>
      <c r="F210" s="19" t="s">
        <v>14</v>
      </c>
      <c r="G210" s="19">
        <v>12</v>
      </c>
      <c r="H210" s="19" t="s">
        <v>15</v>
      </c>
      <c r="I210" s="19" t="s">
        <v>22</v>
      </c>
      <c r="J210" s="19" t="s">
        <v>17</v>
      </c>
      <c r="K210" s="19" t="s">
        <v>18</v>
      </c>
      <c r="L210" s="19" t="s">
        <v>42</v>
      </c>
    </row>
    <row r="211" spans="1:12" ht="15.6">
      <c r="A211" s="19" t="s">
        <v>240</v>
      </c>
      <c r="B211" s="19">
        <v>6</v>
      </c>
      <c r="C211" s="19" t="s">
        <v>21</v>
      </c>
      <c r="D211" s="19">
        <v>92</v>
      </c>
      <c r="E211" s="19">
        <v>8479214294</v>
      </c>
      <c r="F211" s="19" t="s">
        <v>27</v>
      </c>
      <c r="G211" s="19">
        <v>11</v>
      </c>
      <c r="H211" s="19" t="s">
        <v>33</v>
      </c>
      <c r="I211" s="19" t="s">
        <v>22</v>
      </c>
      <c r="J211" s="19" t="s">
        <v>23</v>
      </c>
      <c r="K211" s="19" t="s">
        <v>28</v>
      </c>
      <c r="L211" s="19" t="s">
        <v>28</v>
      </c>
    </row>
    <row r="212" spans="1:12" ht="15.6">
      <c r="A212" s="19" t="s">
        <v>241</v>
      </c>
      <c r="B212" s="19">
        <v>10</v>
      </c>
      <c r="C212" s="19" t="s">
        <v>13</v>
      </c>
      <c r="D212" s="19">
        <v>73</v>
      </c>
      <c r="E212" s="19">
        <v>8445660221</v>
      </c>
      <c r="F212" s="19" t="s">
        <v>27</v>
      </c>
      <c r="G212" s="19">
        <v>16</v>
      </c>
      <c r="H212" s="19" t="s">
        <v>15</v>
      </c>
      <c r="I212" s="19" t="s">
        <v>22</v>
      </c>
      <c r="J212" s="19" t="s">
        <v>17</v>
      </c>
      <c r="K212" s="19" t="s">
        <v>24</v>
      </c>
      <c r="L212" s="19" t="s">
        <v>31</v>
      </c>
    </row>
    <row r="213" spans="1:12" ht="15.6">
      <c r="A213" s="19" t="s">
        <v>242</v>
      </c>
      <c r="B213" s="19">
        <v>10</v>
      </c>
      <c r="C213" s="19" t="s">
        <v>37</v>
      </c>
      <c r="D213" s="19">
        <v>114</v>
      </c>
      <c r="E213" s="19">
        <v>6203691716</v>
      </c>
      <c r="F213" s="19" t="s">
        <v>27</v>
      </c>
      <c r="G213" s="19">
        <v>15</v>
      </c>
      <c r="H213" s="19" t="s">
        <v>33</v>
      </c>
      <c r="I213" s="19" t="s">
        <v>22</v>
      </c>
      <c r="J213" s="19" t="s">
        <v>17</v>
      </c>
      <c r="K213" s="19" t="s">
        <v>49</v>
      </c>
      <c r="L213" s="19" t="s">
        <v>31</v>
      </c>
    </row>
    <row r="214" spans="1:12" ht="15.6">
      <c r="A214" s="19" t="s">
        <v>243</v>
      </c>
      <c r="B214" s="19">
        <v>6</v>
      </c>
      <c r="C214" s="19" t="s">
        <v>13</v>
      </c>
      <c r="D214" s="19">
        <v>128</v>
      </c>
      <c r="E214" s="19">
        <v>6302148732</v>
      </c>
      <c r="F214" s="19" t="s">
        <v>14</v>
      </c>
      <c r="G214" s="19">
        <v>11</v>
      </c>
      <c r="H214" s="19" t="s">
        <v>33</v>
      </c>
      <c r="I214" s="19" t="s">
        <v>22</v>
      </c>
      <c r="J214" s="19" t="s">
        <v>23</v>
      </c>
      <c r="K214" s="19" t="s">
        <v>49</v>
      </c>
      <c r="L214" s="19" t="s">
        <v>28</v>
      </c>
    </row>
    <row r="215" spans="1:12" ht="15.6">
      <c r="A215" s="19" t="s">
        <v>244</v>
      </c>
      <c r="B215" s="19">
        <v>7</v>
      </c>
      <c r="C215" s="19" t="s">
        <v>13</v>
      </c>
      <c r="D215" s="19">
        <v>87</v>
      </c>
      <c r="E215" s="19">
        <v>9947786884</v>
      </c>
      <c r="F215" s="19" t="s">
        <v>27</v>
      </c>
      <c r="G215" s="19">
        <v>13</v>
      </c>
      <c r="H215" s="19" t="s">
        <v>15</v>
      </c>
      <c r="I215" s="19" t="s">
        <v>22</v>
      </c>
      <c r="J215" s="19" t="s">
        <v>17</v>
      </c>
      <c r="K215" s="19" t="s">
        <v>28</v>
      </c>
      <c r="L215" s="19" t="s">
        <v>19</v>
      </c>
    </row>
    <row r="216" spans="1:12" ht="15.6">
      <c r="A216" s="19" t="s">
        <v>245</v>
      </c>
      <c r="B216" s="19">
        <v>7</v>
      </c>
      <c r="C216" s="19" t="s">
        <v>21</v>
      </c>
      <c r="D216" s="19">
        <v>19</v>
      </c>
      <c r="E216" s="19">
        <v>8247467788</v>
      </c>
      <c r="F216" s="19" t="s">
        <v>14</v>
      </c>
      <c r="G216" s="19">
        <v>12</v>
      </c>
      <c r="H216" s="19" t="s">
        <v>15</v>
      </c>
      <c r="I216" s="19" t="s">
        <v>16</v>
      </c>
      <c r="J216" s="19" t="s">
        <v>23</v>
      </c>
      <c r="K216" s="19" t="s">
        <v>28</v>
      </c>
      <c r="L216" s="19" t="s">
        <v>28</v>
      </c>
    </row>
    <row r="217" spans="1:12" ht="15.6">
      <c r="A217" s="19" t="s">
        <v>246</v>
      </c>
      <c r="B217" s="19">
        <v>6</v>
      </c>
      <c r="C217" s="19" t="s">
        <v>26</v>
      </c>
      <c r="D217" s="19">
        <v>137</v>
      </c>
      <c r="E217" s="19">
        <v>7208099337</v>
      </c>
      <c r="F217" s="19" t="s">
        <v>14</v>
      </c>
      <c r="G217" s="19">
        <v>11</v>
      </c>
      <c r="H217" s="19" t="s">
        <v>15</v>
      </c>
      <c r="I217" s="19" t="s">
        <v>16</v>
      </c>
      <c r="J217" s="19" t="s">
        <v>23</v>
      </c>
      <c r="K217" s="19" t="s">
        <v>18</v>
      </c>
      <c r="L217" s="19" t="s">
        <v>31</v>
      </c>
    </row>
    <row r="218" spans="1:12" ht="15.6">
      <c r="A218" s="19" t="s">
        <v>247</v>
      </c>
      <c r="B218" s="19">
        <v>7</v>
      </c>
      <c r="C218" s="19" t="s">
        <v>13</v>
      </c>
      <c r="D218" s="19">
        <v>156</v>
      </c>
      <c r="E218" s="19">
        <v>6920328876</v>
      </c>
      <c r="F218" s="19" t="s">
        <v>14</v>
      </c>
      <c r="G218" s="19">
        <v>13</v>
      </c>
      <c r="H218" s="19" t="s">
        <v>15</v>
      </c>
      <c r="I218" s="19" t="s">
        <v>22</v>
      </c>
      <c r="J218" s="19" t="s">
        <v>17</v>
      </c>
      <c r="K218" s="19" t="s">
        <v>28</v>
      </c>
      <c r="L218" s="19" t="s">
        <v>28</v>
      </c>
    </row>
    <row r="219" spans="1:12" ht="15.6">
      <c r="A219" s="19" t="s">
        <v>248</v>
      </c>
      <c r="B219" s="19">
        <v>7</v>
      </c>
      <c r="C219" s="19" t="s">
        <v>37</v>
      </c>
      <c r="D219" s="19">
        <v>14</v>
      </c>
      <c r="E219" s="19">
        <v>8644786419</v>
      </c>
      <c r="F219" s="19" t="s">
        <v>14</v>
      </c>
      <c r="G219" s="19">
        <v>13</v>
      </c>
      <c r="H219" s="19" t="s">
        <v>15</v>
      </c>
      <c r="I219" s="19" t="s">
        <v>22</v>
      </c>
      <c r="J219" s="19" t="s">
        <v>23</v>
      </c>
      <c r="K219" s="19" t="s">
        <v>28</v>
      </c>
      <c r="L219" s="19" t="s">
        <v>28</v>
      </c>
    </row>
    <row r="220" spans="1:12" ht="15.6">
      <c r="A220" s="19" t="s">
        <v>249</v>
      </c>
      <c r="B220" s="19">
        <v>9</v>
      </c>
      <c r="C220" s="19" t="s">
        <v>26</v>
      </c>
      <c r="D220" s="19">
        <v>57</v>
      </c>
      <c r="E220" s="19">
        <v>6396500702</v>
      </c>
      <c r="F220" s="19" t="s">
        <v>14</v>
      </c>
      <c r="G220" s="19">
        <v>15</v>
      </c>
      <c r="H220" s="19" t="s">
        <v>33</v>
      </c>
      <c r="I220" s="19" t="s">
        <v>22</v>
      </c>
      <c r="J220" s="19" t="s">
        <v>23</v>
      </c>
      <c r="K220" s="19" t="s">
        <v>28</v>
      </c>
      <c r="L220" s="19" t="s">
        <v>28</v>
      </c>
    </row>
    <row r="221" spans="1:12" ht="15.6">
      <c r="A221" s="19" t="s">
        <v>250</v>
      </c>
      <c r="B221" s="19">
        <v>8</v>
      </c>
      <c r="C221" s="19" t="s">
        <v>21</v>
      </c>
      <c r="D221" s="19">
        <v>15</v>
      </c>
      <c r="E221" s="19">
        <v>6344008570</v>
      </c>
      <c r="F221" s="19" t="s">
        <v>14</v>
      </c>
      <c r="G221" s="19">
        <v>14</v>
      </c>
      <c r="H221" s="19" t="s">
        <v>33</v>
      </c>
      <c r="I221" s="19" t="s">
        <v>22</v>
      </c>
      <c r="J221" s="19" t="s">
        <v>17</v>
      </c>
      <c r="K221" s="19" t="s">
        <v>28</v>
      </c>
      <c r="L221" s="19" t="s">
        <v>31</v>
      </c>
    </row>
    <row r="222" spans="1:12" ht="15.6">
      <c r="A222" s="19" t="s">
        <v>251</v>
      </c>
      <c r="B222" s="19">
        <v>6</v>
      </c>
      <c r="C222" s="19" t="s">
        <v>21</v>
      </c>
      <c r="D222" s="19">
        <v>174</v>
      </c>
      <c r="E222" s="19">
        <v>8392370483</v>
      </c>
      <c r="F222" s="19" t="s">
        <v>14</v>
      </c>
      <c r="G222" s="19">
        <v>11</v>
      </c>
      <c r="H222" s="19" t="s">
        <v>15</v>
      </c>
      <c r="I222" s="19" t="s">
        <v>22</v>
      </c>
      <c r="J222" s="19" t="s">
        <v>23</v>
      </c>
      <c r="K222" s="19" t="s">
        <v>28</v>
      </c>
      <c r="L222" s="19" t="s">
        <v>19</v>
      </c>
    </row>
    <row r="223" spans="1:12" ht="15.6">
      <c r="A223" s="19" t="s">
        <v>252</v>
      </c>
      <c r="B223" s="19">
        <v>6</v>
      </c>
      <c r="C223" s="19" t="s">
        <v>21</v>
      </c>
      <c r="D223" s="19">
        <v>118</v>
      </c>
      <c r="E223" s="19">
        <v>6380975893</v>
      </c>
      <c r="F223" s="19" t="s">
        <v>27</v>
      </c>
      <c r="G223" s="19">
        <v>12</v>
      </c>
      <c r="H223" s="19" t="s">
        <v>15</v>
      </c>
      <c r="I223" s="19" t="s">
        <v>16</v>
      </c>
      <c r="J223" s="19" t="s">
        <v>23</v>
      </c>
      <c r="K223" s="19" t="s">
        <v>30</v>
      </c>
      <c r="L223" s="19" t="s">
        <v>28</v>
      </c>
    </row>
    <row r="224" spans="1:12" ht="15.6">
      <c r="A224" s="19" t="s">
        <v>253</v>
      </c>
      <c r="B224" s="19">
        <v>9</v>
      </c>
      <c r="C224" s="19" t="s">
        <v>21</v>
      </c>
      <c r="D224" s="19">
        <v>118</v>
      </c>
      <c r="E224" s="19">
        <v>7642058918</v>
      </c>
      <c r="F224" s="19" t="s">
        <v>27</v>
      </c>
      <c r="G224" s="19">
        <v>15</v>
      </c>
      <c r="H224" s="19" t="s">
        <v>15</v>
      </c>
      <c r="I224" s="19" t="s">
        <v>22</v>
      </c>
      <c r="J224" s="19" t="s">
        <v>23</v>
      </c>
      <c r="K224" s="19" t="s">
        <v>18</v>
      </c>
      <c r="L224" s="19" t="s">
        <v>28</v>
      </c>
    </row>
    <row r="225" spans="1:12" ht="15.6">
      <c r="A225" s="19" t="s">
        <v>254</v>
      </c>
      <c r="B225" s="19">
        <v>10</v>
      </c>
      <c r="C225" s="19" t="s">
        <v>37</v>
      </c>
      <c r="D225" s="19">
        <v>51</v>
      </c>
      <c r="E225" s="19">
        <v>6051255469</v>
      </c>
      <c r="F225" s="19" t="s">
        <v>27</v>
      </c>
      <c r="G225" s="19">
        <v>16</v>
      </c>
      <c r="H225" s="19" t="s">
        <v>15</v>
      </c>
      <c r="I225" s="19" t="s">
        <v>16</v>
      </c>
      <c r="J225" s="19" t="s">
        <v>17</v>
      </c>
      <c r="K225" s="19" t="s">
        <v>18</v>
      </c>
      <c r="L225" s="19" t="s">
        <v>19</v>
      </c>
    </row>
    <row r="226" spans="1:12" ht="15.6">
      <c r="A226" s="19" t="s">
        <v>255</v>
      </c>
      <c r="B226" s="19">
        <v>9</v>
      </c>
      <c r="C226" s="19" t="s">
        <v>37</v>
      </c>
      <c r="D226" s="19">
        <v>77</v>
      </c>
      <c r="E226" s="19">
        <v>9337330215</v>
      </c>
      <c r="F226" s="19" t="s">
        <v>27</v>
      </c>
      <c r="G226" s="19">
        <v>15</v>
      </c>
      <c r="H226" s="19" t="s">
        <v>33</v>
      </c>
      <c r="I226" s="19" t="s">
        <v>16</v>
      </c>
      <c r="J226" s="19" t="s">
        <v>17</v>
      </c>
      <c r="K226" s="19" t="s">
        <v>49</v>
      </c>
      <c r="L226" s="19" t="s">
        <v>31</v>
      </c>
    </row>
    <row r="227" spans="1:12" ht="15.6">
      <c r="A227" s="19" t="s">
        <v>256</v>
      </c>
      <c r="B227" s="19">
        <v>10</v>
      </c>
      <c r="C227" s="19" t="s">
        <v>26</v>
      </c>
      <c r="D227" s="19">
        <v>98</v>
      </c>
      <c r="E227" s="19">
        <v>8695510841</v>
      </c>
      <c r="F227" s="19" t="s">
        <v>27</v>
      </c>
      <c r="G227" s="19">
        <v>15</v>
      </c>
      <c r="H227" s="19" t="s">
        <v>15</v>
      </c>
      <c r="I227" s="19" t="s">
        <v>22</v>
      </c>
      <c r="J227" s="19" t="s">
        <v>23</v>
      </c>
      <c r="K227" s="19" t="s">
        <v>24</v>
      </c>
      <c r="L227" s="19" t="s">
        <v>42</v>
      </c>
    </row>
    <row r="228" spans="1:12" ht="15.6">
      <c r="A228" s="19" t="s">
        <v>257</v>
      </c>
      <c r="B228" s="19">
        <v>10</v>
      </c>
      <c r="C228" s="19" t="s">
        <v>37</v>
      </c>
      <c r="D228" s="19">
        <v>97</v>
      </c>
      <c r="E228" s="19">
        <v>8897078343</v>
      </c>
      <c r="F228" s="19" t="s">
        <v>14</v>
      </c>
      <c r="G228" s="19">
        <v>15</v>
      </c>
      <c r="H228" s="19" t="s">
        <v>15</v>
      </c>
      <c r="I228" s="19" t="s">
        <v>16</v>
      </c>
      <c r="J228" s="19" t="s">
        <v>23</v>
      </c>
      <c r="K228" s="19" t="s">
        <v>18</v>
      </c>
      <c r="L228" s="19" t="s">
        <v>42</v>
      </c>
    </row>
    <row r="229" spans="1:12" ht="15.6">
      <c r="A229" s="19" t="s">
        <v>258</v>
      </c>
      <c r="B229" s="19">
        <v>8</v>
      </c>
      <c r="C229" s="19" t="s">
        <v>37</v>
      </c>
      <c r="D229" s="19">
        <v>43</v>
      </c>
      <c r="E229" s="19">
        <v>9010527824</v>
      </c>
      <c r="F229" s="19" t="s">
        <v>14</v>
      </c>
      <c r="G229" s="19">
        <v>14</v>
      </c>
      <c r="H229" s="19" t="s">
        <v>33</v>
      </c>
      <c r="I229" s="19" t="s">
        <v>22</v>
      </c>
      <c r="J229" s="19" t="s">
        <v>23</v>
      </c>
      <c r="K229" s="19" t="s">
        <v>28</v>
      </c>
      <c r="L229" s="19" t="s">
        <v>19</v>
      </c>
    </row>
    <row r="230" spans="1:12" ht="15.6">
      <c r="A230" s="19" t="s">
        <v>259</v>
      </c>
      <c r="B230" s="19">
        <v>9</v>
      </c>
      <c r="C230" s="19" t="s">
        <v>37</v>
      </c>
      <c r="D230" s="19">
        <v>157</v>
      </c>
      <c r="E230" s="19">
        <v>6493609260</v>
      </c>
      <c r="F230" s="19" t="s">
        <v>27</v>
      </c>
      <c r="G230" s="19">
        <v>15</v>
      </c>
      <c r="H230" s="19" t="s">
        <v>33</v>
      </c>
      <c r="I230" s="19" t="s">
        <v>22</v>
      </c>
      <c r="J230" s="19" t="s">
        <v>17</v>
      </c>
      <c r="K230" s="19" t="s">
        <v>28</v>
      </c>
      <c r="L230" s="19" t="s">
        <v>19</v>
      </c>
    </row>
    <row r="231" spans="1:12" ht="15.6">
      <c r="A231" s="19" t="s">
        <v>260</v>
      </c>
      <c r="B231" s="19">
        <v>8</v>
      </c>
      <c r="C231" s="19" t="s">
        <v>13</v>
      </c>
      <c r="D231" s="19">
        <v>84</v>
      </c>
      <c r="E231" s="19">
        <v>8847349772</v>
      </c>
      <c r="F231" s="19" t="s">
        <v>14</v>
      </c>
      <c r="G231" s="19">
        <v>14</v>
      </c>
      <c r="H231" s="19" t="s">
        <v>33</v>
      </c>
      <c r="I231" s="19" t="s">
        <v>16</v>
      </c>
      <c r="J231" s="19" t="s">
        <v>17</v>
      </c>
      <c r="K231" s="19" t="s">
        <v>28</v>
      </c>
      <c r="L231" s="19" t="s">
        <v>19</v>
      </c>
    </row>
    <row r="232" spans="1:12" ht="15.6">
      <c r="A232" s="19" t="s">
        <v>261</v>
      </c>
      <c r="B232" s="19">
        <v>7</v>
      </c>
      <c r="C232" s="19" t="s">
        <v>21</v>
      </c>
      <c r="D232" s="19">
        <v>198</v>
      </c>
      <c r="E232" s="19">
        <v>9702066343</v>
      </c>
      <c r="F232" s="19" t="s">
        <v>27</v>
      </c>
      <c r="G232" s="19">
        <v>12</v>
      </c>
      <c r="H232" s="19" t="s">
        <v>15</v>
      </c>
      <c r="I232" s="19" t="s">
        <v>16</v>
      </c>
      <c r="J232" s="19" t="s">
        <v>23</v>
      </c>
      <c r="K232" s="19" t="s">
        <v>49</v>
      </c>
      <c r="L232" s="19" t="s">
        <v>31</v>
      </c>
    </row>
    <row r="233" spans="1:12" ht="15.6">
      <c r="A233" s="19" t="s">
        <v>262</v>
      </c>
      <c r="B233" s="19">
        <v>6</v>
      </c>
      <c r="C233" s="19" t="s">
        <v>21</v>
      </c>
      <c r="D233" s="19">
        <v>91</v>
      </c>
      <c r="E233" s="19">
        <v>8680073660</v>
      </c>
      <c r="F233" s="19" t="s">
        <v>14</v>
      </c>
      <c r="G233" s="19">
        <v>12</v>
      </c>
      <c r="H233" s="19" t="s">
        <v>33</v>
      </c>
      <c r="I233" s="19" t="s">
        <v>16</v>
      </c>
      <c r="J233" s="19" t="s">
        <v>23</v>
      </c>
      <c r="K233" s="19" t="s">
        <v>18</v>
      </c>
      <c r="L233" s="19" t="s">
        <v>28</v>
      </c>
    </row>
    <row r="234" spans="1:12" ht="15.6">
      <c r="A234" s="19" t="s">
        <v>263</v>
      </c>
      <c r="B234" s="19">
        <v>8</v>
      </c>
      <c r="C234" s="19" t="s">
        <v>21</v>
      </c>
      <c r="D234" s="19">
        <v>36</v>
      </c>
      <c r="E234" s="19">
        <v>7601544397</v>
      </c>
      <c r="F234" s="19" t="s">
        <v>14</v>
      </c>
      <c r="G234" s="19">
        <v>13</v>
      </c>
      <c r="H234" s="19" t="s">
        <v>15</v>
      </c>
      <c r="I234" s="19" t="s">
        <v>22</v>
      </c>
      <c r="J234" s="19" t="s">
        <v>17</v>
      </c>
      <c r="K234" s="19" t="s">
        <v>28</v>
      </c>
      <c r="L234" s="19" t="s">
        <v>42</v>
      </c>
    </row>
    <row r="235" spans="1:12" ht="15.6">
      <c r="A235" s="19" t="s">
        <v>264</v>
      </c>
      <c r="B235" s="19">
        <v>8</v>
      </c>
      <c r="C235" s="19" t="s">
        <v>13</v>
      </c>
      <c r="D235" s="19">
        <v>183</v>
      </c>
      <c r="E235" s="19">
        <v>8580053039</v>
      </c>
      <c r="F235" s="19" t="s">
        <v>14</v>
      </c>
      <c r="G235" s="19">
        <v>13</v>
      </c>
      <c r="H235" s="19" t="s">
        <v>15</v>
      </c>
      <c r="I235" s="19" t="s">
        <v>22</v>
      </c>
      <c r="J235" s="19" t="s">
        <v>17</v>
      </c>
      <c r="K235" s="19" t="s">
        <v>28</v>
      </c>
      <c r="L235" s="19" t="s">
        <v>42</v>
      </c>
    </row>
    <row r="236" spans="1:12" ht="15.6">
      <c r="A236" s="19" t="s">
        <v>265</v>
      </c>
      <c r="B236" s="19">
        <v>10</v>
      </c>
      <c r="C236" s="19" t="s">
        <v>21</v>
      </c>
      <c r="D236" s="19">
        <v>192</v>
      </c>
      <c r="E236" s="19">
        <v>8740033863</v>
      </c>
      <c r="F236" s="19" t="s">
        <v>27</v>
      </c>
      <c r="G236" s="19">
        <v>16</v>
      </c>
      <c r="H236" s="19" t="s">
        <v>33</v>
      </c>
      <c r="I236" s="19" t="s">
        <v>16</v>
      </c>
      <c r="J236" s="19" t="s">
        <v>23</v>
      </c>
      <c r="K236" s="19" t="s">
        <v>24</v>
      </c>
      <c r="L236" s="19" t="s">
        <v>28</v>
      </c>
    </row>
    <row r="237" spans="1:12" ht="15.6">
      <c r="A237" s="19" t="s">
        <v>266</v>
      </c>
      <c r="B237" s="19">
        <v>10</v>
      </c>
      <c r="C237" s="19" t="s">
        <v>13</v>
      </c>
      <c r="D237" s="19">
        <v>34</v>
      </c>
      <c r="E237" s="19">
        <v>7176401128</v>
      </c>
      <c r="F237" s="19" t="s">
        <v>14</v>
      </c>
      <c r="G237" s="19">
        <v>16</v>
      </c>
      <c r="H237" s="19" t="s">
        <v>15</v>
      </c>
      <c r="I237" s="19" t="s">
        <v>22</v>
      </c>
      <c r="J237" s="19" t="s">
        <v>17</v>
      </c>
      <c r="K237" s="19" t="s">
        <v>49</v>
      </c>
      <c r="L237" s="19" t="s">
        <v>28</v>
      </c>
    </row>
    <row r="238" spans="1:12" ht="15.6">
      <c r="A238" s="19" t="s">
        <v>267</v>
      </c>
      <c r="B238" s="19">
        <v>8</v>
      </c>
      <c r="C238" s="19" t="s">
        <v>21</v>
      </c>
      <c r="D238" s="19">
        <v>49</v>
      </c>
      <c r="E238" s="19">
        <v>7517193487</v>
      </c>
      <c r="F238" s="19" t="s">
        <v>27</v>
      </c>
      <c r="G238" s="19">
        <v>13</v>
      </c>
      <c r="H238" s="19" t="s">
        <v>33</v>
      </c>
      <c r="I238" s="19" t="s">
        <v>16</v>
      </c>
      <c r="J238" s="19" t="s">
        <v>17</v>
      </c>
      <c r="K238" s="19" t="s">
        <v>18</v>
      </c>
      <c r="L238" s="19" t="s">
        <v>19</v>
      </c>
    </row>
    <row r="239" spans="1:12" ht="15.6">
      <c r="A239" s="19" t="s">
        <v>268</v>
      </c>
      <c r="B239" s="19">
        <v>8</v>
      </c>
      <c r="C239" s="19" t="s">
        <v>21</v>
      </c>
      <c r="D239" s="19">
        <v>150</v>
      </c>
      <c r="E239" s="19">
        <v>9829315355</v>
      </c>
      <c r="F239" s="19" t="s">
        <v>27</v>
      </c>
      <c r="G239" s="19">
        <v>13</v>
      </c>
      <c r="H239" s="19" t="s">
        <v>15</v>
      </c>
      <c r="I239" s="19" t="s">
        <v>22</v>
      </c>
      <c r="J239" s="19" t="s">
        <v>23</v>
      </c>
      <c r="K239" s="19" t="s">
        <v>24</v>
      </c>
      <c r="L239" s="19" t="s">
        <v>42</v>
      </c>
    </row>
    <row r="240" spans="1:12" ht="15.6">
      <c r="A240" s="19" t="s">
        <v>269</v>
      </c>
      <c r="B240" s="19">
        <v>6</v>
      </c>
      <c r="C240" s="19" t="s">
        <v>13</v>
      </c>
      <c r="D240" s="19">
        <v>75</v>
      </c>
      <c r="E240" s="19">
        <v>7807982793</v>
      </c>
      <c r="F240" s="19" t="s">
        <v>27</v>
      </c>
      <c r="G240" s="19">
        <v>11</v>
      </c>
      <c r="H240" s="19" t="s">
        <v>33</v>
      </c>
      <c r="I240" s="19" t="s">
        <v>22</v>
      </c>
      <c r="J240" s="19" t="s">
        <v>23</v>
      </c>
      <c r="K240" s="19" t="s">
        <v>24</v>
      </c>
      <c r="L240" s="19" t="s">
        <v>31</v>
      </c>
    </row>
    <row r="241" spans="1:12" ht="15.6">
      <c r="A241" s="19" t="s">
        <v>270</v>
      </c>
      <c r="B241" s="19">
        <v>6</v>
      </c>
      <c r="C241" s="19" t="s">
        <v>13</v>
      </c>
      <c r="D241" s="19">
        <v>69</v>
      </c>
      <c r="E241" s="19">
        <v>7643325402</v>
      </c>
      <c r="F241" s="19" t="s">
        <v>27</v>
      </c>
      <c r="G241" s="19">
        <v>12</v>
      </c>
      <c r="H241" s="19" t="s">
        <v>33</v>
      </c>
      <c r="I241" s="19" t="s">
        <v>22</v>
      </c>
      <c r="J241" s="19" t="s">
        <v>23</v>
      </c>
      <c r="K241" s="19" t="s">
        <v>24</v>
      </c>
      <c r="L241" s="19" t="s">
        <v>19</v>
      </c>
    </row>
    <row r="242" spans="1:12" ht="15.6">
      <c r="A242" s="19" t="s">
        <v>271</v>
      </c>
      <c r="B242" s="19">
        <v>7</v>
      </c>
      <c r="C242" s="19" t="s">
        <v>13</v>
      </c>
      <c r="D242" s="19">
        <v>134</v>
      </c>
      <c r="E242" s="19">
        <v>7815404783</v>
      </c>
      <c r="F242" s="19" t="s">
        <v>27</v>
      </c>
      <c r="G242" s="19">
        <v>13</v>
      </c>
      <c r="H242" s="19" t="s">
        <v>33</v>
      </c>
      <c r="I242" s="19" t="s">
        <v>22</v>
      </c>
      <c r="J242" s="19" t="s">
        <v>23</v>
      </c>
      <c r="K242" s="19" t="s">
        <v>18</v>
      </c>
      <c r="L242" s="19" t="s">
        <v>42</v>
      </c>
    </row>
    <row r="243" spans="1:12" ht="15.6">
      <c r="A243" s="19" t="s">
        <v>272</v>
      </c>
      <c r="B243" s="19">
        <v>10</v>
      </c>
      <c r="C243" s="19" t="s">
        <v>26</v>
      </c>
      <c r="D243" s="19">
        <v>52</v>
      </c>
      <c r="E243" s="19">
        <v>6733016471</v>
      </c>
      <c r="F243" s="19" t="s">
        <v>27</v>
      </c>
      <c r="G243" s="19">
        <v>16</v>
      </c>
      <c r="H243" s="19" t="s">
        <v>15</v>
      </c>
      <c r="I243" s="19" t="s">
        <v>22</v>
      </c>
      <c r="J243" s="19" t="s">
        <v>23</v>
      </c>
      <c r="K243" s="19" t="s">
        <v>49</v>
      </c>
      <c r="L243" s="19" t="s">
        <v>28</v>
      </c>
    </row>
    <row r="244" spans="1:12" ht="15.6">
      <c r="A244" s="19" t="s">
        <v>273</v>
      </c>
      <c r="B244" s="19">
        <v>9</v>
      </c>
      <c r="C244" s="19" t="s">
        <v>21</v>
      </c>
      <c r="D244" s="19">
        <v>1</v>
      </c>
      <c r="E244" s="19">
        <v>7821276280</v>
      </c>
      <c r="F244" s="19" t="s">
        <v>27</v>
      </c>
      <c r="G244" s="19">
        <v>15</v>
      </c>
      <c r="H244" s="19" t="s">
        <v>15</v>
      </c>
      <c r="I244" s="19" t="s">
        <v>22</v>
      </c>
      <c r="J244" s="19" t="s">
        <v>17</v>
      </c>
      <c r="K244" s="19" t="s">
        <v>49</v>
      </c>
      <c r="L244" s="19" t="s">
        <v>28</v>
      </c>
    </row>
    <row r="245" spans="1:12" ht="15.6">
      <c r="A245" s="19" t="s">
        <v>274</v>
      </c>
      <c r="B245" s="19">
        <v>10</v>
      </c>
      <c r="C245" s="19" t="s">
        <v>26</v>
      </c>
      <c r="D245" s="19">
        <v>18</v>
      </c>
      <c r="E245" s="19">
        <v>7321971841</v>
      </c>
      <c r="F245" s="19" t="s">
        <v>27</v>
      </c>
      <c r="G245" s="19">
        <v>16</v>
      </c>
      <c r="H245" s="19" t="s">
        <v>15</v>
      </c>
      <c r="I245" s="19" t="s">
        <v>22</v>
      </c>
      <c r="J245" s="19" t="s">
        <v>23</v>
      </c>
      <c r="K245" s="19" t="s">
        <v>49</v>
      </c>
      <c r="L245" s="19" t="s">
        <v>42</v>
      </c>
    </row>
    <row r="246" spans="1:12" ht="15.6">
      <c r="A246" s="19" t="s">
        <v>275</v>
      </c>
      <c r="B246" s="19">
        <v>7</v>
      </c>
      <c r="C246" s="19" t="s">
        <v>26</v>
      </c>
      <c r="D246" s="19">
        <v>82</v>
      </c>
      <c r="E246" s="19">
        <v>7993458049</v>
      </c>
      <c r="F246" s="19" t="s">
        <v>27</v>
      </c>
      <c r="G246" s="19">
        <v>12</v>
      </c>
      <c r="H246" s="19" t="s">
        <v>15</v>
      </c>
      <c r="I246" s="19" t="s">
        <v>22</v>
      </c>
      <c r="J246" s="19" t="s">
        <v>17</v>
      </c>
      <c r="K246" s="19" t="s">
        <v>28</v>
      </c>
      <c r="L246" s="19" t="s">
        <v>42</v>
      </c>
    </row>
    <row r="247" spans="1:12" ht="15.6">
      <c r="A247" s="19" t="s">
        <v>276</v>
      </c>
      <c r="B247" s="19">
        <v>8</v>
      </c>
      <c r="C247" s="19" t="s">
        <v>26</v>
      </c>
      <c r="D247" s="19">
        <v>50</v>
      </c>
      <c r="E247" s="19">
        <v>9679085203</v>
      </c>
      <c r="F247" s="19" t="s">
        <v>14</v>
      </c>
      <c r="G247" s="19">
        <v>14</v>
      </c>
      <c r="H247" s="19" t="s">
        <v>15</v>
      </c>
      <c r="I247" s="19" t="s">
        <v>16</v>
      </c>
      <c r="J247" s="19" t="s">
        <v>17</v>
      </c>
      <c r="K247" s="19" t="s">
        <v>30</v>
      </c>
      <c r="L247" s="19" t="s">
        <v>28</v>
      </c>
    </row>
    <row r="248" spans="1:12" ht="15.6">
      <c r="A248" s="19" t="s">
        <v>277</v>
      </c>
      <c r="B248" s="19">
        <v>7</v>
      </c>
      <c r="C248" s="19" t="s">
        <v>21</v>
      </c>
      <c r="D248" s="19">
        <v>74</v>
      </c>
      <c r="E248" s="19">
        <v>9728362601</v>
      </c>
      <c r="F248" s="19" t="s">
        <v>27</v>
      </c>
      <c r="G248" s="19">
        <v>13</v>
      </c>
      <c r="H248" s="19" t="s">
        <v>33</v>
      </c>
      <c r="I248" s="19" t="s">
        <v>22</v>
      </c>
      <c r="J248" s="19" t="s">
        <v>23</v>
      </c>
      <c r="K248" s="19" t="s">
        <v>28</v>
      </c>
      <c r="L248" s="19" t="s">
        <v>31</v>
      </c>
    </row>
    <row r="249" spans="1:12" ht="15.6">
      <c r="A249" s="19" t="s">
        <v>278</v>
      </c>
      <c r="B249" s="19">
        <v>8</v>
      </c>
      <c r="C249" s="19" t="s">
        <v>13</v>
      </c>
      <c r="D249" s="19">
        <v>64</v>
      </c>
      <c r="E249" s="19">
        <v>6215505797</v>
      </c>
      <c r="F249" s="19" t="s">
        <v>27</v>
      </c>
      <c r="G249" s="19">
        <v>14</v>
      </c>
      <c r="H249" s="19" t="s">
        <v>33</v>
      </c>
      <c r="I249" s="19" t="s">
        <v>22</v>
      </c>
      <c r="J249" s="19" t="s">
        <v>23</v>
      </c>
      <c r="K249" s="19" t="s">
        <v>28</v>
      </c>
      <c r="L249" s="19" t="s">
        <v>28</v>
      </c>
    </row>
    <row r="250" spans="1:12" ht="15.6">
      <c r="A250" s="19" t="s">
        <v>279</v>
      </c>
      <c r="B250" s="19">
        <v>9</v>
      </c>
      <c r="C250" s="19" t="s">
        <v>21</v>
      </c>
      <c r="D250" s="19">
        <v>168</v>
      </c>
      <c r="E250" s="19">
        <v>9040341599</v>
      </c>
      <c r="F250" s="19" t="s">
        <v>27</v>
      </c>
      <c r="G250" s="19">
        <v>14</v>
      </c>
      <c r="H250" s="19" t="s">
        <v>33</v>
      </c>
      <c r="I250" s="19" t="s">
        <v>22</v>
      </c>
      <c r="J250" s="19" t="s">
        <v>17</v>
      </c>
      <c r="K250" s="19" t="s">
        <v>18</v>
      </c>
      <c r="L250" s="19" t="s">
        <v>19</v>
      </c>
    </row>
    <row r="251" spans="1:12" ht="15.6">
      <c r="A251" s="19" t="s">
        <v>280</v>
      </c>
      <c r="B251" s="19">
        <v>9</v>
      </c>
      <c r="C251" s="19" t="s">
        <v>13</v>
      </c>
      <c r="D251" s="19">
        <v>24</v>
      </c>
      <c r="E251" s="19">
        <v>9250297956</v>
      </c>
      <c r="F251" s="19" t="s">
        <v>27</v>
      </c>
      <c r="G251" s="19">
        <v>15</v>
      </c>
      <c r="H251" s="19" t="s">
        <v>33</v>
      </c>
      <c r="I251" s="19" t="s">
        <v>22</v>
      </c>
      <c r="J251" s="19" t="s">
        <v>17</v>
      </c>
      <c r="K251" s="19" t="s">
        <v>49</v>
      </c>
      <c r="L251" s="19" t="s">
        <v>28</v>
      </c>
    </row>
    <row r="252" spans="1:12" ht="15.6">
      <c r="A252" s="19" t="s">
        <v>47</v>
      </c>
      <c r="B252" s="19">
        <v>10</v>
      </c>
      <c r="C252" s="19" t="s">
        <v>26</v>
      </c>
      <c r="D252" s="19">
        <v>54</v>
      </c>
      <c r="E252" s="19">
        <v>9524915842</v>
      </c>
      <c r="F252" s="19" t="s">
        <v>27</v>
      </c>
      <c r="G252" s="19">
        <v>15</v>
      </c>
      <c r="H252" s="19" t="s">
        <v>15</v>
      </c>
      <c r="I252" s="19" t="s">
        <v>16</v>
      </c>
      <c r="J252" s="19" t="s">
        <v>23</v>
      </c>
      <c r="K252" s="19" t="s">
        <v>30</v>
      </c>
      <c r="L252" s="19" t="s">
        <v>42</v>
      </c>
    </row>
    <row r="253" spans="1:12" ht="15.6">
      <c r="A253" s="19" t="s">
        <v>281</v>
      </c>
      <c r="B253" s="19">
        <v>10</v>
      </c>
      <c r="C253" s="19" t="s">
        <v>13</v>
      </c>
      <c r="D253" s="19">
        <v>1</v>
      </c>
      <c r="E253" s="19">
        <v>8816058990</v>
      </c>
      <c r="F253" s="19" t="s">
        <v>14</v>
      </c>
      <c r="G253" s="19">
        <v>16</v>
      </c>
      <c r="H253" s="19" t="s">
        <v>15</v>
      </c>
      <c r="I253" s="19" t="s">
        <v>16</v>
      </c>
      <c r="J253" s="19" t="s">
        <v>17</v>
      </c>
      <c r="K253" s="19" t="s">
        <v>49</v>
      </c>
      <c r="L253" s="19" t="s">
        <v>42</v>
      </c>
    </row>
    <row r="254" spans="1:12" ht="15.6">
      <c r="A254" s="19" t="s">
        <v>282</v>
      </c>
      <c r="B254" s="19">
        <v>9</v>
      </c>
      <c r="C254" s="19" t="s">
        <v>13</v>
      </c>
      <c r="D254" s="19">
        <v>195</v>
      </c>
      <c r="E254" s="19">
        <v>8489929555</v>
      </c>
      <c r="F254" s="19" t="s">
        <v>14</v>
      </c>
      <c r="G254" s="19">
        <v>14</v>
      </c>
      <c r="H254" s="19" t="s">
        <v>33</v>
      </c>
      <c r="I254" s="19" t="s">
        <v>22</v>
      </c>
      <c r="J254" s="19" t="s">
        <v>23</v>
      </c>
      <c r="K254" s="19" t="s">
        <v>30</v>
      </c>
      <c r="L254" s="19" t="s">
        <v>19</v>
      </c>
    </row>
    <row r="255" spans="1:12" ht="15.6">
      <c r="A255" s="19" t="s">
        <v>283</v>
      </c>
      <c r="B255" s="19">
        <v>8</v>
      </c>
      <c r="C255" s="19" t="s">
        <v>21</v>
      </c>
      <c r="D255" s="19">
        <v>194</v>
      </c>
      <c r="E255" s="19">
        <v>7043283555</v>
      </c>
      <c r="F255" s="19" t="s">
        <v>27</v>
      </c>
      <c r="G255" s="19">
        <v>14</v>
      </c>
      <c r="H255" s="19" t="s">
        <v>15</v>
      </c>
      <c r="I255" s="19" t="s">
        <v>22</v>
      </c>
      <c r="J255" s="19" t="s">
        <v>17</v>
      </c>
      <c r="K255" s="19" t="s">
        <v>30</v>
      </c>
      <c r="L255" s="19" t="s">
        <v>19</v>
      </c>
    </row>
    <row r="256" spans="1:12" ht="15.6">
      <c r="A256" s="19" t="s">
        <v>284</v>
      </c>
      <c r="B256" s="19">
        <v>8</v>
      </c>
      <c r="C256" s="19" t="s">
        <v>26</v>
      </c>
      <c r="D256" s="19">
        <v>129</v>
      </c>
      <c r="E256" s="19">
        <v>9368487822</v>
      </c>
      <c r="F256" s="19" t="s">
        <v>14</v>
      </c>
      <c r="G256" s="19">
        <v>14</v>
      </c>
      <c r="H256" s="19" t="s">
        <v>15</v>
      </c>
      <c r="I256" s="19" t="s">
        <v>16</v>
      </c>
      <c r="J256" s="19" t="s">
        <v>23</v>
      </c>
      <c r="K256" s="19" t="s">
        <v>49</v>
      </c>
      <c r="L256" s="19" t="s">
        <v>28</v>
      </c>
    </row>
    <row r="257" spans="1:12" ht="15.6">
      <c r="A257" s="19" t="s">
        <v>185</v>
      </c>
      <c r="B257" s="19">
        <v>7</v>
      </c>
      <c r="C257" s="19" t="s">
        <v>21</v>
      </c>
      <c r="D257" s="19">
        <v>175</v>
      </c>
      <c r="E257" s="19">
        <v>9540398848</v>
      </c>
      <c r="F257" s="19" t="s">
        <v>27</v>
      </c>
      <c r="G257" s="19">
        <v>13</v>
      </c>
      <c r="H257" s="19" t="s">
        <v>15</v>
      </c>
      <c r="I257" s="19" t="s">
        <v>22</v>
      </c>
      <c r="J257" s="19" t="s">
        <v>17</v>
      </c>
      <c r="K257" s="19" t="s">
        <v>28</v>
      </c>
      <c r="L257" s="19" t="s">
        <v>42</v>
      </c>
    </row>
    <row r="258" spans="1:12" ht="15.6">
      <c r="A258" s="19" t="s">
        <v>285</v>
      </c>
      <c r="B258" s="19">
        <v>9</v>
      </c>
      <c r="C258" s="19" t="s">
        <v>13</v>
      </c>
      <c r="D258" s="19">
        <v>126</v>
      </c>
      <c r="E258" s="19">
        <v>9468366663</v>
      </c>
      <c r="F258" s="19" t="s">
        <v>14</v>
      </c>
      <c r="G258" s="19">
        <v>14</v>
      </c>
      <c r="H258" s="19" t="s">
        <v>15</v>
      </c>
      <c r="I258" s="19" t="s">
        <v>22</v>
      </c>
      <c r="J258" s="19" t="s">
        <v>17</v>
      </c>
      <c r="K258" s="19" t="s">
        <v>49</v>
      </c>
      <c r="L258" s="19" t="s">
        <v>28</v>
      </c>
    </row>
    <row r="259" spans="1:12" ht="15.6">
      <c r="A259" s="19" t="s">
        <v>286</v>
      </c>
      <c r="B259" s="19">
        <v>8</v>
      </c>
      <c r="C259" s="19" t="s">
        <v>37</v>
      </c>
      <c r="D259" s="19">
        <v>199</v>
      </c>
      <c r="E259" s="19">
        <v>8184123739</v>
      </c>
      <c r="F259" s="19" t="s">
        <v>14</v>
      </c>
      <c r="G259" s="19">
        <v>13</v>
      </c>
      <c r="H259" s="19" t="s">
        <v>15</v>
      </c>
      <c r="I259" s="19" t="s">
        <v>16</v>
      </c>
      <c r="J259" s="19" t="s">
        <v>23</v>
      </c>
      <c r="K259" s="19" t="s">
        <v>24</v>
      </c>
      <c r="L259" s="19" t="s">
        <v>31</v>
      </c>
    </row>
    <row r="260" spans="1:12" ht="15.6">
      <c r="A260" s="19" t="s">
        <v>287</v>
      </c>
      <c r="B260" s="19">
        <v>6</v>
      </c>
      <c r="C260" s="19" t="s">
        <v>37</v>
      </c>
      <c r="D260" s="19">
        <v>173</v>
      </c>
      <c r="E260" s="19">
        <v>7785242837</v>
      </c>
      <c r="F260" s="19" t="s">
        <v>27</v>
      </c>
      <c r="G260" s="19">
        <v>11</v>
      </c>
      <c r="H260" s="19" t="s">
        <v>15</v>
      </c>
      <c r="I260" s="19" t="s">
        <v>16</v>
      </c>
      <c r="J260" s="19" t="s">
        <v>17</v>
      </c>
      <c r="K260" s="19" t="s">
        <v>28</v>
      </c>
      <c r="L260" s="19" t="s">
        <v>31</v>
      </c>
    </row>
    <row r="261" spans="1:12" ht="15.6">
      <c r="A261" s="19" t="s">
        <v>288</v>
      </c>
      <c r="B261" s="19">
        <v>7</v>
      </c>
      <c r="C261" s="19" t="s">
        <v>26</v>
      </c>
      <c r="D261" s="19">
        <v>152</v>
      </c>
      <c r="E261" s="19">
        <v>8535626713</v>
      </c>
      <c r="F261" s="19" t="s">
        <v>27</v>
      </c>
      <c r="G261" s="19">
        <v>13</v>
      </c>
      <c r="H261" s="19" t="s">
        <v>33</v>
      </c>
      <c r="I261" s="19" t="s">
        <v>16</v>
      </c>
      <c r="J261" s="19" t="s">
        <v>23</v>
      </c>
      <c r="K261" s="19" t="s">
        <v>30</v>
      </c>
      <c r="L261" s="19" t="s">
        <v>19</v>
      </c>
    </row>
    <row r="262" spans="1:12" ht="15.6">
      <c r="A262" s="19" t="s">
        <v>289</v>
      </c>
      <c r="B262" s="19">
        <v>9</v>
      </c>
      <c r="C262" s="19" t="s">
        <v>26</v>
      </c>
      <c r="D262" s="19">
        <v>194</v>
      </c>
      <c r="E262" s="19">
        <v>8511058910</v>
      </c>
      <c r="F262" s="19" t="s">
        <v>27</v>
      </c>
      <c r="G262" s="19">
        <v>15</v>
      </c>
      <c r="H262" s="19" t="s">
        <v>15</v>
      </c>
      <c r="I262" s="19" t="s">
        <v>22</v>
      </c>
      <c r="J262" s="19" t="s">
        <v>17</v>
      </c>
      <c r="K262" s="19" t="s">
        <v>24</v>
      </c>
      <c r="L262" s="19" t="s">
        <v>31</v>
      </c>
    </row>
    <row r="263" spans="1:12" ht="15.6">
      <c r="A263" s="19" t="s">
        <v>290</v>
      </c>
      <c r="B263" s="19">
        <v>10</v>
      </c>
      <c r="C263" s="19" t="s">
        <v>37</v>
      </c>
      <c r="D263" s="19">
        <v>61</v>
      </c>
      <c r="E263" s="19">
        <v>8114166060</v>
      </c>
      <c r="F263" s="19" t="s">
        <v>27</v>
      </c>
      <c r="G263" s="19">
        <v>16</v>
      </c>
      <c r="H263" s="19" t="s">
        <v>33</v>
      </c>
      <c r="I263" s="19" t="s">
        <v>16</v>
      </c>
      <c r="J263" s="19" t="s">
        <v>23</v>
      </c>
      <c r="K263" s="19" t="s">
        <v>18</v>
      </c>
      <c r="L263" s="19" t="s">
        <v>31</v>
      </c>
    </row>
    <row r="264" spans="1:12" ht="15.6">
      <c r="A264" s="19" t="s">
        <v>291</v>
      </c>
      <c r="B264" s="19">
        <v>10</v>
      </c>
      <c r="C264" s="19" t="s">
        <v>37</v>
      </c>
      <c r="D264" s="19">
        <v>77</v>
      </c>
      <c r="E264" s="19">
        <v>7346224092</v>
      </c>
      <c r="F264" s="19" t="s">
        <v>14</v>
      </c>
      <c r="G264" s="19">
        <v>16</v>
      </c>
      <c r="H264" s="19" t="s">
        <v>33</v>
      </c>
      <c r="I264" s="19" t="s">
        <v>22</v>
      </c>
      <c r="J264" s="19" t="s">
        <v>17</v>
      </c>
      <c r="K264" s="19" t="s">
        <v>24</v>
      </c>
      <c r="L264" s="19" t="s">
        <v>28</v>
      </c>
    </row>
    <row r="265" spans="1:12" ht="15.6">
      <c r="A265" s="19" t="s">
        <v>292</v>
      </c>
      <c r="B265" s="19">
        <v>7</v>
      </c>
      <c r="C265" s="19" t="s">
        <v>37</v>
      </c>
      <c r="D265" s="19">
        <v>98</v>
      </c>
      <c r="E265" s="19">
        <v>6008320192</v>
      </c>
      <c r="F265" s="19" t="s">
        <v>14</v>
      </c>
      <c r="G265" s="19">
        <v>12</v>
      </c>
      <c r="H265" s="19" t="s">
        <v>15</v>
      </c>
      <c r="I265" s="19" t="s">
        <v>22</v>
      </c>
      <c r="J265" s="19" t="s">
        <v>23</v>
      </c>
      <c r="K265" s="19" t="s">
        <v>30</v>
      </c>
      <c r="L265" s="19" t="s">
        <v>19</v>
      </c>
    </row>
    <row r="266" spans="1:12" ht="15.6">
      <c r="A266" s="19" t="s">
        <v>293</v>
      </c>
      <c r="B266" s="19">
        <v>8</v>
      </c>
      <c r="C266" s="19" t="s">
        <v>21</v>
      </c>
      <c r="D266" s="19">
        <v>135</v>
      </c>
      <c r="E266" s="19">
        <v>9537025619</v>
      </c>
      <c r="F266" s="19" t="s">
        <v>14</v>
      </c>
      <c r="G266" s="19">
        <v>13</v>
      </c>
      <c r="H266" s="19" t="s">
        <v>15</v>
      </c>
      <c r="I266" s="19" t="s">
        <v>22</v>
      </c>
      <c r="J266" s="19" t="s">
        <v>17</v>
      </c>
      <c r="K266" s="19" t="s">
        <v>18</v>
      </c>
      <c r="L266" s="19" t="s">
        <v>28</v>
      </c>
    </row>
    <row r="267" spans="1:12" ht="15.6">
      <c r="A267" s="19" t="s">
        <v>294</v>
      </c>
      <c r="B267" s="19">
        <v>10</v>
      </c>
      <c r="C267" s="19" t="s">
        <v>13</v>
      </c>
      <c r="D267" s="19">
        <v>102</v>
      </c>
      <c r="E267" s="19">
        <v>7872642832</v>
      </c>
      <c r="F267" s="19" t="s">
        <v>27</v>
      </c>
      <c r="G267" s="19">
        <v>15</v>
      </c>
      <c r="H267" s="19" t="s">
        <v>33</v>
      </c>
      <c r="I267" s="19" t="s">
        <v>22</v>
      </c>
      <c r="J267" s="19" t="s">
        <v>17</v>
      </c>
      <c r="K267" s="19" t="s">
        <v>30</v>
      </c>
      <c r="L267" s="19" t="s">
        <v>19</v>
      </c>
    </row>
    <row r="268" spans="1:12" ht="15.6">
      <c r="A268" s="19" t="s">
        <v>295</v>
      </c>
      <c r="B268" s="19">
        <v>8</v>
      </c>
      <c r="C268" s="19" t="s">
        <v>13</v>
      </c>
      <c r="D268" s="19">
        <v>105</v>
      </c>
      <c r="E268" s="19">
        <v>6809316938</v>
      </c>
      <c r="F268" s="19" t="s">
        <v>27</v>
      </c>
      <c r="G268" s="19">
        <v>13</v>
      </c>
      <c r="H268" s="19" t="s">
        <v>15</v>
      </c>
      <c r="I268" s="19" t="s">
        <v>16</v>
      </c>
      <c r="J268" s="19" t="s">
        <v>17</v>
      </c>
      <c r="K268" s="19" t="s">
        <v>28</v>
      </c>
      <c r="L268" s="19" t="s">
        <v>42</v>
      </c>
    </row>
    <row r="269" spans="1:12" ht="15.6">
      <c r="A269" s="19" t="s">
        <v>296</v>
      </c>
      <c r="B269" s="19">
        <v>7</v>
      </c>
      <c r="C269" s="19" t="s">
        <v>13</v>
      </c>
      <c r="D269" s="19">
        <v>32</v>
      </c>
      <c r="E269" s="19">
        <v>6410695951</v>
      </c>
      <c r="F269" s="19" t="s">
        <v>14</v>
      </c>
      <c r="G269" s="19">
        <v>12</v>
      </c>
      <c r="H269" s="19" t="s">
        <v>15</v>
      </c>
      <c r="I269" s="19" t="s">
        <v>22</v>
      </c>
      <c r="J269" s="19" t="s">
        <v>17</v>
      </c>
      <c r="K269" s="19" t="s">
        <v>24</v>
      </c>
      <c r="L269" s="19" t="s">
        <v>28</v>
      </c>
    </row>
    <row r="270" spans="1:12" ht="15.6">
      <c r="A270" s="19" t="s">
        <v>297</v>
      </c>
      <c r="B270" s="19">
        <v>7</v>
      </c>
      <c r="C270" s="19" t="s">
        <v>13</v>
      </c>
      <c r="D270" s="19">
        <v>170</v>
      </c>
      <c r="E270" s="19">
        <v>6463649128</v>
      </c>
      <c r="F270" s="19" t="s">
        <v>27</v>
      </c>
      <c r="G270" s="19">
        <v>13</v>
      </c>
      <c r="H270" s="19" t="s">
        <v>15</v>
      </c>
      <c r="I270" s="19" t="s">
        <v>16</v>
      </c>
      <c r="J270" s="19" t="s">
        <v>17</v>
      </c>
      <c r="K270" s="19" t="s">
        <v>30</v>
      </c>
      <c r="L270" s="19" t="s">
        <v>31</v>
      </c>
    </row>
    <row r="271" spans="1:12" ht="15.6">
      <c r="A271" s="19" t="s">
        <v>298</v>
      </c>
      <c r="B271" s="19">
        <v>7</v>
      </c>
      <c r="C271" s="19" t="s">
        <v>26</v>
      </c>
      <c r="D271" s="19">
        <v>39</v>
      </c>
      <c r="E271" s="19">
        <v>9609489927</v>
      </c>
      <c r="F271" s="19" t="s">
        <v>27</v>
      </c>
      <c r="G271" s="19">
        <v>13</v>
      </c>
      <c r="H271" s="19" t="s">
        <v>15</v>
      </c>
      <c r="I271" s="19" t="s">
        <v>16</v>
      </c>
      <c r="J271" s="19" t="s">
        <v>17</v>
      </c>
      <c r="K271" s="19" t="s">
        <v>28</v>
      </c>
      <c r="L271" s="19" t="s">
        <v>31</v>
      </c>
    </row>
    <row r="272" spans="1:12" ht="15.6">
      <c r="A272" s="19" t="s">
        <v>299</v>
      </c>
      <c r="B272" s="19">
        <v>10</v>
      </c>
      <c r="C272" s="19" t="s">
        <v>37</v>
      </c>
      <c r="D272" s="19">
        <v>158</v>
      </c>
      <c r="E272" s="19">
        <v>9233169094</v>
      </c>
      <c r="F272" s="19" t="s">
        <v>27</v>
      </c>
      <c r="G272" s="19">
        <v>15</v>
      </c>
      <c r="H272" s="19" t="s">
        <v>15</v>
      </c>
      <c r="I272" s="19" t="s">
        <v>22</v>
      </c>
      <c r="J272" s="19" t="s">
        <v>17</v>
      </c>
      <c r="K272" s="19" t="s">
        <v>49</v>
      </c>
      <c r="L272" s="19" t="s">
        <v>31</v>
      </c>
    </row>
    <row r="273" spans="1:12" ht="15.6">
      <c r="A273" s="19" t="s">
        <v>300</v>
      </c>
      <c r="B273" s="19">
        <v>7</v>
      </c>
      <c r="C273" s="19" t="s">
        <v>21</v>
      </c>
      <c r="D273" s="19">
        <v>54</v>
      </c>
      <c r="E273" s="19">
        <v>8518503285</v>
      </c>
      <c r="F273" s="19" t="s">
        <v>14</v>
      </c>
      <c r="G273" s="19">
        <v>13</v>
      </c>
      <c r="H273" s="19" t="s">
        <v>33</v>
      </c>
      <c r="I273" s="19" t="s">
        <v>16</v>
      </c>
      <c r="J273" s="19" t="s">
        <v>23</v>
      </c>
      <c r="K273" s="19" t="s">
        <v>28</v>
      </c>
      <c r="L273" s="19" t="s">
        <v>42</v>
      </c>
    </row>
    <row r="274" spans="1:12" ht="15.6">
      <c r="A274" s="19" t="s">
        <v>301</v>
      </c>
      <c r="B274" s="19">
        <v>7</v>
      </c>
      <c r="C274" s="19" t="s">
        <v>26</v>
      </c>
      <c r="D274" s="19">
        <v>65</v>
      </c>
      <c r="E274" s="19">
        <v>9593743440</v>
      </c>
      <c r="F274" s="19" t="s">
        <v>14</v>
      </c>
      <c r="G274" s="19">
        <v>12</v>
      </c>
      <c r="H274" s="19" t="s">
        <v>15</v>
      </c>
      <c r="I274" s="19" t="s">
        <v>16</v>
      </c>
      <c r="J274" s="19" t="s">
        <v>23</v>
      </c>
      <c r="K274" s="19" t="s">
        <v>49</v>
      </c>
      <c r="L274" s="19" t="s">
        <v>31</v>
      </c>
    </row>
    <row r="275" spans="1:12" ht="15.6">
      <c r="A275" s="19" t="s">
        <v>302</v>
      </c>
      <c r="B275" s="19">
        <v>10</v>
      </c>
      <c r="C275" s="19" t="s">
        <v>21</v>
      </c>
      <c r="D275" s="19">
        <v>180</v>
      </c>
      <c r="E275" s="19">
        <v>9992717729</v>
      </c>
      <c r="F275" s="19" t="s">
        <v>27</v>
      </c>
      <c r="G275" s="19">
        <v>16</v>
      </c>
      <c r="H275" s="19" t="s">
        <v>33</v>
      </c>
      <c r="I275" s="19" t="s">
        <v>16</v>
      </c>
      <c r="J275" s="19" t="s">
        <v>23</v>
      </c>
      <c r="K275" s="19" t="s">
        <v>28</v>
      </c>
      <c r="L275" s="19" t="s">
        <v>28</v>
      </c>
    </row>
    <row r="276" spans="1:12" ht="15.6">
      <c r="A276" s="19" t="s">
        <v>303</v>
      </c>
      <c r="B276" s="19">
        <v>7</v>
      </c>
      <c r="C276" s="19" t="s">
        <v>13</v>
      </c>
      <c r="D276" s="19">
        <v>11</v>
      </c>
      <c r="E276" s="19">
        <v>6586220300</v>
      </c>
      <c r="F276" s="19" t="s">
        <v>14</v>
      </c>
      <c r="G276" s="19">
        <v>12</v>
      </c>
      <c r="H276" s="19" t="s">
        <v>15</v>
      </c>
      <c r="I276" s="19" t="s">
        <v>22</v>
      </c>
      <c r="J276" s="19" t="s">
        <v>17</v>
      </c>
      <c r="K276" s="19" t="s">
        <v>30</v>
      </c>
      <c r="L276" s="19" t="s">
        <v>28</v>
      </c>
    </row>
    <row r="277" spans="1:12" ht="15.6">
      <c r="A277" s="19" t="s">
        <v>304</v>
      </c>
      <c r="B277" s="19">
        <v>8</v>
      </c>
      <c r="C277" s="19" t="s">
        <v>37</v>
      </c>
      <c r="D277" s="19">
        <v>162</v>
      </c>
      <c r="E277" s="19">
        <v>8196757978</v>
      </c>
      <c r="F277" s="19" t="s">
        <v>14</v>
      </c>
      <c r="G277" s="19">
        <v>14</v>
      </c>
      <c r="H277" s="19" t="s">
        <v>33</v>
      </c>
      <c r="I277" s="19" t="s">
        <v>16</v>
      </c>
      <c r="J277" s="19" t="s">
        <v>17</v>
      </c>
      <c r="K277" s="19" t="s">
        <v>24</v>
      </c>
      <c r="L277" s="19" t="s">
        <v>28</v>
      </c>
    </row>
    <row r="278" spans="1:12" ht="15.6">
      <c r="A278" s="19" t="s">
        <v>305</v>
      </c>
      <c r="B278" s="19">
        <v>10</v>
      </c>
      <c r="C278" s="19" t="s">
        <v>21</v>
      </c>
      <c r="D278" s="19">
        <v>141</v>
      </c>
      <c r="E278" s="19">
        <v>9263856553</v>
      </c>
      <c r="F278" s="19" t="s">
        <v>14</v>
      </c>
      <c r="G278" s="19">
        <v>15</v>
      </c>
      <c r="H278" s="19" t="s">
        <v>33</v>
      </c>
      <c r="I278" s="19" t="s">
        <v>16</v>
      </c>
      <c r="J278" s="19" t="s">
        <v>23</v>
      </c>
      <c r="K278" s="19" t="s">
        <v>28</v>
      </c>
      <c r="L278" s="19" t="s">
        <v>42</v>
      </c>
    </row>
    <row r="279" spans="1:12" ht="15.6">
      <c r="A279" s="19" t="s">
        <v>306</v>
      </c>
      <c r="B279" s="19">
        <v>6</v>
      </c>
      <c r="C279" s="19" t="s">
        <v>21</v>
      </c>
      <c r="D279" s="19">
        <v>152</v>
      </c>
      <c r="E279" s="19">
        <v>9354520222</v>
      </c>
      <c r="F279" s="19" t="s">
        <v>14</v>
      </c>
      <c r="G279" s="19">
        <v>11</v>
      </c>
      <c r="H279" s="19" t="s">
        <v>15</v>
      </c>
      <c r="I279" s="19" t="s">
        <v>16</v>
      </c>
      <c r="J279" s="19" t="s">
        <v>23</v>
      </c>
      <c r="K279" s="19" t="s">
        <v>24</v>
      </c>
      <c r="L279" s="19" t="s">
        <v>31</v>
      </c>
    </row>
    <row r="280" spans="1:12" ht="15.6">
      <c r="A280" s="19" t="s">
        <v>307</v>
      </c>
      <c r="B280" s="19">
        <v>8</v>
      </c>
      <c r="C280" s="19" t="s">
        <v>37</v>
      </c>
      <c r="D280" s="19">
        <v>167</v>
      </c>
      <c r="E280" s="19">
        <v>9291318424</v>
      </c>
      <c r="F280" s="19" t="s">
        <v>14</v>
      </c>
      <c r="G280" s="19">
        <v>13</v>
      </c>
      <c r="H280" s="19" t="s">
        <v>15</v>
      </c>
      <c r="I280" s="19" t="s">
        <v>16</v>
      </c>
      <c r="J280" s="19" t="s">
        <v>17</v>
      </c>
      <c r="K280" s="19" t="s">
        <v>28</v>
      </c>
      <c r="L280" s="19" t="s">
        <v>28</v>
      </c>
    </row>
    <row r="281" spans="1:12" ht="15.6">
      <c r="A281" s="19" t="s">
        <v>308</v>
      </c>
      <c r="B281" s="19">
        <v>8</v>
      </c>
      <c r="C281" s="19" t="s">
        <v>37</v>
      </c>
      <c r="D281" s="19">
        <v>62</v>
      </c>
      <c r="E281" s="19">
        <v>7846740464</v>
      </c>
      <c r="F281" s="19" t="s">
        <v>27</v>
      </c>
      <c r="G281" s="19">
        <v>14</v>
      </c>
      <c r="H281" s="19" t="s">
        <v>33</v>
      </c>
      <c r="I281" s="19" t="s">
        <v>22</v>
      </c>
      <c r="J281" s="19" t="s">
        <v>23</v>
      </c>
      <c r="K281" s="19" t="s">
        <v>28</v>
      </c>
      <c r="L281" s="19" t="s">
        <v>31</v>
      </c>
    </row>
    <row r="282" spans="1:12" ht="15.6">
      <c r="A282" s="19" t="s">
        <v>309</v>
      </c>
      <c r="B282" s="19">
        <v>10</v>
      </c>
      <c r="C282" s="19" t="s">
        <v>26</v>
      </c>
      <c r="D282" s="19">
        <v>130</v>
      </c>
      <c r="E282" s="19">
        <v>9961731866</v>
      </c>
      <c r="F282" s="19" t="s">
        <v>14</v>
      </c>
      <c r="G282" s="19">
        <v>16</v>
      </c>
      <c r="H282" s="19" t="s">
        <v>33</v>
      </c>
      <c r="I282" s="19" t="s">
        <v>22</v>
      </c>
      <c r="J282" s="19" t="s">
        <v>23</v>
      </c>
      <c r="K282" s="19" t="s">
        <v>24</v>
      </c>
      <c r="L282" s="19" t="s">
        <v>42</v>
      </c>
    </row>
    <row r="283" spans="1:12" ht="15.6">
      <c r="A283" s="19" t="s">
        <v>310</v>
      </c>
      <c r="B283" s="19">
        <v>8</v>
      </c>
      <c r="C283" s="19" t="s">
        <v>37</v>
      </c>
      <c r="D283" s="19">
        <v>154</v>
      </c>
      <c r="E283" s="19">
        <v>9313554066</v>
      </c>
      <c r="F283" s="19" t="s">
        <v>14</v>
      </c>
      <c r="G283" s="19">
        <v>13</v>
      </c>
      <c r="H283" s="19" t="s">
        <v>33</v>
      </c>
      <c r="I283" s="19" t="s">
        <v>16</v>
      </c>
      <c r="J283" s="19" t="s">
        <v>17</v>
      </c>
      <c r="K283" s="19" t="s">
        <v>24</v>
      </c>
      <c r="L283" s="19" t="s">
        <v>19</v>
      </c>
    </row>
    <row r="284" spans="1:12" ht="15.6">
      <c r="A284" s="19" t="s">
        <v>311</v>
      </c>
      <c r="B284" s="19">
        <v>7</v>
      </c>
      <c r="C284" s="19" t="s">
        <v>21</v>
      </c>
      <c r="D284" s="19">
        <v>158</v>
      </c>
      <c r="E284" s="19">
        <v>6871198757</v>
      </c>
      <c r="F284" s="19" t="s">
        <v>14</v>
      </c>
      <c r="G284" s="19">
        <v>13</v>
      </c>
      <c r="H284" s="19" t="s">
        <v>15</v>
      </c>
      <c r="I284" s="19" t="s">
        <v>22</v>
      </c>
      <c r="J284" s="19" t="s">
        <v>17</v>
      </c>
      <c r="K284" s="19" t="s">
        <v>30</v>
      </c>
      <c r="L284" s="19" t="s">
        <v>31</v>
      </c>
    </row>
    <row r="285" spans="1:12" ht="15.6">
      <c r="A285" s="19" t="s">
        <v>312</v>
      </c>
      <c r="B285" s="19">
        <v>8</v>
      </c>
      <c r="C285" s="19" t="s">
        <v>37</v>
      </c>
      <c r="D285" s="19">
        <v>108</v>
      </c>
      <c r="E285" s="19">
        <v>6163062210</v>
      </c>
      <c r="F285" s="19" t="s">
        <v>27</v>
      </c>
      <c r="G285" s="19">
        <v>14</v>
      </c>
      <c r="H285" s="19" t="s">
        <v>15</v>
      </c>
      <c r="I285" s="19" t="s">
        <v>16</v>
      </c>
      <c r="J285" s="19" t="s">
        <v>17</v>
      </c>
      <c r="K285" s="19" t="s">
        <v>30</v>
      </c>
      <c r="L285" s="19" t="s">
        <v>28</v>
      </c>
    </row>
    <row r="286" spans="1:12" ht="15.6">
      <c r="A286" s="19" t="s">
        <v>222</v>
      </c>
      <c r="B286" s="19">
        <v>9</v>
      </c>
      <c r="C286" s="19" t="s">
        <v>37</v>
      </c>
      <c r="D286" s="19">
        <v>66</v>
      </c>
      <c r="E286" s="19">
        <v>7504216992</v>
      </c>
      <c r="F286" s="19" t="s">
        <v>27</v>
      </c>
      <c r="G286" s="19">
        <v>15</v>
      </c>
      <c r="H286" s="19" t="s">
        <v>33</v>
      </c>
      <c r="I286" s="19" t="s">
        <v>16</v>
      </c>
      <c r="J286" s="19" t="s">
        <v>23</v>
      </c>
      <c r="K286" s="19" t="s">
        <v>28</v>
      </c>
      <c r="L286" s="19" t="s">
        <v>19</v>
      </c>
    </row>
    <row r="287" spans="1:12" ht="15.6">
      <c r="A287" s="19" t="s">
        <v>313</v>
      </c>
      <c r="B287" s="19">
        <v>8</v>
      </c>
      <c r="C287" s="19" t="s">
        <v>13</v>
      </c>
      <c r="D287" s="19">
        <v>109</v>
      </c>
      <c r="E287" s="19">
        <v>9635316569</v>
      </c>
      <c r="F287" s="19" t="s">
        <v>14</v>
      </c>
      <c r="G287" s="19">
        <v>13</v>
      </c>
      <c r="H287" s="19" t="s">
        <v>15</v>
      </c>
      <c r="I287" s="19" t="s">
        <v>16</v>
      </c>
      <c r="J287" s="19" t="s">
        <v>23</v>
      </c>
      <c r="K287" s="19" t="s">
        <v>24</v>
      </c>
      <c r="L287" s="19" t="s">
        <v>31</v>
      </c>
    </row>
    <row r="288" spans="1:12" ht="15.6">
      <c r="A288" s="19" t="s">
        <v>314</v>
      </c>
      <c r="B288" s="19">
        <v>6</v>
      </c>
      <c r="C288" s="19" t="s">
        <v>21</v>
      </c>
      <c r="D288" s="19">
        <v>130</v>
      </c>
      <c r="E288" s="19">
        <v>6077996495</v>
      </c>
      <c r="F288" s="19" t="s">
        <v>27</v>
      </c>
      <c r="G288" s="19">
        <v>11</v>
      </c>
      <c r="H288" s="19" t="s">
        <v>15</v>
      </c>
      <c r="I288" s="19" t="s">
        <v>22</v>
      </c>
      <c r="J288" s="19" t="s">
        <v>23</v>
      </c>
      <c r="K288" s="19" t="s">
        <v>24</v>
      </c>
      <c r="L288" s="19" t="s">
        <v>28</v>
      </c>
    </row>
    <row r="289" spans="1:12" ht="15.6">
      <c r="A289" s="19" t="s">
        <v>315</v>
      </c>
      <c r="B289" s="19">
        <v>8</v>
      </c>
      <c r="C289" s="19" t="s">
        <v>26</v>
      </c>
      <c r="D289" s="19">
        <v>133</v>
      </c>
      <c r="E289" s="19">
        <v>7414635853</v>
      </c>
      <c r="F289" s="19" t="s">
        <v>14</v>
      </c>
      <c r="G289" s="19">
        <v>13</v>
      </c>
      <c r="H289" s="19" t="s">
        <v>33</v>
      </c>
      <c r="I289" s="19" t="s">
        <v>16</v>
      </c>
      <c r="J289" s="19" t="s">
        <v>23</v>
      </c>
      <c r="K289" s="19" t="s">
        <v>18</v>
      </c>
      <c r="L289" s="19" t="s">
        <v>28</v>
      </c>
    </row>
    <row r="290" spans="1:12" ht="15.6">
      <c r="A290" s="19" t="s">
        <v>316</v>
      </c>
      <c r="B290" s="19">
        <v>10</v>
      </c>
      <c r="C290" s="19" t="s">
        <v>26</v>
      </c>
      <c r="D290" s="19">
        <v>75</v>
      </c>
      <c r="E290" s="19">
        <v>6278238047</v>
      </c>
      <c r="F290" s="19" t="s">
        <v>27</v>
      </c>
      <c r="G290" s="19">
        <v>15</v>
      </c>
      <c r="H290" s="19" t="s">
        <v>15</v>
      </c>
      <c r="I290" s="19" t="s">
        <v>22</v>
      </c>
      <c r="J290" s="19" t="s">
        <v>23</v>
      </c>
      <c r="K290" s="19" t="s">
        <v>30</v>
      </c>
      <c r="L290" s="19" t="s">
        <v>31</v>
      </c>
    </row>
    <row r="291" spans="1:12" ht="15.6">
      <c r="A291" s="19" t="s">
        <v>317</v>
      </c>
      <c r="B291" s="19">
        <v>7</v>
      </c>
      <c r="C291" s="19" t="s">
        <v>21</v>
      </c>
      <c r="D291" s="19">
        <v>130</v>
      </c>
      <c r="E291" s="19">
        <v>8040823791</v>
      </c>
      <c r="F291" s="19" t="s">
        <v>27</v>
      </c>
      <c r="G291" s="19">
        <v>13</v>
      </c>
      <c r="H291" s="19" t="s">
        <v>15</v>
      </c>
      <c r="I291" s="19" t="s">
        <v>16</v>
      </c>
      <c r="J291" s="19" t="s">
        <v>23</v>
      </c>
      <c r="K291" s="19" t="s">
        <v>28</v>
      </c>
      <c r="L291" s="19" t="s">
        <v>28</v>
      </c>
    </row>
    <row r="292" spans="1:12" ht="15.6">
      <c r="A292" s="19" t="s">
        <v>318</v>
      </c>
      <c r="B292" s="19">
        <v>7</v>
      </c>
      <c r="C292" s="19" t="s">
        <v>37</v>
      </c>
      <c r="D292" s="19">
        <v>57</v>
      </c>
      <c r="E292" s="19">
        <v>6380801702</v>
      </c>
      <c r="F292" s="19" t="s">
        <v>14</v>
      </c>
      <c r="G292" s="19">
        <v>13</v>
      </c>
      <c r="H292" s="19" t="s">
        <v>15</v>
      </c>
      <c r="I292" s="19" t="s">
        <v>16</v>
      </c>
      <c r="J292" s="19" t="s">
        <v>17</v>
      </c>
      <c r="K292" s="19" t="s">
        <v>30</v>
      </c>
      <c r="L292" s="19" t="s">
        <v>28</v>
      </c>
    </row>
    <row r="293" spans="1:12" ht="15.6">
      <c r="A293" s="19" t="s">
        <v>319</v>
      </c>
      <c r="B293" s="19">
        <v>8</v>
      </c>
      <c r="C293" s="19" t="s">
        <v>37</v>
      </c>
      <c r="D293" s="19">
        <v>112</v>
      </c>
      <c r="E293" s="19">
        <v>9694799787</v>
      </c>
      <c r="F293" s="19" t="s">
        <v>14</v>
      </c>
      <c r="G293" s="19">
        <v>13</v>
      </c>
      <c r="H293" s="19" t="s">
        <v>15</v>
      </c>
      <c r="I293" s="19" t="s">
        <v>16</v>
      </c>
      <c r="J293" s="19" t="s">
        <v>17</v>
      </c>
      <c r="K293" s="19" t="s">
        <v>28</v>
      </c>
      <c r="L293" s="19" t="s">
        <v>42</v>
      </c>
    </row>
    <row r="294" spans="1:12" ht="15.6">
      <c r="A294" s="19" t="s">
        <v>320</v>
      </c>
      <c r="B294" s="19">
        <v>8</v>
      </c>
      <c r="C294" s="19" t="s">
        <v>13</v>
      </c>
      <c r="D294" s="19">
        <v>54</v>
      </c>
      <c r="E294" s="19">
        <v>8926450927</v>
      </c>
      <c r="F294" s="19" t="s">
        <v>27</v>
      </c>
      <c r="G294" s="19">
        <v>14</v>
      </c>
      <c r="H294" s="19" t="s">
        <v>33</v>
      </c>
      <c r="I294" s="19" t="s">
        <v>16</v>
      </c>
      <c r="J294" s="19" t="s">
        <v>23</v>
      </c>
      <c r="K294" s="19" t="s">
        <v>30</v>
      </c>
      <c r="L294" s="19" t="s">
        <v>42</v>
      </c>
    </row>
    <row r="295" spans="1:12" ht="15.6">
      <c r="A295" s="19" t="s">
        <v>321</v>
      </c>
      <c r="B295" s="19">
        <v>9</v>
      </c>
      <c r="C295" s="19" t="s">
        <v>37</v>
      </c>
      <c r="D295" s="19">
        <v>112</v>
      </c>
      <c r="E295" s="19">
        <v>8824418142</v>
      </c>
      <c r="F295" s="19" t="s">
        <v>27</v>
      </c>
      <c r="G295" s="19">
        <v>14</v>
      </c>
      <c r="H295" s="19" t="s">
        <v>33</v>
      </c>
      <c r="I295" s="19" t="s">
        <v>16</v>
      </c>
      <c r="J295" s="19" t="s">
        <v>17</v>
      </c>
      <c r="K295" s="19" t="s">
        <v>24</v>
      </c>
      <c r="L295" s="19" t="s">
        <v>28</v>
      </c>
    </row>
    <row r="296" spans="1:12" ht="15.6">
      <c r="A296" s="19" t="s">
        <v>322</v>
      </c>
      <c r="B296" s="19">
        <v>10</v>
      </c>
      <c r="C296" s="19" t="s">
        <v>21</v>
      </c>
      <c r="D296" s="19">
        <v>44</v>
      </c>
      <c r="E296" s="19">
        <v>8765563829</v>
      </c>
      <c r="F296" s="19" t="s">
        <v>27</v>
      </c>
      <c r="G296" s="19">
        <v>15</v>
      </c>
      <c r="H296" s="19" t="s">
        <v>15</v>
      </c>
      <c r="I296" s="19" t="s">
        <v>22</v>
      </c>
      <c r="J296" s="19" t="s">
        <v>23</v>
      </c>
      <c r="K296" s="19" t="s">
        <v>18</v>
      </c>
      <c r="L296" s="19" t="s">
        <v>28</v>
      </c>
    </row>
    <row r="297" spans="1:12" ht="15.6">
      <c r="A297" s="19" t="s">
        <v>323</v>
      </c>
      <c r="B297" s="19">
        <v>10</v>
      </c>
      <c r="C297" s="19" t="s">
        <v>13</v>
      </c>
      <c r="D297" s="19">
        <v>189</v>
      </c>
      <c r="E297" s="19">
        <v>6695178171</v>
      </c>
      <c r="F297" s="19" t="s">
        <v>14</v>
      </c>
      <c r="G297" s="19">
        <v>16</v>
      </c>
      <c r="H297" s="19" t="s">
        <v>15</v>
      </c>
      <c r="I297" s="19" t="s">
        <v>22</v>
      </c>
      <c r="J297" s="19" t="s">
        <v>17</v>
      </c>
      <c r="K297" s="19" t="s">
        <v>18</v>
      </c>
      <c r="L297" s="19" t="s">
        <v>19</v>
      </c>
    </row>
    <row r="298" spans="1:12" ht="15.6">
      <c r="A298" s="19" t="s">
        <v>324</v>
      </c>
      <c r="B298" s="19">
        <v>6</v>
      </c>
      <c r="C298" s="19" t="s">
        <v>21</v>
      </c>
      <c r="D298" s="19">
        <v>60</v>
      </c>
      <c r="E298" s="19">
        <v>9045739701</v>
      </c>
      <c r="F298" s="19" t="s">
        <v>27</v>
      </c>
      <c r="G298" s="19">
        <v>11</v>
      </c>
      <c r="H298" s="19" t="s">
        <v>33</v>
      </c>
      <c r="I298" s="19" t="s">
        <v>22</v>
      </c>
      <c r="J298" s="19" t="s">
        <v>17</v>
      </c>
      <c r="K298" s="19" t="s">
        <v>30</v>
      </c>
      <c r="L298" s="19" t="s">
        <v>28</v>
      </c>
    </row>
    <row r="299" spans="1:12" ht="15.6">
      <c r="A299" s="19" t="s">
        <v>325</v>
      </c>
      <c r="B299" s="19">
        <v>9</v>
      </c>
      <c r="C299" s="19" t="s">
        <v>21</v>
      </c>
      <c r="D299" s="19">
        <v>104</v>
      </c>
      <c r="E299" s="19">
        <v>8938118616</v>
      </c>
      <c r="F299" s="19" t="s">
        <v>27</v>
      </c>
      <c r="G299" s="19">
        <v>14</v>
      </c>
      <c r="H299" s="19" t="s">
        <v>15</v>
      </c>
      <c r="I299" s="19" t="s">
        <v>16</v>
      </c>
      <c r="J299" s="19" t="s">
        <v>23</v>
      </c>
      <c r="K299" s="19" t="s">
        <v>49</v>
      </c>
      <c r="L299" s="19" t="s">
        <v>28</v>
      </c>
    </row>
    <row r="300" spans="1:12" ht="15.6">
      <c r="A300" s="19" t="s">
        <v>326</v>
      </c>
      <c r="B300" s="19">
        <v>7</v>
      </c>
      <c r="C300" s="19" t="s">
        <v>21</v>
      </c>
      <c r="D300" s="19">
        <v>23</v>
      </c>
      <c r="E300" s="19">
        <v>9624777761</v>
      </c>
      <c r="F300" s="19" t="s">
        <v>14</v>
      </c>
      <c r="G300" s="19">
        <v>12</v>
      </c>
      <c r="H300" s="19" t="s">
        <v>15</v>
      </c>
      <c r="I300" s="19" t="s">
        <v>22</v>
      </c>
      <c r="J300" s="19" t="s">
        <v>17</v>
      </c>
      <c r="K300" s="19" t="s">
        <v>49</v>
      </c>
      <c r="L300" s="19" t="s">
        <v>42</v>
      </c>
    </row>
    <row r="301" spans="1:12" ht="15.6">
      <c r="A301" s="19" t="s">
        <v>327</v>
      </c>
      <c r="B301" s="19">
        <v>8</v>
      </c>
      <c r="C301" s="19" t="s">
        <v>13</v>
      </c>
      <c r="D301" s="19">
        <v>30</v>
      </c>
      <c r="E301" s="19">
        <v>7538531793</v>
      </c>
      <c r="F301" s="19" t="s">
        <v>27</v>
      </c>
      <c r="G301" s="19">
        <v>14</v>
      </c>
      <c r="H301" s="19" t="s">
        <v>15</v>
      </c>
      <c r="I301" s="19" t="s">
        <v>22</v>
      </c>
      <c r="J301" s="19" t="s">
        <v>23</v>
      </c>
      <c r="K301" s="19" t="s">
        <v>49</v>
      </c>
      <c r="L301" s="19" t="s">
        <v>19</v>
      </c>
    </row>
    <row r="302" spans="1:12" ht="15.6">
      <c r="A302" s="19" t="s">
        <v>328</v>
      </c>
      <c r="B302" s="19">
        <v>6</v>
      </c>
      <c r="C302" s="19" t="s">
        <v>26</v>
      </c>
      <c r="D302" s="19">
        <v>2</v>
      </c>
      <c r="E302" s="19">
        <v>7477322148</v>
      </c>
      <c r="F302" s="19" t="s">
        <v>27</v>
      </c>
      <c r="G302" s="19">
        <v>11</v>
      </c>
      <c r="H302" s="19" t="s">
        <v>33</v>
      </c>
      <c r="I302" s="19" t="s">
        <v>22</v>
      </c>
      <c r="J302" s="19" t="s">
        <v>23</v>
      </c>
      <c r="K302" s="19" t="s">
        <v>28</v>
      </c>
      <c r="L302" s="19" t="s">
        <v>28</v>
      </c>
    </row>
    <row r="303" spans="1:12" ht="15.6">
      <c r="A303" s="19" t="s">
        <v>329</v>
      </c>
      <c r="B303" s="19">
        <v>9</v>
      </c>
      <c r="C303" s="19" t="s">
        <v>21</v>
      </c>
      <c r="D303" s="19">
        <v>30</v>
      </c>
      <c r="E303" s="19">
        <v>9959651863</v>
      </c>
      <c r="F303" s="19" t="s">
        <v>14</v>
      </c>
      <c r="G303" s="19">
        <v>14</v>
      </c>
      <c r="H303" s="19" t="s">
        <v>15</v>
      </c>
      <c r="I303" s="19" t="s">
        <v>16</v>
      </c>
      <c r="J303" s="19" t="s">
        <v>17</v>
      </c>
      <c r="K303" s="19" t="s">
        <v>18</v>
      </c>
      <c r="L303" s="19" t="s">
        <v>42</v>
      </c>
    </row>
    <row r="304" spans="1:12" ht="15.6">
      <c r="A304" s="19" t="s">
        <v>330</v>
      </c>
      <c r="B304" s="19">
        <v>8</v>
      </c>
      <c r="C304" s="19" t="s">
        <v>13</v>
      </c>
      <c r="D304" s="19">
        <v>189</v>
      </c>
      <c r="E304" s="19">
        <v>7625186359</v>
      </c>
      <c r="F304" s="19" t="s">
        <v>14</v>
      </c>
      <c r="G304" s="19">
        <v>13</v>
      </c>
      <c r="H304" s="19" t="s">
        <v>33</v>
      </c>
      <c r="I304" s="19" t="s">
        <v>22</v>
      </c>
      <c r="J304" s="19" t="s">
        <v>17</v>
      </c>
      <c r="K304" s="19" t="s">
        <v>49</v>
      </c>
      <c r="L304" s="19" t="s">
        <v>42</v>
      </c>
    </row>
    <row r="305" spans="1:12" ht="15.6">
      <c r="A305" s="19" t="s">
        <v>331</v>
      </c>
      <c r="B305" s="19">
        <v>6</v>
      </c>
      <c r="C305" s="19" t="s">
        <v>26</v>
      </c>
      <c r="D305" s="19">
        <v>67</v>
      </c>
      <c r="E305" s="19">
        <v>8976528782</v>
      </c>
      <c r="F305" s="19" t="s">
        <v>27</v>
      </c>
      <c r="G305" s="19">
        <v>11</v>
      </c>
      <c r="H305" s="19" t="s">
        <v>15</v>
      </c>
      <c r="I305" s="19" t="s">
        <v>16</v>
      </c>
      <c r="J305" s="19" t="s">
        <v>17</v>
      </c>
      <c r="K305" s="19" t="s">
        <v>28</v>
      </c>
      <c r="L305" s="19" t="s">
        <v>31</v>
      </c>
    </row>
    <row r="306" spans="1:12" ht="15.6">
      <c r="A306" s="19" t="s">
        <v>114</v>
      </c>
      <c r="B306" s="19">
        <v>8</v>
      </c>
      <c r="C306" s="19" t="s">
        <v>26</v>
      </c>
      <c r="D306" s="19">
        <v>168</v>
      </c>
      <c r="E306" s="19">
        <v>7793196961</v>
      </c>
      <c r="F306" s="19" t="s">
        <v>14</v>
      </c>
      <c r="G306" s="19">
        <v>14</v>
      </c>
      <c r="H306" s="19" t="s">
        <v>33</v>
      </c>
      <c r="I306" s="19" t="s">
        <v>22</v>
      </c>
      <c r="J306" s="19" t="s">
        <v>23</v>
      </c>
      <c r="K306" s="19" t="s">
        <v>28</v>
      </c>
      <c r="L306" s="19" t="s">
        <v>42</v>
      </c>
    </row>
    <row r="307" spans="1:12" ht="15.6">
      <c r="A307" s="19" t="s">
        <v>332</v>
      </c>
      <c r="B307" s="19">
        <v>7</v>
      </c>
      <c r="C307" s="19" t="s">
        <v>13</v>
      </c>
      <c r="D307" s="19">
        <v>169</v>
      </c>
      <c r="E307" s="19">
        <v>7430553333</v>
      </c>
      <c r="F307" s="19" t="s">
        <v>14</v>
      </c>
      <c r="G307" s="19">
        <v>12</v>
      </c>
      <c r="H307" s="19" t="s">
        <v>15</v>
      </c>
      <c r="I307" s="19" t="s">
        <v>22</v>
      </c>
      <c r="J307" s="19" t="s">
        <v>23</v>
      </c>
      <c r="K307" s="19" t="s">
        <v>28</v>
      </c>
      <c r="L307" s="19" t="s">
        <v>28</v>
      </c>
    </row>
    <row r="308" spans="1:12" ht="15.6">
      <c r="A308" s="19" t="s">
        <v>333</v>
      </c>
      <c r="B308" s="19">
        <v>7</v>
      </c>
      <c r="C308" s="19" t="s">
        <v>21</v>
      </c>
      <c r="D308" s="19">
        <v>159</v>
      </c>
      <c r="E308" s="19">
        <v>6907646385</v>
      </c>
      <c r="F308" s="19" t="s">
        <v>27</v>
      </c>
      <c r="G308" s="19">
        <v>13</v>
      </c>
      <c r="H308" s="19" t="s">
        <v>15</v>
      </c>
      <c r="I308" s="19" t="s">
        <v>16</v>
      </c>
      <c r="J308" s="19" t="s">
        <v>17</v>
      </c>
      <c r="K308" s="19" t="s">
        <v>28</v>
      </c>
      <c r="L308" s="19" t="s">
        <v>28</v>
      </c>
    </row>
    <row r="309" spans="1:12" ht="15.6">
      <c r="A309" s="19" t="s">
        <v>334</v>
      </c>
      <c r="B309" s="19">
        <v>7</v>
      </c>
      <c r="C309" s="19" t="s">
        <v>37</v>
      </c>
      <c r="D309" s="19">
        <v>122</v>
      </c>
      <c r="E309" s="19">
        <v>8313330573</v>
      </c>
      <c r="F309" s="19" t="s">
        <v>14</v>
      </c>
      <c r="G309" s="19">
        <v>13</v>
      </c>
      <c r="H309" s="19" t="s">
        <v>15</v>
      </c>
      <c r="I309" s="19" t="s">
        <v>22</v>
      </c>
      <c r="J309" s="19" t="s">
        <v>17</v>
      </c>
      <c r="K309" s="19" t="s">
        <v>24</v>
      </c>
      <c r="L309" s="19" t="s">
        <v>28</v>
      </c>
    </row>
    <row r="310" spans="1:12" ht="15.6">
      <c r="A310" s="19" t="s">
        <v>335</v>
      </c>
      <c r="B310" s="19">
        <v>7</v>
      </c>
      <c r="C310" s="19" t="s">
        <v>13</v>
      </c>
      <c r="D310" s="19">
        <v>31</v>
      </c>
      <c r="E310" s="19">
        <v>9431609795</v>
      </c>
      <c r="F310" s="19" t="s">
        <v>14</v>
      </c>
      <c r="G310" s="19">
        <v>12</v>
      </c>
      <c r="H310" s="19" t="s">
        <v>33</v>
      </c>
      <c r="I310" s="19" t="s">
        <v>16</v>
      </c>
      <c r="J310" s="19" t="s">
        <v>17</v>
      </c>
      <c r="K310" s="19" t="s">
        <v>49</v>
      </c>
      <c r="L310" s="19" t="s">
        <v>31</v>
      </c>
    </row>
    <row r="311" spans="1:12" ht="15.6">
      <c r="A311" s="19" t="s">
        <v>336</v>
      </c>
      <c r="B311" s="19">
        <v>10</v>
      </c>
      <c r="C311" s="19" t="s">
        <v>37</v>
      </c>
      <c r="D311" s="19">
        <v>131</v>
      </c>
      <c r="E311" s="19">
        <v>7838231154</v>
      </c>
      <c r="F311" s="19" t="s">
        <v>14</v>
      </c>
      <c r="G311" s="19">
        <v>15</v>
      </c>
      <c r="H311" s="19" t="s">
        <v>15</v>
      </c>
      <c r="I311" s="19" t="s">
        <v>22</v>
      </c>
      <c r="J311" s="19" t="s">
        <v>23</v>
      </c>
      <c r="K311" s="19" t="s">
        <v>28</v>
      </c>
      <c r="L311" s="19" t="s">
        <v>42</v>
      </c>
    </row>
    <row r="312" spans="1:12" ht="15.6">
      <c r="A312" s="19" t="s">
        <v>337</v>
      </c>
      <c r="B312" s="19">
        <v>9</v>
      </c>
      <c r="C312" s="19" t="s">
        <v>13</v>
      </c>
      <c r="D312" s="19">
        <v>165</v>
      </c>
      <c r="E312" s="19">
        <v>7263441142</v>
      </c>
      <c r="F312" s="19" t="s">
        <v>27</v>
      </c>
      <c r="G312" s="19">
        <v>15</v>
      </c>
      <c r="H312" s="19" t="s">
        <v>15</v>
      </c>
      <c r="I312" s="19" t="s">
        <v>16</v>
      </c>
      <c r="J312" s="19" t="s">
        <v>23</v>
      </c>
      <c r="K312" s="19" t="s">
        <v>30</v>
      </c>
      <c r="L312" s="19" t="s">
        <v>28</v>
      </c>
    </row>
    <row r="313" spans="1:12" ht="15.6">
      <c r="A313" s="19" t="s">
        <v>338</v>
      </c>
      <c r="B313" s="19">
        <v>6</v>
      </c>
      <c r="C313" s="19" t="s">
        <v>13</v>
      </c>
      <c r="D313" s="19">
        <v>32</v>
      </c>
      <c r="E313" s="19">
        <v>8856871743</v>
      </c>
      <c r="F313" s="19" t="s">
        <v>14</v>
      </c>
      <c r="G313" s="19">
        <v>12</v>
      </c>
      <c r="H313" s="19" t="s">
        <v>15</v>
      </c>
      <c r="I313" s="19" t="s">
        <v>16</v>
      </c>
      <c r="J313" s="19" t="s">
        <v>23</v>
      </c>
      <c r="K313" s="19" t="s">
        <v>18</v>
      </c>
      <c r="L313" s="19" t="s">
        <v>28</v>
      </c>
    </row>
    <row r="314" spans="1:12" ht="15.6">
      <c r="A314" s="19" t="s">
        <v>339</v>
      </c>
      <c r="B314" s="19">
        <v>9</v>
      </c>
      <c r="C314" s="19" t="s">
        <v>37</v>
      </c>
      <c r="D314" s="19">
        <v>100</v>
      </c>
      <c r="E314" s="19">
        <v>9043980729</v>
      </c>
      <c r="F314" s="19" t="s">
        <v>14</v>
      </c>
      <c r="G314" s="19">
        <v>14</v>
      </c>
      <c r="H314" s="19" t="s">
        <v>15</v>
      </c>
      <c r="I314" s="19" t="s">
        <v>16</v>
      </c>
      <c r="J314" s="19" t="s">
        <v>23</v>
      </c>
      <c r="K314" s="19" t="s">
        <v>24</v>
      </c>
      <c r="L314" s="19" t="s">
        <v>28</v>
      </c>
    </row>
    <row r="315" spans="1:12" ht="15.6">
      <c r="A315" s="19" t="s">
        <v>340</v>
      </c>
      <c r="B315" s="19">
        <v>9</v>
      </c>
      <c r="C315" s="19" t="s">
        <v>21</v>
      </c>
      <c r="D315" s="19">
        <v>25</v>
      </c>
      <c r="E315" s="19">
        <v>8737463680</v>
      </c>
      <c r="F315" s="19" t="s">
        <v>14</v>
      </c>
      <c r="G315" s="19">
        <v>15</v>
      </c>
      <c r="H315" s="19" t="s">
        <v>15</v>
      </c>
      <c r="I315" s="19" t="s">
        <v>16</v>
      </c>
      <c r="J315" s="19" t="s">
        <v>23</v>
      </c>
      <c r="K315" s="19" t="s">
        <v>28</v>
      </c>
      <c r="L315" s="19" t="s">
        <v>42</v>
      </c>
    </row>
    <row r="316" spans="1:12" ht="15.6">
      <c r="A316" s="19" t="s">
        <v>341</v>
      </c>
      <c r="B316" s="19">
        <v>9</v>
      </c>
      <c r="C316" s="19" t="s">
        <v>37</v>
      </c>
      <c r="D316" s="19">
        <v>39</v>
      </c>
      <c r="E316" s="19">
        <v>7542719920</v>
      </c>
      <c r="F316" s="19" t="s">
        <v>27</v>
      </c>
      <c r="G316" s="19">
        <v>14</v>
      </c>
      <c r="H316" s="19" t="s">
        <v>33</v>
      </c>
      <c r="I316" s="19" t="s">
        <v>22</v>
      </c>
      <c r="J316" s="19" t="s">
        <v>17</v>
      </c>
      <c r="K316" s="19" t="s">
        <v>49</v>
      </c>
      <c r="L316" s="19" t="s">
        <v>31</v>
      </c>
    </row>
    <row r="317" spans="1:12" ht="15.6">
      <c r="A317" s="19" t="s">
        <v>342</v>
      </c>
      <c r="B317" s="19">
        <v>10</v>
      </c>
      <c r="C317" s="19" t="s">
        <v>37</v>
      </c>
      <c r="D317" s="19">
        <v>7</v>
      </c>
      <c r="E317" s="19">
        <v>6033678651</v>
      </c>
      <c r="F317" s="19" t="s">
        <v>14</v>
      </c>
      <c r="G317" s="19">
        <v>15</v>
      </c>
      <c r="H317" s="19" t="s">
        <v>33</v>
      </c>
      <c r="I317" s="19" t="s">
        <v>16</v>
      </c>
      <c r="J317" s="19" t="s">
        <v>23</v>
      </c>
      <c r="K317" s="19" t="s">
        <v>49</v>
      </c>
      <c r="L317" s="19" t="s">
        <v>31</v>
      </c>
    </row>
    <row r="318" spans="1:12" ht="15.6">
      <c r="A318" s="19" t="s">
        <v>343</v>
      </c>
      <c r="B318" s="19">
        <v>6</v>
      </c>
      <c r="C318" s="19" t="s">
        <v>13</v>
      </c>
      <c r="D318" s="19">
        <v>107</v>
      </c>
      <c r="E318" s="19">
        <v>8652624994</v>
      </c>
      <c r="F318" s="19" t="s">
        <v>14</v>
      </c>
      <c r="G318" s="19">
        <v>12</v>
      </c>
      <c r="H318" s="19" t="s">
        <v>15</v>
      </c>
      <c r="I318" s="19" t="s">
        <v>22</v>
      </c>
      <c r="J318" s="19" t="s">
        <v>23</v>
      </c>
      <c r="K318" s="19" t="s">
        <v>49</v>
      </c>
      <c r="L318" s="19" t="s">
        <v>19</v>
      </c>
    </row>
    <row r="319" spans="1:12" ht="15.6">
      <c r="A319" s="19" t="s">
        <v>344</v>
      </c>
      <c r="B319" s="19">
        <v>10</v>
      </c>
      <c r="C319" s="19" t="s">
        <v>26</v>
      </c>
      <c r="D319" s="19">
        <v>96</v>
      </c>
      <c r="E319" s="19">
        <v>9749632442</v>
      </c>
      <c r="F319" s="19" t="s">
        <v>27</v>
      </c>
      <c r="G319" s="19">
        <v>15</v>
      </c>
      <c r="H319" s="19" t="s">
        <v>33</v>
      </c>
      <c r="I319" s="19" t="s">
        <v>22</v>
      </c>
      <c r="J319" s="19" t="s">
        <v>17</v>
      </c>
      <c r="K319" s="19" t="s">
        <v>30</v>
      </c>
      <c r="L319" s="19" t="s">
        <v>42</v>
      </c>
    </row>
    <row r="320" spans="1:12" ht="15.6">
      <c r="A320" s="19" t="s">
        <v>345</v>
      </c>
      <c r="B320" s="19">
        <v>10</v>
      </c>
      <c r="C320" s="19" t="s">
        <v>13</v>
      </c>
      <c r="D320" s="19">
        <v>2</v>
      </c>
      <c r="E320" s="19">
        <v>6726097501</v>
      </c>
      <c r="F320" s="19" t="s">
        <v>14</v>
      </c>
      <c r="G320" s="19">
        <v>15</v>
      </c>
      <c r="H320" s="19" t="s">
        <v>15</v>
      </c>
      <c r="I320" s="19" t="s">
        <v>16</v>
      </c>
      <c r="J320" s="19" t="s">
        <v>23</v>
      </c>
      <c r="K320" s="19" t="s">
        <v>30</v>
      </c>
      <c r="L320" s="19" t="s">
        <v>31</v>
      </c>
    </row>
    <row r="321" spans="1:12" ht="15.6">
      <c r="A321" s="19" t="s">
        <v>244</v>
      </c>
      <c r="B321" s="19">
        <v>9</v>
      </c>
      <c r="C321" s="19" t="s">
        <v>21</v>
      </c>
      <c r="D321" s="19">
        <v>59</v>
      </c>
      <c r="E321" s="19">
        <v>9141478221</v>
      </c>
      <c r="F321" s="19" t="s">
        <v>27</v>
      </c>
      <c r="G321" s="19">
        <v>14</v>
      </c>
      <c r="H321" s="19" t="s">
        <v>33</v>
      </c>
      <c r="I321" s="19" t="s">
        <v>16</v>
      </c>
      <c r="J321" s="19" t="s">
        <v>23</v>
      </c>
      <c r="K321" s="19" t="s">
        <v>49</v>
      </c>
      <c r="L321" s="19" t="s">
        <v>42</v>
      </c>
    </row>
    <row r="322" spans="1:12" ht="15.6">
      <c r="A322" s="19" t="s">
        <v>346</v>
      </c>
      <c r="B322" s="19">
        <v>9</v>
      </c>
      <c r="C322" s="19" t="s">
        <v>21</v>
      </c>
      <c r="D322" s="19">
        <v>102</v>
      </c>
      <c r="E322" s="19">
        <v>6198711940</v>
      </c>
      <c r="F322" s="19" t="s">
        <v>14</v>
      </c>
      <c r="G322" s="19">
        <v>15</v>
      </c>
      <c r="H322" s="19" t="s">
        <v>33</v>
      </c>
      <c r="I322" s="19" t="s">
        <v>16</v>
      </c>
      <c r="J322" s="19" t="s">
        <v>17</v>
      </c>
      <c r="K322" s="19" t="s">
        <v>30</v>
      </c>
      <c r="L322" s="19" t="s">
        <v>42</v>
      </c>
    </row>
    <row r="323" spans="1:12" ht="15.6">
      <c r="A323" s="19" t="s">
        <v>347</v>
      </c>
      <c r="B323" s="19">
        <v>8</v>
      </c>
      <c r="C323" s="19" t="s">
        <v>21</v>
      </c>
      <c r="D323" s="19">
        <v>41</v>
      </c>
      <c r="E323" s="19">
        <v>6947539071</v>
      </c>
      <c r="F323" s="19" t="s">
        <v>14</v>
      </c>
      <c r="G323" s="19">
        <v>13</v>
      </c>
      <c r="H323" s="19" t="s">
        <v>15</v>
      </c>
      <c r="I323" s="19" t="s">
        <v>16</v>
      </c>
      <c r="J323" s="19" t="s">
        <v>23</v>
      </c>
      <c r="K323" s="19" t="s">
        <v>24</v>
      </c>
      <c r="L323" s="19" t="s">
        <v>42</v>
      </c>
    </row>
    <row r="324" spans="1:12" ht="15.6">
      <c r="A324" s="19" t="s">
        <v>348</v>
      </c>
      <c r="B324" s="19">
        <v>7</v>
      </c>
      <c r="C324" s="19" t="s">
        <v>37</v>
      </c>
      <c r="D324" s="19">
        <v>139</v>
      </c>
      <c r="E324" s="19">
        <v>7285179059</v>
      </c>
      <c r="F324" s="19" t="s">
        <v>14</v>
      </c>
      <c r="G324" s="19">
        <v>12</v>
      </c>
      <c r="H324" s="19" t="s">
        <v>33</v>
      </c>
      <c r="I324" s="19" t="s">
        <v>16</v>
      </c>
      <c r="J324" s="19" t="s">
        <v>17</v>
      </c>
      <c r="K324" s="19" t="s">
        <v>28</v>
      </c>
      <c r="L324" s="19" t="s">
        <v>31</v>
      </c>
    </row>
    <row r="325" spans="1:12" ht="15.6">
      <c r="A325" s="19" t="s">
        <v>349</v>
      </c>
      <c r="B325" s="19">
        <v>9</v>
      </c>
      <c r="C325" s="19" t="s">
        <v>13</v>
      </c>
      <c r="D325" s="19">
        <v>146</v>
      </c>
      <c r="E325" s="19">
        <v>7793564597</v>
      </c>
      <c r="F325" s="19" t="s">
        <v>14</v>
      </c>
      <c r="G325" s="19">
        <v>15</v>
      </c>
      <c r="H325" s="19" t="s">
        <v>33</v>
      </c>
      <c r="I325" s="19" t="s">
        <v>16</v>
      </c>
      <c r="J325" s="19" t="s">
        <v>17</v>
      </c>
      <c r="K325" s="19" t="s">
        <v>28</v>
      </c>
      <c r="L325" s="19" t="s">
        <v>28</v>
      </c>
    </row>
    <row r="326" spans="1:12" ht="15.6">
      <c r="A326" s="19" t="s">
        <v>350</v>
      </c>
      <c r="B326" s="19">
        <v>7</v>
      </c>
      <c r="C326" s="19" t="s">
        <v>26</v>
      </c>
      <c r="D326" s="19">
        <v>15</v>
      </c>
      <c r="E326" s="19">
        <v>7685153318</v>
      </c>
      <c r="F326" s="19" t="s">
        <v>27</v>
      </c>
      <c r="G326" s="19">
        <v>12</v>
      </c>
      <c r="H326" s="19" t="s">
        <v>15</v>
      </c>
      <c r="I326" s="19" t="s">
        <v>22</v>
      </c>
      <c r="J326" s="19" t="s">
        <v>23</v>
      </c>
      <c r="K326" s="19" t="s">
        <v>28</v>
      </c>
      <c r="L326" s="19" t="s">
        <v>28</v>
      </c>
    </row>
    <row r="327" spans="1:12" ht="15.6">
      <c r="A327" s="19" t="s">
        <v>351</v>
      </c>
      <c r="B327" s="19">
        <v>8</v>
      </c>
      <c r="C327" s="19" t="s">
        <v>21</v>
      </c>
      <c r="D327" s="19">
        <v>173</v>
      </c>
      <c r="E327" s="19">
        <v>8723600470</v>
      </c>
      <c r="F327" s="19" t="s">
        <v>14</v>
      </c>
      <c r="G327" s="19">
        <v>13</v>
      </c>
      <c r="H327" s="19" t="s">
        <v>15</v>
      </c>
      <c r="I327" s="19" t="s">
        <v>16</v>
      </c>
      <c r="J327" s="19" t="s">
        <v>23</v>
      </c>
      <c r="K327" s="19" t="s">
        <v>28</v>
      </c>
      <c r="L327" s="19" t="s">
        <v>42</v>
      </c>
    </row>
    <row r="328" spans="1:12" ht="15.6">
      <c r="A328" s="19" t="s">
        <v>352</v>
      </c>
      <c r="B328" s="19">
        <v>10</v>
      </c>
      <c r="C328" s="19" t="s">
        <v>37</v>
      </c>
      <c r="D328" s="19">
        <v>193</v>
      </c>
      <c r="E328" s="19">
        <v>7990891369</v>
      </c>
      <c r="F328" s="19" t="s">
        <v>27</v>
      </c>
      <c r="G328" s="19">
        <v>16</v>
      </c>
      <c r="H328" s="19" t="s">
        <v>15</v>
      </c>
      <c r="I328" s="19" t="s">
        <v>22</v>
      </c>
      <c r="J328" s="19" t="s">
        <v>23</v>
      </c>
      <c r="K328" s="19" t="s">
        <v>30</v>
      </c>
      <c r="L328" s="19" t="s">
        <v>28</v>
      </c>
    </row>
    <row r="329" spans="1:12" ht="15.6">
      <c r="A329" s="19" t="s">
        <v>353</v>
      </c>
      <c r="B329" s="19">
        <v>6</v>
      </c>
      <c r="C329" s="19" t="s">
        <v>26</v>
      </c>
      <c r="D329" s="19">
        <v>84</v>
      </c>
      <c r="E329" s="19">
        <v>6910306174</v>
      </c>
      <c r="F329" s="19" t="s">
        <v>14</v>
      </c>
      <c r="G329" s="19">
        <v>12</v>
      </c>
      <c r="H329" s="19" t="s">
        <v>33</v>
      </c>
      <c r="I329" s="19" t="s">
        <v>22</v>
      </c>
      <c r="J329" s="19" t="s">
        <v>23</v>
      </c>
      <c r="K329" s="19" t="s">
        <v>28</v>
      </c>
      <c r="L329" s="19" t="s">
        <v>28</v>
      </c>
    </row>
    <row r="330" spans="1:12" ht="15.6">
      <c r="A330" s="19" t="s">
        <v>354</v>
      </c>
      <c r="B330" s="19">
        <v>7</v>
      </c>
      <c r="C330" s="19" t="s">
        <v>26</v>
      </c>
      <c r="D330" s="19">
        <v>153</v>
      </c>
      <c r="E330" s="19">
        <v>6286128761</v>
      </c>
      <c r="F330" s="19" t="s">
        <v>14</v>
      </c>
      <c r="G330" s="19">
        <v>13</v>
      </c>
      <c r="H330" s="19" t="s">
        <v>15</v>
      </c>
      <c r="I330" s="19" t="s">
        <v>22</v>
      </c>
      <c r="J330" s="19" t="s">
        <v>23</v>
      </c>
      <c r="K330" s="19" t="s">
        <v>49</v>
      </c>
      <c r="L330" s="19" t="s">
        <v>28</v>
      </c>
    </row>
    <row r="331" spans="1:12" ht="15.6">
      <c r="A331" s="19" t="s">
        <v>355</v>
      </c>
      <c r="B331" s="19">
        <v>9</v>
      </c>
      <c r="C331" s="19" t="s">
        <v>21</v>
      </c>
      <c r="D331" s="19">
        <v>183</v>
      </c>
      <c r="E331" s="19">
        <v>9518191824</v>
      </c>
      <c r="F331" s="19" t="s">
        <v>27</v>
      </c>
      <c r="G331" s="19">
        <v>15</v>
      </c>
      <c r="H331" s="19" t="s">
        <v>33</v>
      </c>
      <c r="I331" s="19" t="s">
        <v>22</v>
      </c>
      <c r="J331" s="19" t="s">
        <v>23</v>
      </c>
      <c r="K331" s="19" t="s">
        <v>24</v>
      </c>
      <c r="L331" s="19" t="s">
        <v>19</v>
      </c>
    </row>
    <row r="332" spans="1:12" ht="15.6">
      <c r="A332" s="19" t="s">
        <v>356</v>
      </c>
      <c r="B332" s="19">
        <v>6</v>
      </c>
      <c r="C332" s="19" t="s">
        <v>26</v>
      </c>
      <c r="D332" s="19">
        <v>88</v>
      </c>
      <c r="E332" s="19">
        <v>9278054105</v>
      </c>
      <c r="F332" s="19" t="s">
        <v>27</v>
      </c>
      <c r="G332" s="19">
        <v>12</v>
      </c>
      <c r="H332" s="19" t="s">
        <v>15</v>
      </c>
      <c r="I332" s="19" t="s">
        <v>22</v>
      </c>
      <c r="J332" s="19" t="s">
        <v>23</v>
      </c>
      <c r="K332" s="19" t="s">
        <v>28</v>
      </c>
      <c r="L332" s="19" t="s">
        <v>28</v>
      </c>
    </row>
    <row r="333" spans="1:12" ht="15.6">
      <c r="A333" s="19" t="s">
        <v>357</v>
      </c>
      <c r="B333" s="19">
        <v>8</v>
      </c>
      <c r="C333" s="19" t="s">
        <v>13</v>
      </c>
      <c r="D333" s="19">
        <v>179</v>
      </c>
      <c r="E333" s="19">
        <v>8666301076</v>
      </c>
      <c r="F333" s="19" t="s">
        <v>27</v>
      </c>
      <c r="G333" s="19">
        <v>13</v>
      </c>
      <c r="H333" s="19" t="s">
        <v>33</v>
      </c>
      <c r="I333" s="19" t="s">
        <v>16</v>
      </c>
      <c r="J333" s="19" t="s">
        <v>23</v>
      </c>
      <c r="K333" s="19" t="s">
        <v>28</v>
      </c>
      <c r="L333" s="19" t="s">
        <v>28</v>
      </c>
    </row>
    <row r="334" spans="1:12" ht="15.6">
      <c r="A334" s="19" t="s">
        <v>358</v>
      </c>
      <c r="B334" s="19">
        <v>6</v>
      </c>
      <c r="C334" s="19" t="s">
        <v>21</v>
      </c>
      <c r="D334" s="19">
        <v>3</v>
      </c>
      <c r="E334" s="19">
        <v>7662119794</v>
      </c>
      <c r="F334" s="19" t="s">
        <v>14</v>
      </c>
      <c r="G334" s="19">
        <v>11</v>
      </c>
      <c r="H334" s="19" t="s">
        <v>33</v>
      </c>
      <c r="I334" s="19" t="s">
        <v>22</v>
      </c>
      <c r="J334" s="19" t="s">
        <v>17</v>
      </c>
      <c r="K334" s="19" t="s">
        <v>49</v>
      </c>
      <c r="L334" s="19" t="s">
        <v>28</v>
      </c>
    </row>
    <row r="335" spans="1:12" ht="15.6">
      <c r="A335" s="19" t="s">
        <v>359</v>
      </c>
      <c r="B335" s="19">
        <v>9</v>
      </c>
      <c r="C335" s="19" t="s">
        <v>13</v>
      </c>
      <c r="D335" s="19">
        <v>70</v>
      </c>
      <c r="E335" s="19">
        <v>9394929215</v>
      </c>
      <c r="F335" s="19" t="s">
        <v>14</v>
      </c>
      <c r="G335" s="19">
        <v>14</v>
      </c>
      <c r="H335" s="19" t="s">
        <v>15</v>
      </c>
      <c r="I335" s="19" t="s">
        <v>22</v>
      </c>
      <c r="J335" s="19" t="s">
        <v>17</v>
      </c>
      <c r="K335" s="19" t="s">
        <v>24</v>
      </c>
      <c r="L335" s="19" t="s">
        <v>28</v>
      </c>
    </row>
    <row r="336" spans="1:12" ht="15.6">
      <c r="A336" s="19" t="s">
        <v>360</v>
      </c>
      <c r="B336" s="19">
        <v>10</v>
      </c>
      <c r="C336" s="19" t="s">
        <v>13</v>
      </c>
      <c r="D336" s="19">
        <v>182</v>
      </c>
      <c r="E336" s="19">
        <v>8682204960</v>
      </c>
      <c r="F336" s="19" t="s">
        <v>27</v>
      </c>
      <c r="G336" s="19">
        <v>16</v>
      </c>
      <c r="H336" s="19" t="s">
        <v>15</v>
      </c>
      <c r="I336" s="19" t="s">
        <v>16</v>
      </c>
      <c r="J336" s="19" t="s">
        <v>23</v>
      </c>
      <c r="K336" s="19" t="s">
        <v>24</v>
      </c>
      <c r="L336" s="19" t="s">
        <v>42</v>
      </c>
    </row>
    <row r="337" spans="1:12" ht="15.6">
      <c r="A337" s="19" t="s">
        <v>361</v>
      </c>
      <c r="B337" s="19">
        <v>10</v>
      </c>
      <c r="C337" s="19" t="s">
        <v>26</v>
      </c>
      <c r="D337" s="19">
        <v>11</v>
      </c>
      <c r="E337" s="19">
        <v>7407012564</v>
      </c>
      <c r="F337" s="19" t="s">
        <v>27</v>
      </c>
      <c r="G337" s="19">
        <v>16</v>
      </c>
      <c r="H337" s="19" t="s">
        <v>15</v>
      </c>
      <c r="I337" s="19" t="s">
        <v>22</v>
      </c>
      <c r="J337" s="19" t="s">
        <v>17</v>
      </c>
      <c r="K337" s="19" t="s">
        <v>28</v>
      </c>
      <c r="L337" s="19" t="s">
        <v>31</v>
      </c>
    </row>
    <row r="338" spans="1:12" ht="15.6">
      <c r="A338" s="19" t="s">
        <v>362</v>
      </c>
      <c r="B338" s="19">
        <v>8</v>
      </c>
      <c r="C338" s="19" t="s">
        <v>37</v>
      </c>
      <c r="D338" s="19">
        <v>9</v>
      </c>
      <c r="E338" s="19">
        <v>9671759392</v>
      </c>
      <c r="F338" s="19" t="s">
        <v>14</v>
      </c>
      <c r="G338" s="19">
        <v>13</v>
      </c>
      <c r="H338" s="19" t="s">
        <v>15</v>
      </c>
      <c r="I338" s="19" t="s">
        <v>22</v>
      </c>
      <c r="J338" s="19" t="s">
        <v>23</v>
      </c>
      <c r="K338" s="19" t="s">
        <v>49</v>
      </c>
      <c r="L338" s="19" t="s">
        <v>19</v>
      </c>
    </row>
    <row r="339" spans="1:12" ht="15.6">
      <c r="A339" s="19" t="s">
        <v>363</v>
      </c>
      <c r="B339" s="19">
        <v>6</v>
      </c>
      <c r="C339" s="19" t="s">
        <v>37</v>
      </c>
      <c r="D339" s="19">
        <v>11</v>
      </c>
      <c r="E339" s="19">
        <v>7338015718</v>
      </c>
      <c r="F339" s="19" t="s">
        <v>14</v>
      </c>
      <c r="G339" s="19">
        <v>11</v>
      </c>
      <c r="H339" s="19" t="s">
        <v>33</v>
      </c>
      <c r="I339" s="19" t="s">
        <v>22</v>
      </c>
      <c r="J339" s="19" t="s">
        <v>17</v>
      </c>
      <c r="K339" s="19" t="s">
        <v>30</v>
      </c>
      <c r="L339" s="19" t="s">
        <v>31</v>
      </c>
    </row>
    <row r="340" spans="1:12" ht="15.6">
      <c r="A340" s="19" t="s">
        <v>364</v>
      </c>
      <c r="B340" s="19">
        <v>9</v>
      </c>
      <c r="C340" s="19" t="s">
        <v>26</v>
      </c>
      <c r="D340" s="19">
        <v>37</v>
      </c>
      <c r="E340" s="19">
        <v>8779555768</v>
      </c>
      <c r="F340" s="19" t="s">
        <v>27</v>
      </c>
      <c r="G340" s="19">
        <v>14</v>
      </c>
      <c r="H340" s="19" t="s">
        <v>33</v>
      </c>
      <c r="I340" s="19" t="s">
        <v>16</v>
      </c>
      <c r="J340" s="19" t="s">
        <v>17</v>
      </c>
      <c r="K340" s="19" t="s">
        <v>24</v>
      </c>
      <c r="L340" s="19" t="s">
        <v>42</v>
      </c>
    </row>
    <row r="341" spans="1:12" ht="15.6">
      <c r="A341" s="19" t="s">
        <v>365</v>
      </c>
      <c r="B341" s="19">
        <v>9</v>
      </c>
      <c r="C341" s="19" t="s">
        <v>21</v>
      </c>
      <c r="D341" s="19">
        <v>179</v>
      </c>
      <c r="E341" s="19">
        <v>9822457217</v>
      </c>
      <c r="F341" s="19" t="s">
        <v>27</v>
      </c>
      <c r="G341" s="19">
        <v>15</v>
      </c>
      <c r="H341" s="19" t="s">
        <v>15</v>
      </c>
      <c r="I341" s="19" t="s">
        <v>16</v>
      </c>
      <c r="J341" s="19" t="s">
        <v>17</v>
      </c>
      <c r="K341" s="19" t="s">
        <v>28</v>
      </c>
      <c r="L341" s="19" t="s">
        <v>31</v>
      </c>
    </row>
    <row r="342" spans="1:12" ht="15.6">
      <c r="A342" s="19" t="s">
        <v>366</v>
      </c>
      <c r="B342" s="19">
        <v>7</v>
      </c>
      <c r="C342" s="19" t="s">
        <v>26</v>
      </c>
      <c r="D342" s="19">
        <v>30</v>
      </c>
      <c r="E342" s="19">
        <v>8006146603</v>
      </c>
      <c r="F342" s="19" t="s">
        <v>14</v>
      </c>
      <c r="G342" s="19">
        <v>13</v>
      </c>
      <c r="H342" s="19" t="s">
        <v>15</v>
      </c>
      <c r="I342" s="19" t="s">
        <v>16</v>
      </c>
      <c r="J342" s="19" t="s">
        <v>17</v>
      </c>
      <c r="K342" s="19" t="s">
        <v>24</v>
      </c>
      <c r="L342" s="19" t="s">
        <v>19</v>
      </c>
    </row>
    <row r="343" spans="1:12" ht="15.6">
      <c r="A343" s="19" t="s">
        <v>367</v>
      </c>
      <c r="B343" s="19">
        <v>7</v>
      </c>
      <c r="C343" s="19" t="s">
        <v>21</v>
      </c>
      <c r="D343" s="19">
        <v>9</v>
      </c>
      <c r="E343" s="19">
        <v>8079329724</v>
      </c>
      <c r="F343" s="19" t="s">
        <v>27</v>
      </c>
      <c r="G343" s="19">
        <v>13</v>
      </c>
      <c r="H343" s="19" t="s">
        <v>33</v>
      </c>
      <c r="I343" s="19" t="s">
        <v>16</v>
      </c>
      <c r="J343" s="19" t="s">
        <v>23</v>
      </c>
      <c r="K343" s="19" t="s">
        <v>18</v>
      </c>
      <c r="L343" s="19" t="s">
        <v>19</v>
      </c>
    </row>
    <row r="344" spans="1:12" ht="15.6">
      <c r="A344" s="19" t="s">
        <v>368</v>
      </c>
      <c r="B344" s="19">
        <v>6</v>
      </c>
      <c r="C344" s="19" t="s">
        <v>26</v>
      </c>
      <c r="D344" s="19">
        <v>153</v>
      </c>
      <c r="E344" s="19">
        <v>7180602870</v>
      </c>
      <c r="F344" s="19" t="s">
        <v>14</v>
      </c>
      <c r="G344" s="19">
        <v>12</v>
      </c>
      <c r="H344" s="19" t="s">
        <v>33</v>
      </c>
      <c r="I344" s="19" t="s">
        <v>16</v>
      </c>
      <c r="J344" s="19" t="s">
        <v>17</v>
      </c>
      <c r="K344" s="19" t="s">
        <v>28</v>
      </c>
      <c r="L344" s="19" t="s">
        <v>28</v>
      </c>
    </row>
    <row r="345" spans="1:12" ht="15.6">
      <c r="A345" s="19" t="s">
        <v>369</v>
      </c>
      <c r="B345" s="19">
        <v>8</v>
      </c>
      <c r="C345" s="19" t="s">
        <v>37</v>
      </c>
      <c r="D345" s="19">
        <v>28</v>
      </c>
      <c r="E345" s="19">
        <v>9267464157</v>
      </c>
      <c r="F345" s="19" t="s">
        <v>14</v>
      </c>
      <c r="G345" s="19">
        <v>13</v>
      </c>
      <c r="H345" s="19" t="s">
        <v>15</v>
      </c>
      <c r="I345" s="19" t="s">
        <v>16</v>
      </c>
      <c r="J345" s="19" t="s">
        <v>17</v>
      </c>
      <c r="K345" s="19" t="s">
        <v>28</v>
      </c>
      <c r="L345" s="19" t="s">
        <v>42</v>
      </c>
    </row>
    <row r="346" spans="1:12" ht="15.6">
      <c r="A346" s="19" t="s">
        <v>370</v>
      </c>
      <c r="B346" s="19">
        <v>7</v>
      </c>
      <c r="C346" s="19" t="s">
        <v>26</v>
      </c>
      <c r="D346" s="19">
        <v>62</v>
      </c>
      <c r="E346" s="19">
        <v>9941879701</v>
      </c>
      <c r="F346" s="19" t="s">
        <v>14</v>
      </c>
      <c r="G346" s="19">
        <v>12</v>
      </c>
      <c r="H346" s="19" t="s">
        <v>15</v>
      </c>
      <c r="I346" s="19" t="s">
        <v>22</v>
      </c>
      <c r="J346" s="19" t="s">
        <v>23</v>
      </c>
      <c r="K346" s="19" t="s">
        <v>28</v>
      </c>
      <c r="L346" s="19" t="s">
        <v>28</v>
      </c>
    </row>
    <row r="347" spans="1:12" ht="15.6">
      <c r="A347" s="19" t="s">
        <v>371</v>
      </c>
      <c r="B347" s="19">
        <v>7</v>
      </c>
      <c r="C347" s="19" t="s">
        <v>26</v>
      </c>
      <c r="D347" s="19">
        <v>128</v>
      </c>
      <c r="E347" s="19">
        <v>6175915076</v>
      </c>
      <c r="F347" s="19" t="s">
        <v>27</v>
      </c>
      <c r="G347" s="19">
        <v>12</v>
      </c>
      <c r="H347" s="19" t="s">
        <v>15</v>
      </c>
      <c r="I347" s="19" t="s">
        <v>16</v>
      </c>
      <c r="J347" s="19" t="s">
        <v>23</v>
      </c>
      <c r="K347" s="19" t="s">
        <v>18</v>
      </c>
      <c r="L347" s="19" t="s">
        <v>28</v>
      </c>
    </row>
    <row r="348" spans="1:12" ht="15.6">
      <c r="A348" s="19" t="s">
        <v>372</v>
      </c>
      <c r="B348" s="19">
        <v>9</v>
      </c>
      <c r="C348" s="19" t="s">
        <v>21</v>
      </c>
      <c r="D348" s="19">
        <v>106</v>
      </c>
      <c r="E348" s="19">
        <v>8813361722</v>
      </c>
      <c r="F348" s="19" t="s">
        <v>27</v>
      </c>
      <c r="G348" s="19">
        <v>15</v>
      </c>
      <c r="H348" s="19" t="s">
        <v>33</v>
      </c>
      <c r="I348" s="19" t="s">
        <v>16</v>
      </c>
      <c r="J348" s="19" t="s">
        <v>23</v>
      </c>
      <c r="K348" s="19" t="s">
        <v>28</v>
      </c>
      <c r="L348" s="19" t="s">
        <v>28</v>
      </c>
    </row>
    <row r="349" spans="1:12" ht="15.6">
      <c r="A349" s="19" t="s">
        <v>373</v>
      </c>
      <c r="B349" s="19">
        <v>6</v>
      </c>
      <c r="C349" s="19" t="s">
        <v>37</v>
      </c>
      <c r="D349" s="19">
        <v>143</v>
      </c>
      <c r="E349" s="19">
        <v>6836022809</v>
      </c>
      <c r="F349" s="19" t="s">
        <v>14</v>
      </c>
      <c r="G349" s="19">
        <v>11</v>
      </c>
      <c r="H349" s="19" t="s">
        <v>15</v>
      </c>
      <c r="I349" s="19" t="s">
        <v>22</v>
      </c>
      <c r="J349" s="19" t="s">
        <v>23</v>
      </c>
      <c r="K349" s="19" t="s">
        <v>30</v>
      </c>
      <c r="L349" s="19" t="s">
        <v>28</v>
      </c>
    </row>
    <row r="350" spans="1:12" ht="15.6">
      <c r="A350" s="19" t="s">
        <v>374</v>
      </c>
      <c r="B350" s="19">
        <v>7</v>
      </c>
      <c r="C350" s="19" t="s">
        <v>21</v>
      </c>
      <c r="D350" s="19">
        <v>120</v>
      </c>
      <c r="E350" s="19">
        <v>8298043105</v>
      </c>
      <c r="F350" s="19" t="s">
        <v>27</v>
      </c>
      <c r="G350" s="19">
        <v>13</v>
      </c>
      <c r="H350" s="19" t="s">
        <v>15</v>
      </c>
      <c r="I350" s="19" t="s">
        <v>22</v>
      </c>
      <c r="J350" s="19" t="s">
        <v>23</v>
      </c>
      <c r="K350" s="19" t="s">
        <v>49</v>
      </c>
      <c r="L350" s="19" t="s">
        <v>42</v>
      </c>
    </row>
    <row r="351" spans="1:12" ht="15.6">
      <c r="A351" s="19" t="s">
        <v>375</v>
      </c>
      <c r="B351" s="19">
        <v>8</v>
      </c>
      <c r="C351" s="19" t="s">
        <v>13</v>
      </c>
      <c r="D351" s="19">
        <v>52</v>
      </c>
      <c r="E351" s="19">
        <v>6029490020</v>
      </c>
      <c r="F351" s="19" t="s">
        <v>14</v>
      </c>
      <c r="G351" s="19">
        <v>14</v>
      </c>
      <c r="H351" s="19" t="s">
        <v>33</v>
      </c>
      <c r="I351" s="19" t="s">
        <v>22</v>
      </c>
      <c r="J351" s="19" t="s">
        <v>17</v>
      </c>
      <c r="K351" s="19" t="s">
        <v>24</v>
      </c>
      <c r="L351" s="19" t="s">
        <v>19</v>
      </c>
    </row>
    <row r="352" spans="1:12" ht="15.6">
      <c r="A352" s="19" t="s">
        <v>376</v>
      </c>
      <c r="B352" s="19">
        <v>6</v>
      </c>
      <c r="C352" s="19" t="s">
        <v>21</v>
      </c>
      <c r="D352" s="19">
        <v>151</v>
      </c>
      <c r="E352" s="19">
        <v>8640826372</v>
      </c>
      <c r="F352" s="19" t="s">
        <v>27</v>
      </c>
      <c r="G352" s="19">
        <v>11</v>
      </c>
      <c r="H352" s="19" t="s">
        <v>15</v>
      </c>
      <c r="I352" s="19" t="s">
        <v>16</v>
      </c>
      <c r="J352" s="19" t="s">
        <v>17</v>
      </c>
      <c r="K352" s="19" t="s">
        <v>28</v>
      </c>
      <c r="L352" s="19" t="s">
        <v>31</v>
      </c>
    </row>
    <row r="353" spans="1:12" ht="15.6">
      <c r="A353" s="19" t="s">
        <v>377</v>
      </c>
      <c r="B353" s="19">
        <v>7</v>
      </c>
      <c r="C353" s="19" t="s">
        <v>13</v>
      </c>
      <c r="D353" s="19">
        <v>25</v>
      </c>
      <c r="E353" s="19">
        <v>8431982941</v>
      </c>
      <c r="F353" s="19" t="s">
        <v>27</v>
      </c>
      <c r="G353" s="19">
        <v>13</v>
      </c>
      <c r="H353" s="19" t="s">
        <v>15</v>
      </c>
      <c r="I353" s="19" t="s">
        <v>22</v>
      </c>
      <c r="J353" s="19" t="s">
        <v>23</v>
      </c>
      <c r="K353" s="19" t="s">
        <v>28</v>
      </c>
      <c r="L353" s="19" t="s">
        <v>19</v>
      </c>
    </row>
    <row r="354" spans="1:12" ht="15.6">
      <c r="A354" s="19" t="s">
        <v>378</v>
      </c>
      <c r="B354" s="19">
        <v>8</v>
      </c>
      <c r="C354" s="19" t="s">
        <v>13</v>
      </c>
      <c r="D354" s="19">
        <v>160</v>
      </c>
      <c r="E354" s="19">
        <v>7845705059</v>
      </c>
      <c r="F354" s="19" t="s">
        <v>14</v>
      </c>
      <c r="G354" s="19">
        <v>13</v>
      </c>
      <c r="H354" s="19" t="s">
        <v>33</v>
      </c>
      <c r="I354" s="19" t="s">
        <v>22</v>
      </c>
      <c r="J354" s="19" t="s">
        <v>23</v>
      </c>
      <c r="K354" s="19" t="s">
        <v>30</v>
      </c>
      <c r="L354" s="19" t="s">
        <v>28</v>
      </c>
    </row>
    <row r="355" spans="1:12" ht="15.6">
      <c r="A355" s="19" t="s">
        <v>379</v>
      </c>
      <c r="B355" s="19">
        <v>6</v>
      </c>
      <c r="C355" s="19" t="s">
        <v>13</v>
      </c>
      <c r="D355" s="19">
        <v>181</v>
      </c>
      <c r="E355" s="19">
        <v>9579074188</v>
      </c>
      <c r="F355" s="19" t="s">
        <v>27</v>
      </c>
      <c r="G355" s="19">
        <v>12</v>
      </c>
      <c r="H355" s="19" t="s">
        <v>15</v>
      </c>
      <c r="I355" s="19" t="s">
        <v>22</v>
      </c>
      <c r="J355" s="19" t="s">
        <v>17</v>
      </c>
      <c r="K355" s="19" t="s">
        <v>49</v>
      </c>
      <c r="L355" s="19" t="s">
        <v>28</v>
      </c>
    </row>
    <row r="356" spans="1:12" ht="15.6">
      <c r="A356" s="19" t="s">
        <v>380</v>
      </c>
      <c r="B356" s="19">
        <v>8</v>
      </c>
      <c r="C356" s="19" t="s">
        <v>21</v>
      </c>
      <c r="D356" s="19">
        <v>68</v>
      </c>
      <c r="E356" s="19">
        <v>6713945886</v>
      </c>
      <c r="F356" s="19" t="s">
        <v>14</v>
      </c>
      <c r="G356" s="19">
        <v>13</v>
      </c>
      <c r="H356" s="19" t="s">
        <v>33</v>
      </c>
      <c r="I356" s="19" t="s">
        <v>22</v>
      </c>
      <c r="J356" s="19" t="s">
        <v>17</v>
      </c>
      <c r="K356" s="19" t="s">
        <v>24</v>
      </c>
      <c r="L356" s="19" t="s">
        <v>42</v>
      </c>
    </row>
    <row r="357" spans="1:12" ht="15.6">
      <c r="A357" s="19" t="s">
        <v>381</v>
      </c>
      <c r="B357" s="19">
        <v>7</v>
      </c>
      <c r="C357" s="19" t="s">
        <v>26</v>
      </c>
      <c r="D357" s="19">
        <v>131</v>
      </c>
      <c r="E357" s="19">
        <v>7180833147</v>
      </c>
      <c r="F357" s="19" t="s">
        <v>27</v>
      </c>
      <c r="G357" s="19">
        <v>13</v>
      </c>
      <c r="H357" s="19" t="s">
        <v>15</v>
      </c>
      <c r="I357" s="19" t="s">
        <v>22</v>
      </c>
      <c r="J357" s="19" t="s">
        <v>23</v>
      </c>
      <c r="K357" s="19" t="s">
        <v>30</v>
      </c>
      <c r="L357" s="19" t="s">
        <v>28</v>
      </c>
    </row>
    <row r="358" spans="1:12" ht="15.6">
      <c r="A358" s="19" t="s">
        <v>382</v>
      </c>
      <c r="B358" s="19">
        <v>9</v>
      </c>
      <c r="C358" s="19" t="s">
        <v>13</v>
      </c>
      <c r="D358" s="19">
        <v>84</v>
      </c>
      <c r="E358" s="19">
        <v>8625538815</v>
      </c>
      <c r="F358" s="19" t="s">
        <v>27</v>
      </c>
      <c r="G358" s="19">
        <v>15</v>
      </c>
      <c r="H358" s="19" t="s">
        <v>33</v>
      </c>
      <c r="I358" s="19" t="s">
        <v>16</v>
      </c>
      <c r="J358" s="19" t="s">
        <v>17</v>
      </c>
      <c r="K358" s="19" t="s">
        <v>49</v>
      </c>
      <c r="L358" s="19" t="s">
        <v>42</v>
      </c>
    </row>
    <row r="359" spans="1:12" ht="15.6">
      <c r="A359" s="19" t="s">
        <v>179</v>
      </c>
      <c r="B359" s="19">
        <v>6</v>
      </c>
      <c r="C359" s="19" t="s">
        <v>21</v>
      </c>
      <c r="D359" s="19">
        <v>187</v>
      </c>
      <c r="E359" s="19">
        <v>9238400074</v>
      </c>
      <c r="F359" s="19" t="s">
        <v>14</v>
      </c>
      <c r="G359" s="19">
        <v>11</v>
      </c>
      <c r="H359" s="19" t="s">
        <v>15</v>
      </c>
      <c r="I359" s="19" t="s">
        <v>16</v>
      </c>
      <c r="J359" s="19" t="s">
        <v>23</v>
      </c>
      <c r="K359" s="19" t="s">
        <v>49</v>
      </c>
      <c r="L359" s="19" t="s">
        <v>28</v>
      </c>
    </row>
    <row r="360" spans="1:12" ht="15.6">
      <c r="A360" s="19" t="s">
        <v>383</v>
      </c>
      <c r="B360" s="19">
        <v>10</v>
      </c>
      <c r="C360" s="19" t="s">
        <v>37</v>
      </c>
      <c r="D360" s="19">
        <v>195</v>
      </c>
      <c r="E360" s="19">
        <v>7166195314</v>
      </c>
      <c r="F360" s="19" t="s">
        <v>27</v>
      </c>
      <c r="G360" s="19">
        <v>15</v>
      </c>
      <c r="H360" s="19" t="s">
        <v>15</v>
      </c>
      <c r="I360" s="19" t="s">
        <v>22</v>
      </c>
      <c r="J360" s="19" t="s">
        <v>23</v>
      </c>
      <c r="K360" s="19" t="s">
        <v>24</v>
      </c>
      <c r="L360" s="19" t="s">
        <v>19</v>
      </c>
    </row>
    <row r="361" spans="1:12" ht="15.6">
      <c r="A361" s="19" t="s">
        <v>64</v>
      </c>
      <c r="B361" s="19">
        <v>8</v>
      </c>
      <c r="C361" s="19" t="s">
        <v>21</v>
      </c>
      <c r="D361" s="19">
        <v>196</v>
      </c>
      <c r="E361" s="19">
        <v>7559430277</v>
      </c>
      <c r="F361" s="19" t="s">
        <v>14</v>
      </c>
      <c r="G361" s="19">
        <v>14</v>
      </c>
      <c r="H361" s="19" t="s">
        <v>15</v>
      </c>
      <c r="I361" s="19" t="s">
        <v>16</v>
      </c>
      <c r="J361" s="19" t="s">
        <v>23</v>
      </c>
      <c r="K361" s="19" t="s">
        <v>28</v>
      </c>
      <c r="L361" s="19" t="s">
        <v>28</v>
      </c>
    </row>
    <row r="362" spans="1:12" ht="15.6">
      <c r="A362" s="19" t="s">
        <v>384</v>
      </c>
      <c r="B362" s="19">
        <v>7</v>
      </c>
      <c r="C362" s="19" t="s">
        <v>37</v>
      </c>
      <c r="D362" s="19">
        <v>157</v>
      </c>
      <c r="E362" s="19">
        <v>8533345612</v>
      </c>
      <c r="F362" s="19" t="s">
        <v>14</v>
      </c>
      <c r="G362" s="19">
        <v>13</v>
      </c>
      <c r="H362" s="19" t="s">
        <v>33</v>
      </c>
      <c r="I362" s="19" t="s">
        <v>22</v>
      </c>
      <c r="J362" s="19" t="s">
        <v>17</v>
      </c>
      <c r="K362" s="19" t="s">
        <v>28</v>
      </c>
      <c r="L362" s="19" t="s">
        <v>42</v>
      </c>
    </row>
    <row r="363" spans="1:12" ht="15.6">
      <c r="A363" s="19" t="s">
        <v>385</v>
      </c>
      <c r="B363" s="19">
        <v>8</v>
      </c>
      <c r="C363" s="19" t="s">
        <v>13</v>
      </c>
      <c r="D363" s="19">
        <v>12</v>
      </c>
      <c r="E363" s="19">
        <v>6908729398</v>
      </c>
      <c r="F363" s="19" t="s">
        <v>27</v>
      </c>
      <c r="G363" s="19">
        <v>13</v>
      </c>
      <c r="H363" s="19" t="s">
        <v>33</v>
      </c>
      <c r="I363" s="19" t="s">
        <v>16</v>
      </c>
      <c r="J363" s="19" t="s">
        <v>23</v>
      </c>
      <c r="K363" s="19" t="s">
        <v>49</v>
      </c>
      <c r="L363" s="19" t="s">
        <v>19</v>
      </c>
    </row>
    <row r="364" spans="1:12" ht="15.6">
      <c r="A364" s="19" t="s">
        <v>386</v>
      </c>
      <c r="B364" s="19">
        <v>10</v>
      </c>
      <c r="C364" s="19" t="s">
        <v>26</v>
      </c>
      <c r="D364" s="19">
        <v>94</v>
      </c>
      <c r="E364" s="19">
        <v>7525414601</v>
      </c>
      <c r="F364" s="19" t="s">
        <v>27</v>
      </c>
      <c r="G364" s="19">
        <v>15</v>
      </c>
      <c r="H364" s="19" t="s">
        <v>15</v>
      </c>
      <c r="I364" s="19" t="s">
        <v>22</v>
      </c>
      <c r="J364" s="19" t="s">
        <v>17</v>
      </c>
      <c r="K364" s="19" t="s">
        <v>18</v>
      </c>
      <c r="L364" s="19" t="s">
        <v>19</v>
      </c>
    </row>
    <row r="365" spans="1:12" ht="15.6">
      <c r="A365" s="19" t="s">
        <v>387</v>
      </c>
      <c r="B365" s="19">
        <v>6</v>
      </c>
      <c r="C365" s="19" t="s">
        <v>13</v>
      </c>
      <c r="D365" s="19">
        <v>132</v>
      </c>
      <c r="E365" s="19">
        <v>9274586656</v>
      </c>
      <c r="F365" s="19" t="s">
        <v>14</v>
      </c>
      <c r="G365" s="19">
        <v>12</v>
      </c>
      <c r="H365" s="19" t="s">
        <v>33</v>
      </c>
      <c r="I365" s="19" t="s">
        <v>16</v>
      </c>
      <c r="J365" s="19" t="s">
        <v>23</v>
      </c>
      <c r="K365" s="19" t="s">
        <v>28</v>
      </c>
      <c r="L365" s="19" t="s">
        <v>19</v>
      </c>
    </row>
    <row r="366" spans="1:12" ht="15.6">
      <c r="A366" s="19" t="s">
        <v>388</v>
      </c>
      <c r="B366" s="19">
        <v>9</v>
      </c>
      <c r="C366" s="19" t="s">
        <v>37</v>
      </c>
      <c r="D366" s="19">
        <v>136</v>
      </c>
      <c r="E366" s="19">
        <v>9280642734</v>
      </c>
      <c r="F366" s="19" t="s">
        <v>27</v>
      </c>
      <c r="G366" s="19">
        <v>14</v>
      </c>
      <c r="H366" s="19" t="s">
        <v>15</v>
      </c>
      <c r="I366" s="19" t="s">
        <v>16</v>
      </c>
      <c r="J366" s="19" t="s">
        <v>17</v>
      </c>
      <c r="K366" s="19" t="s">
        <v>30</v>
      </c>
      <c r="L366" s="19" t="s">
        <v>28</v>
      </c>
    </row>
    <row r="367" spans="1:12" ht="15.6">
      <c r="A367" s="19" t="s">
        <v>389</v>
      </c>
      <c r="B367" s="19">
        <v>9</v>
      </c>
      <c r="C367" s="19" t="s">
        <v>13</v>
      </c>
      <c r="D367" s="19">
        <v>33</v>
      </c>
      <c r="E367" s="19">
        <v>8366784482</v>
      </c>
      <c r="F367" s="19" t="s">
        <v>27</v>
      </c>
      <c r="G367" s="19">
        <v>15</v>
      </c>
      <c r="H367" s="19" t="s">
        <v>33</v>
      </c>
      <c r="I367" s="19" t="s">
        <v>16</v>
      </c>
      <c r="J367" s="19" t="s">
        <v>17</v>
      </c>
      <c r="K367" s="19" t="s">
        <v>49</v>
      </c>
      <c r="L367" s="19" t="s">
        <v>31</v>
      </c>
    </row>
    <row r="368" spans="1:12" ht="15.6">
      <c r="A368" s="19" t="s">
        <v>390</v>
      </c>
      <c r="B368" s="19">
        <v>6</v>
      </c>
      <c r="C368" s="19" t="s">
        <v>21</v>
      </c>
      <c r="D368" s="19">
        <v>190</v>
      </c>
      <c r="E368" s="19">
        <v>9059789504</v>
      </c>
      <c r="F368" s="19" t="s">
        <v>27</v>
      </c>
      <c r="G368" s="19">
        <v>12</v>
      </c>
      <c r="H368" s="19" t="s">
        <v>15</v>
      </c>
      <c r="I368" s="19" t="s">
        <v>22</v>
      </c>
      <c r="J368" s="19" t="s">
        <v>17</v>
      </c>
      <c r="K368" s="19" t="s">
        <v>28</v>
      </c>
      <c r="L368" s="19" t="s">
        <v>28</v>
      </c>
    </row>
    <row r="369" spans="1:12" ht="15.6">
      <c r="A369" s="19" t="s">
        <v>391</v>
      </c>
      <c r="B369" s="19">
        <v>10</v>
      </c>
      <c r="C369" s="19" t="s">
        <v>13</v>
      </c>
      <c r="D369" s="19">
        <v>183</v>
      </c>
      <c r="E369" s="19">
        <v>8475967962</v>
      </c>
      <c r="F369" s="19" t="s">
        <v>14</v>
      </c>
      <c r="G369" s="19">
        <v>16</v>
      </c>
      <c r="H369" s="19" t="s">
        <v>15</v>
      </c>
      <c r="I369" s="19" t="s">
        <v>22</v>
      </c>
      <c r="J369" s="19" t="s">
        <v>23</v>
      </c>
      <c r="K369" s="19" t="s">
        <v>18</v>
      </c>
      <c r="L369" s="19" t="s">
        <v>31</v>
      </c>
    </row>
    <row r="370" spans="1:12" ht="15.6">
      <c r="A370" s="19" t="s">
        <v>392</v>
      </c>
      <c r="B370" s="19">
        <v>10</v>
      </c>
      <c r="C370" s="19" t="s">
        <v>26</v>
      </c>
      <c r="D370" s="19">
        <v>116</v>
      </c>
      <c r="E370" s="19">
        <v>8804462261</v>
      </c>
      <c r="F370" s="19" t="s">
        <v>27</v>
      </c>
      <c r="G370" s="19">
        <v>16</v>
      </c>
      <c r="H370" s="19" t="s">
        <v>15</v>
      </c>
      <c r="I370" s="19" t="s">
        <v>22</v>
      </c>
      <c r="J370" s="19" t="s">
        <v>17</v>
      </c>
      <c r="K370" s="19" t="s">
        <v>28</v>
      </c>
      <c r="L370" s="19" t="s">
        <v>19</v>
      </c>
    </row>
    <row r="371" spans="1:12" ht="15.6">
      <c r="A371" s="19" t="s">
        <v>393</v>
      </c>
      <c r="B371" s="19">
        <v>9</v>
      </c>
      <c r="C371" s="19" t="s">
        <v>37</v>
      </c>
      <c r="D371" s="19">
        <v>158</v>
      </c>
      <c r="E371" s="19">
        <v>7932638321</v>
      </c>
      <c r="F371" s="19" t="s">
        <v>27</v>
      </c>
      <c r="G371" s="19">
        <v>15</v>
      </c>
      <c r="H371" s="19" t="s">
        <v>15</v>
      </c>
      <c r="I371" s="19" t="s">
        <v>22</v>
      </c>
      <c r="J371" s="19" t="s">
        <v>17</v>
      </c>
      <c r="K371" s="19" t="s">
        <v>24</v>
      </c>
      <c r="L371" s="19" t="s">
        <v>19</v>
      </c>
    </row>
    <row r="372" spans="1:12" ht="15.6">
      <c r="A372" s="19" t="s">
        <v>394</v>
      </c>
      <c r="B372" s="19">
        <v>8</v>
      </c>
      <c r="C372" s="19" t="s">
        <v>37</v>
      </c>
      <c r="D372" s="19">
        <v>197</v>
      </c>
      <c r="E372" s="19">
        <v>7580685421</v>
      </c>
      <c r="F372" s="19" t="s">
        <v>14</v>
      </c>
      <c r="G372" s="19">
        <v>14</v>
      </c>
      <c r="H372" s="19" t="s">
        <v>33</v>
      </c>
      <c r="I372" s="19" t="s">
        <v>22</v>
      </c>
      <c r="J372" s="19" t="s">
        <v>23</v>
      </c>
      <c r="K372" s="19" t="s">
        <v>28</v>
      </c>
      <c r="L372" s="19" t="s">
        <v>31</v>
      </c>
    </row>
    <row r="373" spans="1:12" ht="15.6">
      <c r="A373" s="19" t="s">
        <v>395</v>
      </c>
      <c r="B373" s="19">
        <v>8</v>
      </c>
      <c r="C373" s="19" t="s">
        <v>13</v>
      </c>
      <c r="D373" s="19">
        <v>5</v>
      </c>
      <c r="E373" s="19">
        <v>6433109013</v>
      </c>
      <c r="F373" s="19" t="s">
        <v>14</v>
      </c>
      <c r="G373" s="19">
        <v>13</v>
      </c>
      <c r="H373" s="19" t="s">
        <v>33</v>
      </c>
      <c r="I373" s="19" t="s">
        <v>16</v>
      </c>
      <c r="J373" s="19" t="s">
        <v>23</v>
      </c>
      <c r="K373" s="19" t="s">
        <v>18</v>
      </c>
      <c r="L373" s="19" t="s">
        <v>31</v>
      </c>
    </row>
    <row r="374" spans="1:12" ht="15.6">
      <c r="A374" s="19" t="s">
        <v>396</v>
      </c>
      <c r="B374" s="19">
        <v>8</v>
      </c>
      <c r="C374" s="19" t="s">
        <v>21</v>
      </c>
      <c r="D374" s="19">
        <v>25</v>
      </c>
      <c r="E374" s="19">
        <v>9722104357</v>
      </c>
      <c r="F374" s="19" t="s">
        <v>14</v>
      </c>
      <c r="G374" s="19">
        <v>13</v>
      </c>
      <c r="H374" s="19" t="s">
        <v>15</v>
      </c>
      <c r="I374" s="19" t="s">
        <v>22</v>
      </c>
      <c r="J374" s="19" t="s">
        <v>23</v>
      </c>
      <c r="K374" s="19" t="s">
        <v>28</v>
      </c>
      <c r="L374" s="19" t="s">
        <v>19</v>
      </c>
    </row>
    <row r="375" spans="1:12" ht="15.6">
      <c r="A375" s="19" t="s">
        <v>397</v>
      </c>
      <c r="B375" s="19">
        <v>7</v>
      </c>
      <c r="C375" s="19" t="s">
        <v>26</v>
      </c>
      <c r="D375" s="19">
        <v>148</v>
      </c>
      <c r="E375" s="19">
        <v>9555204072</v>
      </c>
      <c r="F375" s="19" t="s">
        <v>14</v>
      </c>
      <c r="G375" s="19">
        <v>13</v>
      </c>
      <c r="H375" s="19" t="s">
        <v>15</v>
      </c>
      <c r="I375" s="19" t="s">
        <v>22</v>
      </c>
      <c r="J375" s="19" t="s">
        <v>17</v>
      </c>
      <c r="K375" s="19" t="s">
        <v>28</v>
      </c>
      <c r="L375" s="19" t="s">
        <v>19</v>
      </c>
    </row>
    <row r="376" spans="1:12" ht="15.6">
      <c r="A376" s="19" t="s">
        <v>398</v>
      </c>
      <c r="B376" s="19">
        <v>6</v>
      </c>
      <c r="C376" s="19" t="s">
        <v>21</v>
      </c>
      <c r="D376" s="19">
        <v>121</v>
      </c>
      <c r="E376" s="19">
        <v>8596045999</v>
      </c>
      <c r="F376" s="19" t="s">
        <v>27</v>
      </c>
      <c r="G376" s="19">
        <v>12</v>
      </c>
      <c r="H376" s="19" t="s">
        <v>15</v>
      </c>
      <c r="I376" s="19" t="s">
        <v>22</v>
      </c>
      <c r="J376" s="19" t="s">
        <v>23</v>
      </c>
      <c r="K376" s="19" t="s">
        <v>49</v>
      </c>
      <c r="L376" s="19" t="s">
        <v>28</v>
      </c>
    </row>
    <row r="377" spans="1:12" ht="15.6">
      <c r="A377" s="19" t="s">
        <v>399</v>
      </c>
      <c r="B377" s="19">
        <v>10</v>
      </c>
      <c r="C377" s="19" t="s">
        <v>37</v>
      </c>
      <c r="D377" s="19">
        <v>55</v>
      </c>
      <c r="E377" s="19">
        <v>6024750666</v>
      </c>
      <c r="F377" s="19" t="s">
        <v>27</v>
      </c>
      <c r="G377" s="19">
        <v>16</v>
      </c>
      <c r="H377" s="19" t="s">
        <v>33</v>
      </c>
      <c r="I377" s="19" t="s">
        <v>16</v>
      </c>
      <c r="J377" s="19" t="s">
        <v>23</v>
      </c>
      <c r="K377" s="19" t="s">
        <v>18</v>
      </c>
      <c r="L377" s="19" t="s">
        <v>19</v>
      </c>
    </row>
    <row r="378" spans="1:12" ht="15.6">
      <c r="A378" s="19" t="s">
        <v>400</v>
      </c>
      <c r="B378" s="19">
        <v>8</v>
      </c>
      <c r="C378" s="19" t="s">
        <v>37</v>
      </c>
      <c r="D378" s="19">
        <v>182</v>
      </c>
      <c r="E378" s="19">
        <v>8379515248</v>
      </c>
      <c r="F378" s="19" t="s">
        <v>27</v>
      </c>
      <c r="G378" s="19">
        <v>13</v>
      </c>
      <c r="H378" s="19" t="s">
        <v>15</v>
      </c>
      <c r="I378" s="19" t="s">
        <v>22</v>
      </c>
      <c r="J378" s="19" t="s">
        <v>17</v>
      </c>
      <c r="K378" s="19" t="s">
        <v>49</v>
      </c>
      <c r="L378" s="19" t="s">
        <v>28</v>
      </c>
    </row>
    <row r="379" spans="1:12" ht="15.6">
      <c r="A379" s="19" t="s">
        <v>401</v>
      </c>
      <c r="B379" s="19">
        <v>6</v>
      </c>
      <c r="C379" s="19" t="s">
        <v>21</v>
      </c>
      <c r="D379" s="19">
        <v>189</v>
      </c>
      <c r="E379" s="19">
        <v>7404253327</v>
      </c>
      <c r="F379" s="19" t="s">
        <v>14</v>
      </c>
      <c r="G379" s="19">
        <v>12</v>
      </c>
      <c r="H379" s="19" t="s">
        <v>15</v>
      </c>
      <c r="I379" s="19" t="s">
        <v>22</v>
      </c>
      <c r="J379" s="19" t="s">
        <v>17</v>
      </c>
      <c r="K379" s="19" t="s">
        <v>30</v>
      </c>
      <c r="L379" s="19" t="s">
        <v>28</v>
      </c>
    </row>
    <row r="380" spans="1:12" ht="15.6">
      <c r="A380" s="19" t="s">
        <v>402</v>
      </c>
      <c r="B380" s="19">
        <v>6</v>
      </c>
      <c r="C380" s="19" t="s">
        <v>13</v>
      </c>
      <c r="D380" s="19">
        <v>31</v>
      </c>
      <c r="E380" s="19">
        <v>9058317922</v>
      </c>
      <c r="F380" s="19" t="s">
        <v>14</v>
      </c>
      <c r="G380" s="19">
        <v>12</v>
      </c>
      <c r="H380" s="19" t="s">
        <v>33</v>
      </c>
      <c r="I380" s="19" t="s">
        <v>16</v>
      </c>
      <c r="J380" s="19" t="s">
        <v>17</v>
      </c>
      <c r="K380" s="19" t="s">
        <v>28</v>
      </c>
      <c r="L380" s="19" t="s">
        <v>19</v>
      </c>
    </row>
    <row r="381" spans="1:12" ht="15.6">
      <c r="A381" s="19" t="s">
        <v>166</v>
      </c>
      <c r="B381" s="19">
        <v>9</v>
      </c>
      <c r="C381" s="19" t="s">
        <v>37</v>
      </c>
      <c r="D381" s="19">
        <v>147</v>
      </c>
      <c r="E381" s="19">
        <v>9184757001</v>
      </c>
      <c r="F381" s="19" t="s">
        <v>14</v>
      </c>
      <c r="G381" s="19">
        <v>14</v>
      </c>
      <c r="H381" s="19" t="s">
        <v>33</v>
      </c>
      <c r="I381" s="19" t="s">
        <v>16</v>
      </c>
      <c r="J381" s="19" t="s">
        <v>17</v>
      </c>
      <c r="K381" s="19" t="s">
        <v>28</v>
      </c>
      <c r="L381" s="19" t="s">
        <v>19</v>
      </c>
    </row>
    <row r="382" spans="1:12" ht="15.6">
      <c r="A382" s="19" t="s">
        <v>403</v>
      </c>
      <c r="B382" s="19">
        <v>9</v>
      </c>
      <c r="C382" s="19" t="s">
        <v>13</v>
      </c>
      <c r="D382" s="19">
        <v>92</v>
      </c>
      <c r="E382" s="19">
        <v>8397911389</v>
      </c>
      <c r="F382" s="19" t="s">
        <v>14</v>
      </c>
      <c r="G382" s="19">
        <v>14</v>
      </c>
      <c r="H382" s="19" t="s">
        <v>15</v>
      </c>
      <c r="I382" s="19" t="s">
        <v>22</v>
      </c>
      <c r="J382" s="19" t="s">
        <v>23</v>
      </c>
      <c r="K382" s="19" t="s">
        <v>18</v>
      </c>
      <c r="L382" s="19" t="s">
        <v>28</v>
      </c>
    </row>
    <row r="383" spans="1:12" ht="15.6">
      <c r="A383" s="19" t="s">
        <v>404</v>
      </c>
      <c r="B383" s="19">
        <v>10</v>
      </c>
      <c r="C383" s="19" t="s">
        <v>26</v>
      </c>
      <c r="D383" s="19">
        <v>8</v>
      </c>
      <c r="E383" s="19">
        <v>7525208682</v>
      </c>
      <c r="F383" s="19" t="s">
        <v>27</v>
      </c>
      <c r="G383" s="19">
        <v>16</v>
      </c>
      <c r="H383" s="19" t="s">
        <v>33</v>
      </c>
      <c r="I383" s="19" t="s">
        <v>16</v>
      </c>
      <c r="J383" s="19" t="s">
        <v>17</v>
      </c>
      <c r="K383" s="19" t="s">
        <v>49</v>
      </c>
      <c r="L383" s="19" t="s">
        <v>28</v>
      </c>
    </row>
    <row r="384" spans="1:12" ht="15.6">
      <c r="A384" s="19" t="s">
        <v>401</v>
      </c>
      <c r="B384" s="19">
        <v>7</v>
      </c>
      <c r="C384" s="19" t="s">
        <v>37</v>
      </c>
      <c r="D384" s="19">
        <v>77</v>
      </c>
      <c r="E384" s="19">
        <v>9720130521</v>
      </c>
      <c r="F384" s="19" t="s">
        <v>14</v>
      </c>
      <c r="G384" s="19">
        <v>12</v>
      </c>
      <c r="H384" s="19" t="s">
        <v>15</v>
      </c>
      <c r="I384" s="19" t="s">
        <v>22</v>
      </c>
      <c r="J384" s="19" t="s">
        <v>17</v>
      </c>
      <c r="K384" s="19" t="s">
        <v>28</v>
      </c>
      <c r="L384" s="19" t="s">
        <v>28</v>
      </c>
    </row>
    <row r="385" spans="1:12" ht="15.6">
      <c r="A385" s="19" t="s">
        <v>405</v>
      </c>
      <c r="B385" s="19">
        <v>8</v>
      </c>
      <c r="C385" s="19" t="s">
        <v>37</v>
      </c>
      <c r="D385" s="19">
        <v>156</v>
      </c>
      <c r="E385" s="19">
        <v>8934479848</v>
      </c>
      <c r="F385" s="19" t="s">
        <v>14</v>
      </c>
      <c r="G385" s="19">
        <v>13</v>
      </c>
      <c r="H385" s="19" t="s">
        <v>15</v>
      </c>
      <c r="I385" s="19" t="s">
        <v>22</v>
      </c>
      <c r="J385" s="19" t="s">
        <v>23</v>
      </c>
      <c r="K385" s="19" t="s">
        <v>30</v>
      </c>
      <c r="L385" s="19" t="s">
        <v>19</v>
      </c>
    </row>
    <row r="386" spans="1:12" ht="15.6">
      <c r="A386" s="19" t="s">
        <v>406</v>
      </c>
      <c r="B386" s="19">
        <v>8</v>
      </c>
      <c r="C386" s="19" t="s">
        <v>13</v>
      </c>
      <c r="D386" s="19">
        <v>171</v>
      </c>
      <c r="E386" s="19">
        <v>9133313535</v>
      </c>
      <c r="F386" s="19" t="s">
        <v>27</v>
      </c>
      <c r="G386" s="19">
        <v>14</v>
      </c>
      <c r="H386" s="19" t="s">
        <v>15</v>
      </c>
      <c r="I386" s="19" t="s">
        <v>22</v>
      </c>
      <c r="J386" s="19" t="s">
        <v>23</v>
      </c>
      <c r="K386" s="19" t="s">
        <v>28</v>
      </c>
      <c r="L386" s="19" t="s">
        <v>28</v>
      </c>
    </row>
    <row r="387" spans="1:12" ht="15.6">
      <c r="A387" s="19" t="s">
        <v>407</v>
      </c>
      <c r="B387" s="19">
        <v>7</v>
      </c>
      <c r="C387" s="19" t="s">
        <v>21</v>
      </c>
      <c r="D387" s="19">
        <v>178</v>
      </c>
      <c r="E387" s="19">
        <v>8161196228</v>
      </c>
      <c r="F387" s="19" t="s">
        <v>14</v>
      </c>
      <c r="G387" s="19">
        <v>12</v>
      </c>
      <c r="H387" s="19" t="s">
        <v>33</v>
      </c>
      <c r="I387" s="19" t="s">
        <v>22</v>
      </c>
      <c r="J387" s="19" t="s">
        <v>17</v>
      </c>
      <c r="K387" s="19" t="s">
        <v>30</v>
      </c>
      <c r="L387" s="19" t="s">
        <v>42</v>
      </c>
    </row>
    <row r="388" spans="1:12" ht="15.6">
      <c r="A388" s="19" t="s">
        <v>408</v>
      </c>
      <c r="B388" s="19">
        <v>10</v>
      </c>
      <c r="C388" s="19" t="s">
        <v>26</v>
      </c>
      <c r="D388" s="19">
        <v>171</v>
      </c>
      <c r="E388" s="19">
        <v>8906320160</v>
      </c>
      <c r="F388" s="19" t="s">
        <v>27</v>
      </c>
      <c r="G388" s="19">
        <v>16</v>
      </c>
      <c r="H388" s="19" t="s">
        <v>15</v>
      </c>
      <c r="I388" s="19" t="s">
        <v>22</v>
      </c>
      <c r="J388" s="19" t="s">
        <v>23</v>
      </c>
      <c r="K388" s="19" t="s">
        <v>24</v>
      </c>
      <c r="L388" s="19" t="s">
        <v>28</v>
      </c>
    </row>
    <row r="389" spans="1:12" ht="15.6">
      <c r="A389" s="19" t="s">
        <v>409</v>
      </c>
      <c r="B389" s="19">
        <v>8</v>
      </c>
      <c r="C389" s="19" t="s">
        <v>26</v>
      </c>
      <c r="D389" s="19">
        <v>55</v>
      </c>
      <c r="E389" s="19">
        <v>8930512249</v>
      </c>
      <c r="F389" s="19" t="s">
        <v>14</v>
      </c>
      <c r="G389" s="19">
        <v>14</v>
      </c>
      <c r="H389" s="19" t="s">
        <v>15</v>
      </c>
      <c r="I389" s="19" t="s">
        <v>16</v>
      </c>
      <c r="J389" s="19" t="s">
        <v>23</v>
      </c>
      <c r="K389" s="19" t="s">
        <v>30</v>
      </c>
      <c r="L389" s="19" t="s">
        <v>31</v>
      </c>
    </row>
    <row r="390" spans="1:12" ht="15.6">
      <c r="A390" s="19" t="s">
        <v>410</v>
      </c>
      <c r="B390" s="19">
        <v>9</v>
      </c>
      <c r="C390" s="19" t="s">
        <v>13</v>
      </c>
      <c r="D390" s="19">
        <v>141</v>
      </c>
      <c r="E390" s="19">
        <v>6203661873</v>
      </c>
      <c r="F390" s="19" t="s">
        <v>27</v>
      </c>
      <c r="G390" s="19">
        <v>14</v>
      </c>
      <c r="H390" s="19" t="s">
        <v>15</v>
      </c>
      <c r="I390" s="19" t="s">
        <v>16</v>
      </c>
      <c r="J390" s="19" t="s">
        <v>23</v>
      </c>
      <c r="K390" s="19" t="s">
        <v>28</v>
      </c>
      <c r="L390" s="19" t="s">
        <v>31</v>
      </c>
    </row>
    <row r="391" spans="1:12" ht="15.6">
      <c r="A391" s="19" t="s">
        <v>411</v>
      </c>
      <c r="B391" s="19">
        <v>6</v>
      </c>
      <c r="C391" s="19" t="s">
        <v>37</v>
      </c>
      <c r="D391" s="19">
        <v>180</v>
      </c>
      <c r="E391" s="19">
        <v>6181019820</v>
      </c>
      <c r="F391" s="19" t="s">
        <v>14</v>
      </c>
      <c r="G391" s="19">
        <v>11</v>
      </c>
      <c r="H391" s="19" t="s">
        <v>33</v>
      </c>
      <c r="I391" s="19" t="s">
        <v>16</v>
      </c>
      <c r="J391" s="19" t="s">
        <v>17</v>
      </c>
      <c r="K391" s="19" t="s">
        <v>30</v>
      </c>
      <c r="L391" s="19" t="s">
        <v>42</v>
      </c>
    </row>
    <row r="392" spans="1:12" ht="15.6">
      <c r="A392" s="19" t="s">
        <v>412</v>
      </c>
      <c r="B392" s="19">
        <v>6</v>
      </c>
      <c r="C392" s="19" t="s">
        <v>26</v>
      </c>
      <c r="D392" s="19">
        <v>195</v>
      </c>
      <c r="E392" s="19">
        <v>8384236065</v>
      </c>
      <c r="F392" s="19" t="s">
        <v>14</v>
      </c>
      <c r="G392" s="19">
        <v>12</v>
      </c>
      <c r="H392" s="19" t="s">
        <v>15</v>
      </c>
      <c r="I392" s="19" t="s">
        <v>22</v>
      </c>
      <c r="J392" s="19" t="s">
        <v>23</v>
      </c>
      <c r="K392" s="19" t="s">
        <v>28</v>
      </c>
      <c r="L392" s="19" t="s">
        <v>42</v>
      </c>
    </row>
    <row r="393" spans="1:12" ht="15.6">
      <c r="A393" s="19" t="s">
        <v>413</v>
      </c>
      <c r="B393" s="19">
        <v>8</v>
      </c>
      <c r="C393" s="19" t="s">
        <v>21</v>
      </c>
      <c r="D393" s="19">
        <v>81</v>
      </c>
      <c r="E393" s="19">
        <v>8696738028</v>
      </c>
      <c r="F393" s="19" t="s">
        <v>27</v>
      </c>
      <c r="G393" s="19">
        <v>14</v>
      </c>
      <c r="H393" s="19" t="s">
        <v>15</v>
      </c>
      <c r="I393" s="19" t="s">
        <v>22</v>
      </c>
      <c r="J393" s="19" t="s">
        <v>23</v>
      </c>
      <c r="K393" s="19" t="s">
        <v>24</v>
      </c>
      <c r="L393" s="19" t="s">
        <v>42</v>
      </c>
    </row>
    <row r="394" spans="1:12" ht="15.6">
      <c r="A394" s="19" t="s">
        <v>414</v>
      </c>
      <c r="B394" s="19">
        <v>8</v>
      </c>
      <c r="C394" s="19" t="s">
        <v>13</v>
      </c>
      <c r="D394" s="19">
        <v>141</v>
      </c>
      <c r="E394" s="19">
        <v>8204625182</v>
      </c>
      <c r="F394" s="19" t="s">
        <v>27</v>
      </c>
      <c r="G394" s="19">
        <v>14</v>
      </c>
      <c r="H394" s="19" t="s">
        <v>15</v>
      </c>
      <c r="I394" s="19" t="s">
        <v>16</v>
      </c>
      <c r="J394" s="19" t="s">
        <v>23</v>
      </c>
      <c r="K394" s="19" t="s">
        <v>49</v>
      </c>
      <c r="L394" s="19" t="s">
        <v>28</v>
      </c>
    </row>
    <row r="395" spans="1:12" ht="15.6">
      <c r="A395" s="19" t="s">
        <v>415</v>
      </c>
      <c r="B395" s="19">
        <v>9</v>
      </c>
      <c r="C395" s="19" t="s">
        <v>37</v>
      </c>
      <c r="D395" s="19">
        <v>45</v>
      </c>
      <c r="E395" s="19">
        <v>6599285155</v>
      </c>
      <c r="F395" s="19" t="s">
        <v>14</v>
      </c>
      <c r="G395" s="19">
        <v>15</v>
      </c>
      <c r="H395" s="19" t="s">
        <v>33</v>
      </c>
      <c r="I395" s="19" t="s">
        <v>22</v>
      </c>
      <c r="J395" s="19" t="s">
        <v>17</v>
      </c>
      <c r="K395" s="19" t="s">
        <v>28</v>
      </c>
      <c r="L395" s="19" t="s">
        <v>31</v>
      </c>
    </row>
    <row r="396" spans="1:12" ht="15.6">
      <c r="A396" s="19" t="s">
        <v>416</v>
      </c>
      <c r="B396" s="19">
        <v>9</v>
      </c>
      <c r="C396" s="19" t="s">
        <v>13</v>
      </c>
      <c r="D396" s="19">
        <v>145</v>
      </c>
      <c r="E396" s="19">
        <v>6747505633</v>
      </c>
      <c r="F396" s="19" t="s">
        <v>27</v>
      </c>
      <c r="G396" s="19">
        <v>15</v>
      </c>
      <c r="H396" s="19" t="s">
        <v>33</v>
      </c>
      <c r="I396" s="19" t="s">
        <v>16</v>
      </c>
      <c r="J396" s="19" t="s">
        <v>17</v>
      </c>
      <c r="K396" s="19" t="s">
        <v>28</v>
      </c>
      <c r="L396" s="19" t="s">
        <v>28</v>
      </c>
    </row>
    <row r="397" spans="1:12" ht="15.6">
      <c r="A397" s="19" t="s">
        <v>417</v>
      </c>
      <c r="B397" s="19">
        <v>10</v>
      </c>
      <c r="C397" s="19" t="s">
        <v>26</v>
      </c>
      <c r="D397" s="19">
        <v>10</v>
      </c>
      <c r="E397" s="19">
        <v>8568442161</v>
      </c>
      <c r="F397" s="19" t="s">
        <v>27</v>
      </c>
      <c r="G397" s="19">
        <v>15</v>
      </c>
      <c r="H397" s="19" t="s">
        <v>15</v>
      </c>
      <c r="I397" s="19" t="s">
        <v>22</v>
      </c>
      <c r="J397" s="19" t="s">
        <v>23</v>
      </c>
      <c r="K397" s="19" t="s">
        <v>28</v>
      </c>
      <c r="L397" s="19" t="s">
        <v>19</v>
      </c>
    </row>
    <row r="398" spans="1:12" ht="15.6">
      <c r="A398" s="19" t="s">
        <v>418</v>
      </c>
      <c r="B398" s="19">
        <v>7</v>
      </c>
      <c r="C398" s="19" t="s">
        <v>21</v>
      </c>
      <c r="D398" s="19">
        <v>1</v>
      </c>
      <c r="E398" s="19">
        <v>9989332383</v>
      </c>
      <c r="F398" s="19" t="s">
        <v>14</v>
      </c>
      <c r="G398" s="19">
        <v>12</v>
      </c>
      <c r="H398" s="19" t="s">
        <v>15</v>
      </c>
      <c r="I398" s="19" t="s">
        <v>22</v>
      </c>
      <c r="J398" s="19" t="s">
        <v>17</v>
      </c>
      <c r="K398" s="19" t="s">
        <v>18</v>
      </c>
      <c r="L398" s="19" t="s">
        <v>28</v>
      </c>
    </row>
    <row r="399" spans="1:12" ht="15.6">
      <c r="A399" s="19" t="s">
        <v>419</v>
      </c>
      <c r="B399" s="19">
        <v>10</v>
      </c>
      <c r="C399" s="19" t="s">
        <v>21</v>
      </c>
      <c r="D399" s="19">
        <v>47</v>
      </c>
      <c r="E399" s="19">
        <v>9482790489</v>
      </c>
      <c r="F399" s="19" t="s">
        <v>14</v>
      </c>
      <c r="G399" s="19">
        <v>16</v>
      </c>
      <c r="H399" s="19" t="s">
        <v>15</v>
      </c>
      <c r="I399" s="19" t="s">
        <v>16</v>
      </c>
      <c r="J399" s="19" t="s">
        <v>17</v>
      </c>
      <c r="K399" s="19" t="s">
        <v>28</v>
      </c>
      <c r="L399" s="19" t="s">
        <v>19</v>
      </c>
    </row>
    <row r="400" spans="1:12" ht="15.6">
      <c r="A400" s="19" t="s">
        <v>420</v>
      </c>
      <c r="B400" s="19">
        <v>10</v>
      </c>
      <c r="C400" s="19" t="s">
        <v>21</v>
      </c>
      <c r="D400" s="19">
        <v>80</v>
      </c>
      <c r="E400" s="19">
        <v>9343218510</v>
      </c>
      <c r="F400" s="19" t="s">
        <v>27</v>
      </c>
      <c r="G400" s="19">
        <v>16</v>
      </c>
      <c r="H400" s="19" t="s">
        <v>33</v>
      </c>
      <c r="I400" s="19" t="s">
        <v>22</v>
      </c>
      <c r="J400" s="19" t="s">
        <v>23</v>
      </c>
      <c r="K400" s="19" t="s">
        <v>28</v>
      </c>
      <c r="L400" s="19" t="s">
        <v>42</v>
      </c>
    </row>
    <row r="401" spans="1:12" ht="15.6">
      <c r="A401" s="19" t="s">
        <v>421</v>
      </c>
      <c r="B401" s="19">
        <v>10</v>
      </c>
      <c r="C401" s="19" t="s">
        <v>26</v>
      </c>
      <c r="D401" s="19">
        <v>160</v>
      </c>
      <c r="E401" s="19">
        <v>8139175040</v>
      </c>
      <c r="F401" s="19" t="s">
        <v>27</v>
      </c>
      <c r="G401" s="19">
        <v>16</v>
      </c>
      <c r="H401" s="19" t="s">
        <v>15</v>
      </c>
      <c r="I401" s="19" t="s">
        <v>22</v>
      </c>
      <c r="J401" s="19" t="s">
        <v>17</v>
      </c>
      <c r="K401" s="19" t="s">
        <v>49</v>
      </c>
      <c r="L401" s="19" t="s">
        <v>28</v>
      </c>
    </row>
    <row r="402" spans="1:12" ht="15.6">
      <c r="A402" s="19" t="s">
        <v>422</v>
      </c>
      <c r="B402" s="19">
        <v>7</v>
      </c>
      <c r="C402" s="19" t="s">
        <v>26</v>
      </c>
      <c r="D402" s="19">
        <v>108</v>
      </c>
      <c r="E402" s="19">
        <v>7517079773</v>
      </c>
      <c r="F402" s="19" t="s">
        <v>27</v>
      </c>
      <c r="G402" s="19">
        <v>13</v>
      </c>
      <c r="H402" s="19" t="s">
        <v>33</v>
      </c>
      <c r="I402" s="19" t="s">
        <v>16</v>
      </c>
      <c r="J402" s="19" t="s">
        <v>17</v>
      </c>
      <c r="K402" s="19" t="s">
        <v>30</v>
      </c>
      <c r="L402" s="19" t="s">
        <v>19</v>
      </c>
    </row>
    <row r="403" spans="1:12" ht="15.6">
      <c r="A403" s="19" t="s">
        <v>423</v>
      </c>
      <c r="B403" s="19">
        <v>6</v>
      </c>
      <c r="C403" s="19" t="s">
        <v>26</v>
      </c>
      <c r="D403" s="19">
        <v>73</v>
      </c>
      <c r="E403" s="19">
        <v>9161923177</v>
      </c>
      <c r="F403" s="19" t="s">
        <v>27</v>
      </c>
      <c r="G403" s="19">
        <v>11</v>
      </c>
      <c r="H403" s="19" t="s">
        <v>33</v>
      </c>
      <c r="I403" s="19" t="s">
        <v>22</v>
      </c>
      <c r="J403" s="19" t="s">
        <v>17</v>
      </c>
      <c r="K403" s="19" t="s">
        <v>28</v>
      </c>
      <c r="L403" s="19" t="s">
        <v>19</v>
      </c>
    </row>
    <row r="404" spans="1:12" ht="15.6">
      <c r="A404" s="19" t="s">
        <v>424</v>
      </c>
      <c r="B404" s="19">
        <v>9</v>
      </c>
      <c r="C404" s="19" t="s">
        <v>26</v>
      </c>
      <c r="D404" s="19">
        <v>8</v>
      </c>
      <c r="E404" s="19">
        <v>6459079979</v>
      </c>
      <c r="F404" s="19" t="s">
        <v>27</v>
      </c>
      <c r="G404" s="19">
        <v>15</v>
      </c>
      <c r="H404" s="19" t="s">
        <v>15</v>
      </c>
      <c r="I404" s="19" t="s">
        <v>22</v>
      </c>
      <c r="J404" s="19" t="s">
        <v>23</v>
      </c>
      <c r="K404" s="19" t="s">
        <v>28</v>
      </c>
      <c r="L404" s="19" t="s">
        <v>28</v>
      </c>
    </row>
    <row r="405" spans="1:12" ht="15.6">
      <c r="A405" s="19" t="s">
        <v>425</v>
      </c>
      <c r="B405" s="19">
        <v>8</v>
      </c>
      <c r="C405" s="19" t="s">
        <v>26</v>
      </c>
      <c r="D405" s="19">
        <v>6</v>
      </c>
      <c r="E405" s="19">
        <v>9504257674</v>
      </c>
      <c r="F405" s="19" t="s">
        <v>14</v>
      </c>
      <c r="G405" s="19">
        <v>14</v>
      </c>
      <c r="H405" s="19" t="s">
        <v>33</v>
      </c>
      <c r="I405" s="19" t="s">
        <v>16</v>
      </c>
      <c r="J405" s="19" t="s">
        <v>23</v>
      </c>
      <c r="K405" s="19" t="s">
        <v>49</v>
      </c>
      <c r="L405" s="19" t="s">
        <v>28</v>
      </c>
    </row>
    <row r="406" spans="1:12" ht="15.6">
      <c r="A406" s="19" t="s">
        <v>426</v>
      </c>
      <c r="B406" s="19">
        <v>6</v>
      </c>
      <c r="C406" s="19" t="s">
        <v>37</v>
      </c>
      <c r="D406" s="19">
        <v>76</v>
      </c>
      <c r="E406" s="19">
        <v>6176054435</v>
      </c>
      <c r="F406" s="19" t="s">
        <v>27</v>
      </c>
      <c r="G406" s="19">
        <v>12</v>
      </c>
      <c r="H406" s="19" t="s">
        <v>15</v>
      </c>
      <c r="I406" s="19" t="s">
        <v>22</v>
      </c>
      <c r="J406" s="19" t="s">
        <v>17</v>
      </c>
      <c r="K406" s="19" t="s">
        <v>49</v>
      </c>
      <c r="L406" s="19" t="s">
        <v>31</v>
      </c>
    </row>
    <row r="407" spans="1:12" ht="15.6">
      <c r="A407" s="19" t="s">
        <v>427</v>
      </c>
      <c r="B407" s="19">
        <v>9</v>
      </c>
      <c r="C407" s="19" t="s">
        <v>13</v>
      </c>
      <c r="D407" s="19">
        <v>19</v>
      </c>
      <c r="E407" s="19">
        <v>6359483619</v>
      </c>
      <c r="F407" s="19" t="s">
        <v>27</v>
      </c>
      <c r="G407" s="19">
        <v>14</v>
      </c>
      <c r="H407" s="19" t="s">
        <v>15</v>
      </c>
      <c r="I407" s="19" t="s">
        <v>22</v>
      </c>
      <c r="J407" s="19" t="s">
        <v>17</v>
      </c>
      <c r="K407" s="19" t="s">
        <v>24</v>
      </c>
      <c r="L407" s="19" t="s">
        <v>31</v>
      </c>
    </row>
    <row r="408" spans="1:12" ht="15.6">
      <c r="A408" s="19" t="s">
        <v>428</v>
      </c>
      <c r="B408" s="19">
        <v>10</v>
      </c>
      <c r="C408" s="19" t="s">
        <v>37</v>
      </c>
      <c r="D408" s="19">
        <v>156</v>
      </c>
      <c r="E408" s="19">
        <v>8959571377</v>
      </c>
      <c r="F408" s="19" t="s">
        <v>27</v>
      </c>
      <c r="G408" s="19">
        <v>16</v>
      </c>
      <c r="H408" s="19" t="s">
        <v>15</v>
      </c>
      <c r="I408" s="19" t="s">
        <v>16</v>
      </c>
      <c r="J408" s="19" t="s">
        <v>23</v>
      </c>
      <c r="K408" s="19" t="s">
        <v>18</v>
      </c>
      <c r="L408" s="19" t="s">
        <v>19</v>
      </c>
    </row>
    <row r="409" spans="1:12" ht="15.6">
      <c r="A409" s="19" t="s">
        <v>429</v>
      </c>
      <c r="B409" s="19">
        <v>8</v>
      </c>
      <c r="C409" s="19" t="s">
        <v>21</v>
      </c>
      <c r="D409" s="19">
        <v>127</v>
      </c>
      <c r="E409" s="19">
        <v>7436412180</v>
      </c>
      <c r="F409" s="19" t="s">
        <v>27</v>
      </c>
      <c r="G409" s="19">
        <v>14</v>
      </c>
      <c r="H409" s="19" t="s">
        <v>15</v>
      </c>
      <c r="I409" s="19" t="s">
        <v>22</v>
      </c>
      <c r="J409" s="19" t="s">
        <v>17</v>
      </c>
      <c r="K409" s="19" t="s">
        <v>28</v>
      </c>
      <c r="L409" s="19" t="s">
        <v>28</v>
      </c>
    </row>
    <row r="410" spans="1:12" ht="15.6">
      <c r="A410" s="19" t="s">
        <v>430</v>
      </c>
      <c r="B410" s="19">
        <v>10</v>
      </c>
      <c r="C410" s="19" t="s">
        <v>21</v>
      </c>
      <c r="D410" s="19">
        <v>42</v>
      </c>
      <c r="E410" s="19">
        <v>6786321017</v>
      </c>
      <c r="F410" s="19" t="s">
        <v>14</v>
      </c>
      <c r="G410" s="19">
        <v>15</v>
      </c>
      <c r="H410" s="19" t="s">
        <v>33</v>
      </c>
      <c r="I410" s="19" t="s">
        <v>22</v>
      </c>
      <c r="J410" s="19" t="s">
        <v>17</v>
      </c>
      <c r="K410" s="19" t="s">
        <v>18</v>
      </c>
      <c r="L410" s="19" t="s">
        <v>28</v>
      </c>
    </row>
    <row r="411" spans="1:12" ht="15.6">
      <c r="A411" s="19" t="s">
        <v>431</v>
      </c>
      <c r="B411" s="19">
        <v>7</v>
      </c>
      <c r="C411" s="19" t="s">
        <v>26</v>
      </c>
      <c r="D411" s="19">
        <v>101</v>
      </c>
      <c r="E411" s="19">
        <v>8542804243</v>
      </c>
      <c r="F411" s="19" t="s">
        <v>27</v>
      </c>
      <c r="G411" s="19">
        <v>12</v>
      </c>
      <c r="H411" s="19" t="s">
        <v>33</v>
      </c>
      <c r="I411" s="19" t="s">
        <v>16</v>
      </c>
      <c r="J411" s="19" t="s">
        <v>23</v>
      </c>
      <c r="K411" s="19" t="s">
        <v>24</v>
      </c>
      <c r="L411" s="19" t="s">
        <v>28</v>
      </c>
    </row>
    <row r="412" spans="1:12" ht="15.6">
      <c r="A412" s="19" t="s">
        <v>432</v>
      </c>
      <c r="B412" s="19">
        <v>10</v>
      </c>
      <c r="C412" s="19" t="s">
        <v>26</v>
      </c>
      <c r="D412" s="19">
        <v>63</v>
      </c>
      <c r="E412" s="19">
        <v>6870439737</v>
      </c>
      <c r="F412" s="19" t="s">
        <v>27</v>
      </c>
      <c r="G412" s="19">
        <v>16</v>
      </c>
      <c r="H412" s="19" t="s">
        <v>15</v>
      </c>
      <c r="I412" s="19" t="s">
        <v>16</v>
      </c>
      <c r="J412" s="19" t="s">
        <v>23</v>
      </c>
      <c r="K412" s="19" t="s">
        <v>30</v>
      </c>
      <c r="L412" s="19" t="s">
        <v>28</v>
      </c>
    </row>
    <row r="413" spans="1:12" ht="15.6">
      <c r="A413" s="19" t="s">
        <v>433</v>
      </c>
      <c r="B413" s="19">
        <v>9</v>
      </c>
      <c r="C413" s="19" t="s">
        <v>21</v>
      </c>
      <c r="D413" s="19">
        <v>27</v>
      </c>
      <c r="E413" s="19">
        <v>8612551887</v>
      </c>
      <c r="F413" s="19" t="s">
        <v>14</v>
      </c>
      <c r="G413" s="19">
        <v>15</v>
      </c>
      <c r="H413" s="19" t="s">
        <v>15</v>
      </c>
      <c r="I413" s="19" t="s">
        <v>22</v>
      </c>
      <c r="J413" s="19" t="s">
        <v>17</v>
      </c>
      <c r="K413" s="19" t="s">
        <v>28</v>
      </c>
      <c r="L413" s="19" t="s">
        <v>19</v>
      </c>
    </row>
    <row r="414" spans="1:12" ht="15.6">
      <c r="A414" s="19" t="s">
        <v>434</v>
      </c>
      <c r="B414" s="19">
        <v>7</v>
      </c>
      <c r="C414" s="19" t="s">
        <v>21</v>
      </c>
      <c r="D414" s="19">
        <v>22</v>
      </c>
      <c r="E414" s="19">
        <v>7319841086</v>
      </c>
      <c r="F414" s="19" t="s">
        <v>14</v>
      </c>
      <c r="G414" s="19">
        <v>13</v>
      </c>
      <c r="H414" s="19" t="s">
        <v>33</v>
      </c>
      <c r="I414" s="19" t="s">
        <v>22</v>
      </c>
      <c r="J414" s="19" t="s">
        <v>23</v>
      </c>
      <c r="K414" s="19" t="s">
        <v>28</v>
      </c>
      <c r="L414" s="19" t="s">
        <v>28</v>
      </c>
    </row>
    <row r="415" spans="1:12" ht="15.6">
      <c r="A415" s="19" t="s">
        <v>435</v>
      </c>
      <c r="B415" s="19">
        <v>6</v>
      </c>
      <c r="C415" s="19" t="s">
        <v>21</v>
      </c>
      <c r="D415" s="19">
        <v>74</v>
      </c>
      <c r="E415" s="19">
        <v>7369805687</v>
      </c>
      <c r="F415" s="19" t="s">
        <v>14</v>
      </c>
      <c r="G415" s="19">
        <v>11</v>
      </c>
      <c r="H415" s="19" t="s">
        <v>33</v>
      </c>
      <c r="I415" s="19" t="s">
        <v>22</v>
      </c>
      <c r="J415" s="19" t="s">
        <v>17</v>
      </c>
      <c r="K415" s="19" t="s">
        <v>28</v>
      </c>
      <c r="L415" s="19" t="s">
        <v>31</v>
      </c>
    </row>
    <row r="416" spans="1:12" ht="15.6">
      <c r="A416" s="19" t="s">
        <v>436</v>
      </c>
      <c r="B416" s="19">
        <v>8</v>
      </c>
      <c r="C416" s="19" t="s">
        <v>37</v>
      </c>
      <c r="D416" s="19">
        <v>126</v>
      </c>
      <c r="E416" s="19">
        <v>8953684815</v>
      </c>
      <c r="F416" s="19" t="s">
        <v>14</v>
      </c>
      <c r="G416" s="19">
        <v>14</v>
      </c>
      <c r="H416" s="19" t="s">
        <v>15</v>
      </c>
      <c r="I416" s="19" t="s">
        <v>16</v>
      </c>
      <c r="J416" s="19" t="s">
        <v>17</v>
      </c>
      <c r="K416" s="19" t="s">
        <v>18</v>
      </c>
      <c r="L416" s="19" t="s">
        <v>19</v>
      </c>
    </row>
    <row r="417" spans="1:12" ht="15.6">
      <c r="A417" s="19" t="s">
        <v>437</v>
      </c>
      <c r="B417" s="19">
        <v>10</v>
      </c>
      <c r="C417" s="19" t="s">
        <v>37</v>
      </c>
      <c r="D417" s="19">
        <v>177</v>
      </c>
      <c r="E417" s="19">
        <v>8899946041</v>
      </c>
      <c r="F417" s="19" t="s">
        <v>27</v>
      </c>
      <c r="G417" s="19">
        <v>16</v>
      </c>
      <c r="H417" s="19" t="s">
        <v>33</v>
      </c>
      <c r="I417" s="19" t="s">
        <v>22</v>
      </c>
      <c r="J417" s="19" t="s">
        <v>17</v>
      </c>
      <c r="K417" s="19" t="s">
        <v>49</v>
      </c>
      <c r="L417" s="19" t="s">
        <v>31</v>
      </c>
    </row>
    <row r="418" spans="1:12" ht="15.6">
      <c r="A418" s="19" t="s">
        <v>438</v>
      </c>
      <c r="B418" s="19">
        <v>9</v>
      </c>
      <c r="C418" s="19" t="s">
        <v>26</v>
      </c>
      <c r="D418" s="19">
        <v>189</v>
      </c>
      <c r="E418" s="19">
        <v>7936460483</v>
      </c>
      <c r="F418" s="19" t="s">
        <v>27</v>
      </c>
      <c r="G418" s="19">
        <v>15</v>
      </c>
      <c r="H418" s="19" t="s">
        <v>33</v>
      </c>
      <c r="I418" s="19" t="s">
        <v>22</v>
      </c>
      <c r="J418" s="19" t="s">
        <v>23</v>
      </c>
      <c r="K418" s="19" t="s">
        <v>28</v>
      </c>
      <c r="L418" s="19" t="s">
        <v>42</v>
      </c>
    </row>
    <row r="419" spans="1:12" ht="15.6">
      <c r="A419" s="19" t="s">
        <v>439</v>
      </c>
      <c r="B419" s="19">
        <v>6</v>
      </c>
      <c r="C419" s="19" t="s">
        <v>37</v>
      </c>
      <c r="D419" s="19">
        <v>140</v>
      </c>
      <c r="E419" s="19">
        <v>7709833651</v>
      </c>
      <c r="F419" s="19" t="s">
        <v>27</v>
      </c>
      <c r="G419" s="19">
        <v>11</v>
      </c>
      <c r="H419" s="19" t="s">
        <v>33</v>
      </c>
      <c r="I419" s="19" t="s">
        <v>16</v>
      </c>
      <c r="J419" s="19" t="s">
        <v>23</v>
      </c>
      <c r="K419" s="19" t="s">
        <v>30</v>
      </c>
      <c r="L419" s="19" t="s">
        <v>42</v>
      </c>
    </row>
    <row r="420" spans="1:12" ht="15.6">
      <c r="A420" s="19" t="s">
        <v>440</v>
      </c>
      <c r="B420" s="19">
        <v>6</v>
      </c>
      <c r="C420" s="19" t="s">
        <v>21</v>
      </c>
      <c r="D420" s="19">
        <v>17</v>
      </c>
      <c r="E420" s="19">
        <v>6615708801</v>
      </c>
      <c r="F420" s="19" t="s">
        <v>14</v>
      </c>
      <c r="G420" s="19">
        <v>11</v>
      </c>
      <c r="H420" s="19" t="s">
        <v>15</v>
      </c>
      <c r="I420" s="19" t="s">
        <v>16</v>
      </c>
      <c r="J420" s="19" t="s">
        <v>17</v>
      </c>
      <c r="K420" s="19" t="s">
        <v>49</v>
      </c>
      <c r="L420" s="19" t="s">
        <v>31</v>
      </c>
    </row>
    <row r="421" spans="1:12" ht="15.6">
      <c r="A421" s="19" t="s">
        <v>441</v>
      </c>
      <c r="B421" s="19">
        <v>10</v>
      </c>
      <c r="C421" s="19" t="s">
        <v>13</v>
      </c>
      <c r="D421" s="19">
        <v>115</v>
      </c>
      <c r="E421" s="19">
        <v>7142805073</v>
      </c>
      <c r="F421" s="19" t="s">
        <v>14</v>
      </c>
      <c r="G421" s="19">
        <v>16</v>
      </c>
      <c r="H421" s="19" t="s">
        <v>33</v>
      </c>
      <c r="I421" s="19" t="s">
        <v>22</v>
      </c>
      <c r="J421" s="19" t="s">
        <v>17</v>
      </c>
      <c r="K421" s="19" t="s">
        <v>30</v>
      </c>
      <c r="L421" s="19" t="s">
        <v>31</v>
      </c>
    </row>
    <row r="422" spans="1:12" ht="15.6">
      <c r="A422" s="19" t="s">
        <v>442</v>
      </c>
      <c r="B422" s="19">
        <v>6</v>
      </c>
      <c r="C422" s="19" t="s">
        <v>21</v>
      </c>
      <c r="D422" s="19">
        <v>54</v>
      </c>
      <c r="E422" s="19">
        <v>9523493873</v>
      </c>
      <c r="F422" s="19" t="s">
        <v>14</v>
      </c>
      <c r="G422" s="19">
        <v>12</v>
      </c>
      <c r="H422" s="19" t="s">
        <v>33</v>
      </c>
      <c r="I422" s="19" t="s">
        <v>22</v>
      </c>
      <c r="J422" s="19" t="s">
        <v>17</v>
      </c>
      <c r="K422" s="19" t="s">
        <v>24</v>
      </c>
      <c r="L422" s="19" t="s">
        <v>28</v>
      </c>
    </row>
    <row r="423" spans="1:12" ht="15.6">
      <c r="A423" s="19" t="s">
        <v>443</v>
      </c>
      <c r="B423" s="19">
        <v>10</v>
      </c>
      <c r="C423" s="19" t="s">
        <v>21</v>
      </c>
      <c r="D423" s="19">
        <v>163</v>
      </c>
      <c r="E423" s="19">
        <v>7240768983</v>
      </c>
      <c r="F423" s="19" t="s">
        <v>27</v>
      </c>
      <c r="G423" s="19">
        <v>15</v>
      </c>
      <c r="H423" s="19" t="s">
        <v>33</v>
      </c>
      <c r="I423" s="19" t="s">
        <v>16</v>
      </c>
      <c r="J423" s="19" t="s">
        <v>17</v>
      </c>
      <c r="K423" s="19" t="s">
        <v>18</v>
      </c>
      <c r="L423" s="19" t="s">
        <v>42</v>
      </c>
    </row>
    <row r="424" spans="1:12" ht="15.6">
      <c r="A424" s="19" t="s">
        <v>444</v>
      </c>
      <c r="B424" s="19">
        <v>7</v>
      </c>
      <c r="C424" s="19" t="s">
        <v>21</v>
      </c>
      <c r="D424" s="19">
        <v>13</v>
      </c>
      <c r="E424" s="19">
        <v>9034664843</v>
      </c>
      <c r="F424" s="19" t="s">
        <v>14</v>
      </c>
      <c r="G424" s="19">
        <v>13</v>
      </c>
      <c r="H424" s="19" t="s">
        <v>33</v>
      </c>
      <c r="I424" s="19" t="s">
        <v>16</v>
      </c>
      <c r="J424" s="19" t="s">
        <v>17</v>
      </c>
      <c r="K424" s="19" t="s">
        <v>28</v>
      </c>
      <c r="L424" s="19" t="s">
        <v>28</v>
      </c>
    </row>
    <row r="425" spans="1:12" ht="15.6">
      <c r="A425" s="19" t="s">
        <v>445</v>
      </c>
      <c r="B425" s="19">
        <v>10</v>
      </c>
      <c r="C425" s="19" t="s">
        <v>26</v>
      </c>
      <c r="D425" s="19">
        <v>45</v>
      </c>
      <c r="E425" s="19">
        <v>9384840922</v>
      </c>
      <c r="F425" s="19" t="s">
        <v>27</v>
      </c>
      <c r="G425" s="19">
        <v>15</v>
      </c>
      <c r="H425" s="19" t="s">
        <v>15</v>
      </c>
      <c r="I425" s="19" t="s">
        <v>22</v>
      </c>
      <c r="J425" s="19" t="s">
        <v>17</v>
      </c>
      <c r="K425" s="19" t="s">
        <v>30</v>
      </c>
      <c r="L425" s="19" t="s">
        <v>28</v>
      </c>
    </row>
    <row r="426" spans="1:12" ht="15.6">
      <c r="A426" s="19" t="s">
        <v>446</v>
      </c>
      <c r="B426" s="19">
        <v>9</v>
      </c>
      <c r="C426" s="19" t="s">
        <v>13</v>
      </c>
      <c r="D426" s="19">
        <v>114</v>
      </c>
      <c r="E426" s="19">
        <v>9845960907</v>
      </c>
      <c r="F426" s="19" t="s">
        <v>27</v>
      </c>
      <c r="G426" s="19">
        <v>14</v>
      </c>
      <c r="H426" s="19" t="s">
        <v>15</v>
      </c>
      <c r="I426" s="19" t="s">
        <v>22</v>
      </c>
      <c r="J426" s="19" t="s">
        <v>23</v>
      </c>
      <c r="K426" s="19" t="s">
        <v>18</v>
      </c>
      <c r="L426" s="19" t="s">
        <v>19</v>
      </c>
    </row>
    <row r="427" spans="1:12" ht="15.6">
      <c r="A427" s="19" t="s">
        <v>447</v>
      </c>
      <c r="B427" s="19">
        <v>10</v>
      </c>
      <c r="C427" s="19" t="s">
        <v>26</v>
      </c>
      <c r="D427" s="19">
        <v>81</v>
      </c>
      <c r="E427" s="19">
        <v>6317937349</v>
      </c>
      <c r="F427" s="19" t="s">
        <v>27</v>
      </c>
      <c r="G427" s="19">
        <v>16</v>
      </c>
      <c r="H427" s="19" t="s">
        <v>33</v>
      </c>
      <c r="I427" s="19" t="s">
        <v>16</v>
      </c>
      <c r="J427" s="19" t="s">
        <v>17</v>
      </c>
      <c r="K427" s="19" t="s">
        <v>18</v>
      </c>
      <c r="L427" s="19" t="s">
        <v>19</v>
      </c>
    </row>
    <row r="428" spans="1:12" ht="15.6">
      <c r="A428" s="19" t="s">
        <v>448</v>
      </c>
      <c r="B428" s="19">
        <v>7</v>
      </c>
      <c r="C428" s="19" t="s">
        <v>37</v>
      </c>
      <c r="D428" s="19">
        <v>48</v>
      </c>
      <c r="E428" s="19">
        <v>7349809508</v>
      </c>
      <c r="F428" s="19" t="s">
        <v>27</v>
      </c>
      <c r="G428" s="19">
        <v>12</v>
      </c>
      <c r="H428" s="19" t="s">
        <v>33</v>
      </c>
      <c r="I428" s="19" t="s">
        <v>16</v>
      </c>
      <c r="J428" s="19" t="s">
        <v>17</v>
      </c>
      <c r="K428" s="19" t="s">
        <v>28</v>
      </c>
      <c r="L428" s="19" t="s">
        <v>28</v>
      </c>
    </row>
    <row r="429" spans="1:12" ht="15.6">
      <c r="A429" s="19" t="s">
        <v>449</v>
      </c>
      <c r="B429" s="19">
        <v>8</v>
      </c>
      <c r="C429" s="19" t="s">
        <v>13</v>
      </c>
      <c r="D429" s="19">
        <v>93</v>
      </c>
      <c r="E429" s="19">
        <v>9251457872</v>
      </c>
      <c r="F429" s="19" t="s">
        <v>27</v>
      </c>
      <c r="G429" s="19">
        <v>13</v>
      </c>
      <c r="H429" s="19" t="s">
        <v>15</v>
      </c>
      <c r="I429" s="19" t="s">
        <v>22</v>
      </c>
      <c r="J429" s="19" t="s">
        <v>23</v>
      </c>
      <c r="K429" s="19" t="s">
        <v>28</v>
      </c>
      <c r="L429" s="19" t="s">
        <v>28</v>
      </c>
    </row>
    <row r="430" spans="1:12" ht="15.6">
      <c r="A430" s="19" t="s">
        <v>178</v>
      </c>
      <c r="B430" s="19">
        <v>10</v>
      </c>
      <c r="C430" s="19" t="s">
        <v>37</v>
      </c>
      <c r="D430" s="19">
        <v>83</v>
      </c>
      <c r="E430" s="19">
        <v>6642917446</v>
      </c>
      <c r="F430" s="19" t="s">
        <v>14</v>
      </c>
      <c r="G430" s="19">
        <v>16</v>
      </c>
      <c r="H430" s="19" t="s">
        <v>33</v>
      </c>
      <c r="I430" s="19" t="s">
        <v>22</v>
      </c>
      <c r="J430" s="19" t="s">
        <v>23</v>
      </c>
      <c r="K430" s="19" t="s">
        <v>18</v>
      </c>
      <c r="L430" s="19" t="s">
        <v>28</v>
      </c>
    </row>
    <row r="431" spans="1:12" ht="15.6">
      <c r="A431" s="19" t="s">
        <v>257</v>
      </c>
      <c r="B431" s="19">
        <v>6</v>
      </c>
      <c r="C431" s="19" t="s">
        <v>13</v>
      </c>
      <c r="D431" s="19">
        <v>50</v>
      </c>
      <c r="E431" s="19">
        <v>8159530072</v>
      </c>
      <c r="F431" s="19" t="s">
        <v>14</v>
      </c>
      <c r="G431" s="19">
        <v>12</v>
      </c>
      <c r="H431" s="19" t="s">
        <v>33</v>
      </c>
      <c r="I431" s="19" t="s">
        <v>22</v>
      </c>
      <c r="J431" s="19" t="s">
        <v>17</v>
      </c>
      <c r="K431" s="19" t="s">
        <v>28</v>
      </c>
      <c r="L431" s="19" t="s">
        <v>42</v>
      </c>
    </row>
    <row r="432" spans="1:12" ht="15.6">
      <c r="A432" s="19" t="s">
        <v>450</v>
      </c>
      <c r="B432" s="19">
        <v>9</v>
      </c>
      <c r="C432" s="19" t="s">
        <v>21</v>
      </c>
      <c r="D432" s="19">
        <v>79</v>
      </c>
      <c r="E432" s="19">
        <v>7136169288</v>
      </c>
      <c r="F432" s="19" t="s">
        <v>14</v>
      </c>
      <c r="G432" s="19">
        <v>14</v>
      </c>
      <c r="H432" s="19" t="s">
        <v>33</v>
      </c>
      <c r="I432" s="19" t="s">
        <v>22</v>
      </c>
      <c r="J432" s="19" t="s">
        <v>17</v>
      </c>
      <c r="K432" s="19" t="s">
        <v>49</v>
      </c>
      <c r="L432" s="19" t="s">
        <v>19</v>
      </c>
    </row>
    <row r="433" spans="1:12" ht="15.6">
      <c r="A433" s="19" t="s">
        <v>451</v>
      </c>
      <c r="B433" s="19">
        <v>7</v>
      </c>
      <c r="C433" s="19" t="s">
        <v>26</v>
      </c>
      <c r="D433" s="19">
        <v>174</v>
      </c>
      <c r="E433" s="19">
        <v>9906606255</v>
      </c>
      <c r="F433" s="19" t="s">
        <v>14</v>
      </c>
      <c r="G433" s="19">
        <v>12</v>
      </c>
      <c r="H433" s="19" t="s">
        <v>15</v>
      </c>
      <c r="I433" s="19" t="s">
        <v>22</v>
      </c>
      <c r="J433" s="19" t="s">
        <v>17</v>
      </c>
      <c r="K433" s="19" t="s">
        <v>24</v>
      </c>
      <c r="L433" s="19" t="s">
        <v>28</v>
      </c>
    </row>
    <row r="434" spans="1:12" ht="15.6">
      <c r="A434" s="19" t="s">
        <v>452</v>
      </c>
      <c r="B434" s="19">
        <v>9</v>
      </c>
      <c r="C434" s="19" t="s">
        <v>13</v>
      </c>
      <c r="D434" s="19">
        <v>60</v>
      </c>
      <c r="E434" s="19">
        <v>8795206288</v>
      </c>
      <c r="F434" s="19" t="s">
        <v>14</v>
      </c>
      <c r="G434" s="19">
        <v>14</v>
      </c>
      <c r="H434" s="19" t="s">
        <v>15</v>
      </c>
      <c r="I434" s="19" t="s">
        <v>16</v>
      </c>
      <c r="J434" s="19" t="s">
        <v>17</v>
      </c>
      <c r="K434" s="19" t="s">
        <v>28</v>
      </c>
      <c r="L434" s="19" t="s">
        <v>31</v>
      </c>
    </row>
    <row r="435" spans="1:12" ht="15.6">
      <c r="A435" s="19" t="s">
        <v>453</v>
      </c>
      <c r="B435" s="19">
        <v>7</v>
      </c>
      <c r="C435" s="19" t="s">
        <v>21</v>
      </c>
      <c r="D435" s="19">
        <v>133</v>
      </c>
      <c r="E435" s="19">
        <v>6663402232</v>
      </c>
      <c r="F435" s="19" t="s">
        <v>14</v>
      </c>
      <c r="G435" s="19">
        <v>12</v>
      </c>
      <c r="H435" s="19" t="s">
        <v>33</v>
      </c>
      <c r="I435" s="19" t="s">
        <v>22</v>
      </c>
      <c r="J435" s="19" t="s">
        <v>23</v>
      </c>
      <c r="K435" s="19" t="s">
        <v>30</v>
      </c>
      <c r="L435" s="19" t="s">
        <v>28</v>
      </c>
    </row>
    <row r="436" spans="1:12" ht="15.6">
      <c r="A436" s="19" t="s">
        <v>454</v>
      </c>
      <c r="B436" s="19">
        <v>6</v>
      </c>
      <c r="C436" s="19" t="s">
        <v>13</v>
      </c>
      <c r="D436" s="19">
        <v>158</v>
      </c>
      <c r="E436" s="19">
        <v>7331456331</v>
      </c>
      <c r="F436" s="19" t="s">
        <v>14</v>
      </c>
      <c r="G436" s="19">
        <v>11</v>
      </c>
      <c r="H436" s="19" t="s">
        <v>15</v>
      </c>
      <c r="I436" s="19" t="s">
        <v>22</v>
      </c>
      <c r="J436" s="19" t="s">
        <v>17</v>
      </c>
      <c r="K436" s="19" t="s">
        <v>28</v>
      </c>
      <c r="L436" s="19" t="s">
        <v>31</v>
      </c>
    </row>
    <row r="437" spans="1:12" ht="15.6">
      <c r="A437" s="19" t="s">
        <v>455</v>
      </c>
      <c r="B437" s="19">
        <v>7</v>
      </c>
      <c r="C437" s="19" t="s">
        <v>37</v>
      </c>
      <c r="D437" s="19">
        <v>166</v>
      </c>
      <c r="E437" s="19">
        <v>7008147745</v>
      </c>
      <c r="F437" s="19" t="s">
        <v>14</v>
      </c>
      <c r="G437" s="19">
        <v>12</v>
      </c>
      <c r="H437" s="19" t="s">
        <v>33</v>
      </c>
      <c r="I437" s="19" t="s">
        <v>16</v>
      </c>
      <c r="J437" s="19" t="s">
        <v>17</v>
      </c>
      <c r="K437" s="19" t="s">
        <v>28</v>
      </c>
      <c r="L437" s="19" t="s">
        <v>31</v>
      </c>
    </row>
    <row r="438" spans="1:12" ht="15.6">
      <c r="A438" s="19" t="s">
        <v>112</v>
      </c>
      <c r="B438" s="19">
        <v>6</v>
      </c>
      <c r="C438" s="19" t="s">
        <v>26</v>
      </c>
      <c r="D438" s="19">
        <v>178</v>
      </c>
      <c r="E438" s="19">
        <v>6970870698</v>
      </c>
      <c r="F438" s="19" t="s">
        <v>14</v>
      </c>
      <c r="G438" s="19">
        <v>12</v>
      </c>
      <c r="H438" s="19" t="s">
        <v>15</v>
      </c>
      <c r="I438" s="19" t="s">
        <v>22</v>
      </c>
      <c r="J438" s="19" t="s">
        <v>17</v>
      </c>
      <c r="K438" s="19" t="s">
        <v>28</v>
      </c>
      <c r="L438" s="19" t="s">
        <v>42</v>
      </c>
    </row>
    <row r="439" spans="1:12" ht="15.6">
      <c r="A439" s="19" t="s">
        <v>456</v>
      </c>
      <c r="B439" s="19">
        <v>7</v>
      </c>
      <c r="C439" s="19" t="s">
        <v>26</v>
      </c>
      <c r="D439" s="19">
        <v>16</v>
      </c>
      <c r="E439" s="19">
        <v>6347887648</v>
      </c>
      <c r="F439" s="19" t="s">
        <v>27</v>
      </c>
      <c r="G439" s="19">
        <v>13</v>
      </c>
      <c r="H439" s="19" t="s">
        <v>15</v>
      </c>
      <c r="I439" s="19" t="s">
        <v>16</v>
      </c>
      <c r="J439" s="19" t="s">
        <v>17</v>
      </c>
      <c r="K439" s="19" t="s">
        <v>30</v>
      </c>
      <c r="L439" s="19" t="s">
        <v>28</v>
      </c>
    </row>
    <row r="440" spans="1:12" ht="15.6">
      <c r="A440" s="19" t="s">
        <v>457</v>
      </c>
      <c r="B440" s="19">
        <v>7</v>
      </c>
      <c r="C440" s="19" t="s">
        <v>37</v>
      </c>
      <c r="D440" s="19">
        <v>104</v>
      </c>
      <c r="E440" s="19">
        <v>7294038250</v>
      </c>
      <c r="F440" s="19" t="s">
        <v>27</v>
      </c>
      <c r="G440" s="19">
        <v>12</v>
      </c>
      <c r="H440" s="19" t="s">
        <v>33</v>
      </c>
      <c r="I440" s="19" t="s">
        <v>16</v>
      </c>
      <c r="J440" s="19" t="s">
        <v>17</v>
      </c>
      <c r="K440" s="19" t="s">
        <v>30</v>
      </c>
      <c r="L440" s="19" t="s">
        <v>28</v>
      </c>
    </row>
    <row r="441" spans="1:12" ht="15.6">
      <c r="A441" s="19" t="s">
        <v>75</v>
      </c>
      <c r="B441" s="19">
        <v>6</v>
      </c>
      <c r="C441" s="19" t="s">
        <v>21</v>
      </c>
      <c r="D441" s="19">
        <v>115</v>
      </c>
      <c r="E441" s="19">
        <v>8309948189</v>
      </c>
      <c r="F441" s="19" t="s">
        <v>27</v>
      </c>
      <c r="G441" s="19">
        <v>12</v>
      </c>
      <c r="H441" s="19" t="s">
        <v>15</v>
      </c>
      <c r="I441" s="19" t="s">
        <v>22</v>
      </c>
      <c r="J441" s="19" t="s">
        <v>23</v>
      </c>
      <c r="K441" s="19" t="s">
        <v>30</v>
      </c>
      <c r="L441" s="19" t="s">
        <v>19</v>
      </c>
    </row>
    <row r="442" spans="1:12" ht="15.6">
      <c r="A442" s="19" t="s">
        <v>458</v>
      </c>
      <c r="B442" s="19">
        <v>7</v>
      </c>
      <c r="C442" s="19" t="s">
        <v>37</v>
      </c>
      <c r="D442" s="19">
        <v>68</v>
      </c>
      <c r="E442" s="19">
        <v>8191460323</v>
      </c>
      <c r="F442" s="19" t="s">
        <v>14</v>
      </c>
      <c r="G442" s="19">
        <v>13</v>
      </c>
      <c r="H442" s="19" t="s">
        <v>33</v>
      </c>
      <c r="I442" s="19" t="s">
        <v>16</v>
      </c>
      <c r="J442" s="19" t="s">
        <v>17</v>
      </c>
      <c r="K442" s="19" t="s">
        <v>49</v>
      </c>
      <c r="L442" s="19" t="s">
        <v>31</v>
      </c>
    </row>
    <row r="443" spans="1:12" ht="15.6">
      <c r="A443" s="19" t="s">
        <v>459</v>
      </c>
      <c r="B443" s="19">
        <v>6</v>
      </c>
      <c r="C443" s="19" t="s">
        <v>37</v>
      </c>
      <c r="D443" s="19">
        <v>191</v>
      </c>
      <c r="E443" s="19">
        <v>7539145264</v>
      </c>
      <c r="F443" s="19" t="s">
        <v>27</v>
      </c>
      <c r="G443" s="19">
        <v>12</v>
      </c>
      <c r="H443" s="19" t="s">
        <v>15</v>
      </c>
      <c r="I443" s="19" t="s">
        <v>22</v>
      </c>
      <c r="J443" s="19" t="s">
        <v>17</v>
      </c>
      <c r="K443" s="19" t="s">
        <v>18</v>
      </c>
      <c r="L443" s="19" t="s">
        <v>19</v>
      </c>
    </row>
    <row r="444" spans="1:12" ht="15.6">
      <c r="A444" s="19" t="s">
        <v>460</v>
      </c>
      <c r="B444" s="19">
        <v>8</v>
      </c>
      <c r="C444" s="19" t="s">
        <v>37</v>
      </c>
      <c r="D444" s="19">
        <v>58</v>
      </c>
      <c r="E444" s="19">
        <v>7671930387</v>
      </c>
      <c r="F444" s="19" t="s">
        <v>27</v>
      </c>
      <c r="G444" s="19">
        <v>13</v>
      </c>
      <c r="H444" s="19" t="s">
        <v>15</v>
      </c>
      <c r="I444" s="19" t="s">
        <v>22</v>
      </c>
      <c r="J444" s="19" t="s">
        <v>17</v>
      </c>
      <c r="K444" s="19" t="s">
        <v>24</v>
      </c>
      <c r="L444" s="19" t="s">
        <v>19</v>
      </c>
    </row>
    <row r="445" spans="1:12" ht="15.6">
      <c r="A445" s="19" t="s">
        <v>461</v>
      </c>
      <c r="B445" s="19">
        <v>10</v>
      </c>
      <c r="C445" s="19" t="s">
        <v>26</v>
      </c>
      <c r="D445" s="19">
        <v>162</v>
      </c>
      <c r="E445" s="19">
        <v>6711750419</v>
      </c>
      <c r="F445" s="19" t="s">
        <v>14</v>
      </c>
      <c r="G445" s="19">
        <v>15</v>
      </c>
      <c r="H445" s="19" t="s">
        <v>15</v>
      </c>
      <c r="I445" s="19" t="s">
        <v>22</v>
      </c>
      <c r="J445" s="19" t="s">
        <v>17</v>
      </c>
      <c r="K445" s="19" t="s">
        <v>28</v>
      </c>
      <c r="L445" s="19" t="s">
        <v>19</v>
      </c>
    </row>
    <row r="446" spans="1:12" ht="15.6">
      <c r="A446" s="19" t="s">
        <v>462</v>
      </c>
      <c r="B446" s="19">
        <v>6</v>
      </c>
      <c r="C446" s="19" t="s">
        <v>37</v>
      </c>
      <c r="D446" s="19">
        <v>141</v>
      </c>
      <c r="E446" s="19">
        <v>6195084508</v>
      </c>
      <c r="F446" s="19" t="s">
        <v>14</v>
      </c>
      <c r="G446" s="19">
        <v>11</v>
      </c>
      <c r="H446" s="19" t="s">
        <v>33</v>
      </c>
      <c r="I446" s="19" t="s">
        <v>16</v>
      </c>
      <c r="J446" s="19" t="s">
        <v>23</v>
      </c>
      <c r="K446" s="19" t="s">
        <v>49</v>
      </c>
      <c r="L446" s="19" t="s">
        <v>28</v>
      </c>
    </row>
    <row r="447" spans="1:12" ht="15.6">
      <c r="A447" s="19" t="s">
        <v>463</v>
      </c>
      <c r="B447" s="19">
        <v>9</v>
      </c>
      <c r="C447" s="19" t="s">
        <v>26</v>
      </c>
      <c r="D447" s="19">
        <v>63</v>
      </c>
      <c r="E447" s="19">
        <v>9532941523</v>
      </c>
      <c r="F447" s="19" t="s">
        <v>14</v>
      </c>
      <c r="G447" s="19">
        <v>15</v>
      </c>
      <c r="H447" s="19" t="s">
        <v>15</v>
      </c>
      <c r="I447" s="19" t="s">
        <v>16</v>
      </c>
      <c r="J447" s="19" t="s">
        <v>17</v>
      </c>
      <c r="K447" s="19" t="s">
        <v>24</v>
      </c>
      <c r="L447" s="19" t="s">
        <v>28</v>
      </c>
    </row>
    <row r="448" spans="1:12" ht="15.6">
      <c r="A448" s="19" t="s">
        <v>189</v>
      </c>
      <c r="B448" s="19">
        <v>8</v>
      </c>
      <c r="C448" s="19" t="s">
        <v>26</v>
      </c>
      <c r="D448" s="19">
        <v>3</v>
      </c>
      <c r="E448" s="19">
        <v>7274577656</v>
      </c>
      <c r="F448" s="19" t="s">
        <v>14</v>
      </c>
      <c r="G448" s="19">
        <v>14</v>
      </c>
      <c r="H448" s="19" t="s">
        <v>15</v>
      </c>
      <c r="I448" s="19" t="s">
        <v>16</v>
      </c>
      <c r="J448" s="19" t="s">
        <v>17</v>
      </c>
      <c r="K448" s="19" t="s">
        <v>18</v>
      </c>
      <c r="L448" s="19" t="s">
        <v>19</v>
      </c>
    </row>
    <row r="449" spans="1:12" ht="15.6">
      <c r="A449" s="19" t="s">
        <v>464</v>
      </c>
      <c r="B449" s="19">
        <v>10</v>
      </c>
      <c r="C449" s="19" t="s">
        <v>37</v>
      </c>
      <c r="D449" s="19">
        <v>58</v>
      </c>
      <c r="E449" s="19">
        <v>9260127515</v>
      </c>
      <c r="F449" s="19" t="s">
        <v>27</v>
      </c>
      <c r="G449" s="19">
        <v>15</v>
      </c>
      <c r="H449" s="19" t="s">
        <v>33</v>
      </c>
      <c r="I449" s="19" t="s">
        <v>22</v>
      </c>
      <c r="J449" s="19" t="s">
        <v>17</v>
      </c>
      <c r="K449" s="19" t="s">
        <v>30</v>
      </c>
      <c r="L449" s="19" t="s">
        <v>19</v>
      </c>
    </row>
    <row r="450" spans="1:12" ht="15.6">
      <c r="A450" s="19" t="s">
        <v>465</v>
      </c>
      <c r="B450" s="19">
        <v>8</v>
      </c>
      <c r="C450" s="19" t="s">
        <v>37</v>
      </c>
      <c r="D450" s="19">
        <v>114</v>
      </c>
      <c r="E450" s="19">
        <v>6191694107</v>
      </c>
      <c r="F450" s="19" t="s">
        <v>27</v>
      </c>
      <c r="G450" s="19">
        <v>14</v>
      </c>
      <c r="H450" s="19" t="s">
        <v>33</v>
      </c>
      <c r="I450" s="19" t="s">
        <v>22</v>
      </c>
      <c r="J450" s="19" t="s">
        <v>17</v>
      </c>
      <c r="K450" s="19" t="s">
        <v>24</v>
      </c>
      <c r="L450" s="19" t="s">
        <v>19</v>
      </c>
    </row>
    <row r="451" spans="1:12" ht="15.6">
      <c r="A451" s="19" t="s">
        <v>466</v>
      </c>
      <c r="B451" s="19">
        <v>8</v>
      </c>
      <c r="C451" s="19" t="s">
        <v>21</v>
      </c>
      <c r="D451" s="19">
        <v>67</v>
      </c>
      <c r="E451" s="19">
        <v>8618813105</v>
      </c>
      <c r="F451" s="19" t="s">
        <v>27</v>
      </c>
      <c r="G451" s="19">
        <v>14</v>
      </c>
      <c r="H451" s="19" t="s">
        <v>15</v>
      </c>
      <c r="I451" s="19" t="s">
        <v>16</v>
      </c>
      <c r="J451" s="19" t="s">
        <v>23</v>
      </c>
      <c r="K451" s="19" t="s">
        <v>28</v>
      </c>
      <c r="L451" s="19" t="s">
        <v>31</v>
      </c>
    </row>
    <row r="452" spans="1:12" ht="15.6">
      <c r="A452" s="19" t="s">
        <v>467</v>
      </c>
      <c r="B452" s="19">
        <v>6</v>
      </c>
      <c r="C452" s="19" t="s">
        <v>37</v>
      </c>
      <c r="D452" s="19">
        <v>63</v>
      </c>
      <c r="E452" s="19">
        <v>8990191626</v>
      </c>
      <c r="F452" s="19" t="s">
        <v>27</v>
      </c>
      <c r="G452" s="19">
        <v>12</v>
      </c>
      <c r="H452" s="19" t="s">
        <v>33</v>
      </c>
      <c r="I452" s="19" t="s">
        <v>16</v>
      </c>
      <c r="J452" s="19" t="s">
        <v>17</v>
      </c>
      <c r="K452" s="19" t="s">
        <v>24</v>
      </c>
      <c r="L452" s="19" t="s">
        <v>42</v>
      </c>
    </row>
    <row r="453" spans="1:12" ht="15.6">
      <c r="A453" s="19" t="s">
        <v>468</v>
      </c>
      <c r="B453" s="19">
        <v>10</v>
      </c>
      <c r="C453" s="19" t="s">
        <v>37</v>
      </c>
      <c r="D453" s="19">
        <v>181</v>
      </c>
      <c r="E453" s="19">
        <v>6231072521</v>
      </c>
      <c r="F453" s="19" t="s">
        <v>27</v>
      </c>
      <c r="G453" s="19">
        <v>16</v>
      </c>
      <c r="H453" s="19" t="s">
        <v>15</v>
      </c>
      <c r="I453" s="19" t="s">
        <v>16</v>
      </c>
      <c r="J453" s="19" t="s">
        <v>17</v>
      </c>
      <c r="K453" s="19" t="s">
        <v>18</v>
      </c>
      <c r="L453" s="19" t="s">
        <v>28</v>
      </c>
    </row>
    <row r="454" spans="1:12" ht="15.6">
      <c r="A454" s="19" t="s">
        <v>469</v>
      </c>
      <c r="B454" s="19">
        <v>6</v>
      </c>
      <c r="C454" s="19" t="s">
        <v>37</v>
      </c>
      <c r="D454" s="19">
        <v>169</v>
      </c>
      <c r="E454" s="19">
        <v>9074282226</v>
      </c>
      <c r="F454" s="19" t="s">
        <v>27</v>
      </c>
      <c r="G454" s="19">
        <v>11</v>
      </c>
      <c r="H454" s="19" t="s">
        <v>15</v>
      </c>
      <c r="I454" s="19" t="s">
        <v>22</v>
      </c>
      <c r="J454" s="19" t="s">
        <v>17</v>
      </c>
      <c r="K454" s="19" t="s">
        <v>18</v>
      </c>
      <c r="L454" s="19" t="s">
        <v>19</v>
      </c>
    </row>
    <row r="455" spans="1:12" ht="15.6">
      <c r="A455" s="19" t="s">
        <v>470</v>
      </c>
      <c r="B455" s="19">
        <v>7</v>
      </c>
      <c r="C455" s="19" t="s">
        <v>26</v>
      </c>
      <c r="D455" s="19">
        <v>109</v>
      </c>
      <c r="E455" s="19">
        <v>8273122378</v>
      </c>
      <c r="F455" s="19" t="s">
        <v>27</v>
      </c>
      <c r="G455" s="19">
        <v>12</v>
      </c>
      <c r="H455" s="19" t="s">
        <v>33</v>
      </c>
      <c r="I455" s="19" t="s">
        <v>16</v>
      </c>
      <c r="J455" s="19" t="s">
        <v>23</v>
      </c>
      <c r="K455" s="19" t="s">
        <v>28</v>
      </c>
      <c r="L455" s="19" t="s">
        <v>19</v>
      </c>
    </row>
    <row r="456" spans="1:12" ht="15.6">
      <c r="A456" s="19" t="s">
        <v>471</v>
      </c>
      <c r="B456" s="19">
        <v>9</v>
      </c>
      <c r="C456" s="19" t="s">
        <v>21</v>
      </c>
      <c r="D456" s="19">
        <v>94</v>
      </c>
      <c r="E456" s="19">
        <v>8882654496</v>
      </c>
      <c r="F456" s="19" t="s">
        <v>14</v>
      </c>
      <c r="G456" s="19">
        <v>14</v>
      </c>
      <c r="H456" s="19" t="s">
        <v>15</v>
      </c>
      <c r="I456" s="19" t="s">
        <v>16</v>
      </c>
      <c r="J456" s="19" t="s">
        <v>23</v>
      </c>
      <c r="K456" s="19" t="s">
        <v>49</v>
      </c>
      <c r="L456" s="19" t="s">
        <v>28</v>
      </c>
    </row>
    <row r="457" spans="1:12" ht="15.6">
      <c r="A457" s="19" t="s">
        <v>472</v>
      </c>
      <c r="B457" s="19">
        <v>9</v>
      </c>
      <c r="C457" s="19" t="s">
        <v>26</v>
      </c>
      <c r="D457" s="19">
        <v>83</v>
      </c>
      <c r="E457" s="19">
        <v>8994632098</v>
      </c>
      <c r="F457" s="19" t="s">
        <v>27</v>
      </c>
      <c r="G457" s="19">
        <v>14</v>
      </c>
      <c r="H457" s="19" t="s">
        <v>15</v>
      </c>
      <c r="I457" s="19" t="s">
        <v>16</v>
      </c>
      <c r="J457" s="19" t="s">
        <v>17</v>
      </c>
      <c r="K457" s="19" t="s">
        <v>28</v>
      </c>
      <c r="L457" s="19" t="s">
        <v>19</v>
      </c>
    </row>
    <row r="458" spans="1:12" ht="15.6">
      <c r="A458" s="19" t="s">
        <v>473</v>
      </c>
      <c r="B458" s="19">
        <v>10</v>
      </c>
      <c r="C458" s="19" t="s">
        <v>21</v>
      </c>
      <c r="D458" s="19">
        <v>99</v>
      </c>
      <c r="E458" s="19">
        <v>8793360858</v>
      </c>
      <c r="F458" s="19" t="s">
        <v>14</v>
      </c>
      <c r="G458" s="19">
        <v>16</v>
      </c>
      <c r="H458" s="19" t="s">
        <v>15</v>
      </c>
      <c r="I458" s="19" t="s">
        <v>22</v>
      </c>
      <c r="J458" s="19" t="s">
        <v>23</v>
      </c>
      <c r="K458" s="19" t="s">
        <v>18</v>
      </c>
      <c r="L458" s="19" t="s">
        <v>28</v>
      </c>
    </row>
    <row r="459" spans="1:12" ht="15.6">
      <c r="A459" s="19" t="s">
        <v>474</v>
      </c>
      <c r="B459" s="19">
        <v>8</v>
      </c>
      <c r="C459" s="19" t="s">
        <v>26</v>
      </c>
      <c r="D459" s="19">
        <v>22</v>
      </c>
      <c r="E459" s="19">
        <v>8732284339</v>
      </c>
      <c r="F459" s="19" t="s">
        <v>14</v>
      </c>
      <c r="G459" s="19">
        <v>14</v>
      </c>
      <c r="H459" s="19" t="s">
        <v>15</v>
      </c>
      <c r="I459" s="19" t="s">
        <v>22</v>
      </c>
      <c r="J459" s="19" t="s">
        <v>23</v>
      </c>
      <c r="K459" s="19" t="s">
        <v>24</v>
      </c>
      <c r="L459" s="19" t="s">
        <v>28</v>
      </c>
    </row>
    <row r="460" spans="1:12" ht="15.6">
      <c r="A460" s="19" t="s">
        <v>475</v>
      </c>
      <c r="B460" s="19">
        <v>6</v>
      </c>
      <c r="C460" s="19" t="s">
        <v>13</v>
      </c>
      <c r="D460" s="19">
        <v>95</v>
      </c>
      <c r="E460" s="19">
        <v>9461500004</v>
      </c>
      <c r="F460" s="19" t="s">
        <v>27</v>
      </c>
      <c r="G460" s="19">
        <v>12</v>
      </c>
      <c r="H460" s="19" t="s">
        <v>15</v>
      </c>
      <c r="I460" s="19" t="s">
        <v>22</v>
      </c>
      <c r="J460" s="19" t="s">
        <v>23</v>
      </c>
      <c r="K460" s="19" t="s">
        <v>18</v>
      </c>
      <c r="L460" s="19" t="s">
        <v>31</v>
      </c>
    </row>
    <row r="461" spans="1:12" ht="15.6">
      <c r="A461" s="19" t="s">
        <v>476</v>
      </c>
      <c r="B461" s="19">
        <v>10</v>
      </c>
      <c r="C461" s="19" t="s">
        <v>37</v>
      </c>
      <c r="D461" s="19">
        <v>165</v>
      </c>
      <c r="E461" s="19">
        <v>8870849066</v>
      </c>
      <c r="F461" s="19" t="s">
        <v>14</v>
      </c>
      <c r="G461" s="19">
        <v>16</v>
      </c>
      <c r="H461" s="19" t="s">
        <v>15</v>
      </c>
      <c r="I461" s="19" t="s">
        <v>16</v>
      </c>
      <c r="J461" s="19" t="s">
        <v>23</v>
      </c>
      <c r="K461" s="19" t="s">
        <v>24</v>
      </c>
      <c r="L461" s="19" t="s">
        <v>19</v>
      </c>
    </row>
    <row r="462" spans="1:12" ht="15.6">
      <c r="A462" s="19" t="s">
        <v>477</v>
      </c>
      <c r="B462" s="19">
        <v>9</v>
      </c>
      <c r="C462" s="19" t="s">
        <v>37</v>
      </c>
      <c r="D462" s="19">
        <v>116</v>
      </c>
      <c r="E462" s="19">
        <v>8867919071</v>
      </c>
      <c r="F462" s="19" t="s">
        <v>14</v>
      </c>
      <c r="G462" s="19">
        <v>15</v>
      </c>
      <c r="H462" s="19" t="s">
        <v>33</v>
      </c>
      <c r="I462" s="19" t="s">
        <v>22</v>
      </c>
      <c r="J462" s="19" t="s">
        <v>23</v>
      </c>
      <c r="K462" s="19" t="s">
        <v>24</v>
      </c>
      <c r="L462" s="19" t="s">
        <v>28</v>
      </c>
    </row>
    <row r="463" spans="1:12" ht="15.6">
      <c r="A463" s="19" t="s">
        <v>478</v>
      </c>
      <c r="B463" s="19">
        <v>7</v>
      </c>
      <c r="C463" s="19" t="s">
        <v>26</v>
      </c>
      <c r="D463" s="19">
        <v>4</v>
      </c>
      <c r="E463" s="19">
        <v>8705625153</v>
      </c>
      <c r="F463" s="19" t="s">
        <v>14</v>
      </c>
      <c r="G463" s="19">
        <v>12</v>
      </c>
      <c r="H463" s="19" t="s">
        <v>33</v>
      </c>
      <c r="I463" s="19" t="s">
        <v>22</v>
      </c>
      <c r="J463" s="19" t="s">
        <v>17</v>
      </c>
      <c r="K463" s="19" t="s">
        <v>28</v>
      </c>
      <c r="L463" s="19" t="s">
        <v>28</v>
      </c>
    </row>
    <row r="464" spans="1:12" ht="15.6">
      <c r="A464" s="19" t="s">
        <v>479</v>
      </c>
      <c r="B464" s="19">
        <v>8</v>
      </c>
      <c r="C464" s="19" t="s">
        <v>26</v>
      </c>
      <c r="D464" s="19">
        <v>125</v>
      </c>
      <c r="E464" s="19">
        <v>9568765698</v>
      </c>
      <c r="F464" s="19" t="s">
        <v>14</v>
      </c>
      <c r="G464" s="19">
        <v>13</v>
      </c>
      <c r="H464" s="19" t="s">
        <v>15</v>
      </c>
      <c r="I464" s="19" t="s">
        <v>16</v>
      </c>
      <c r="J464" s="19" t="s">
        <v>23</v>
      </c>
      <c r="K464" s="19" t="s">
        <v>28</v>
      </c>
      <c r="L464" s="19" t="s">
        <v>31</v>
      </c>
    </row>
    <row r="465" spans="1:12" ht="15.6">
      <c r="A465" s="19" t="s">
        <v>480</v>
      </c>
      <c r="B465" s="19">
        <v>7</v>
      </c>
      <c r="C465" s="19" t="s">
        <v>13</v>
      </c>
      <c r="D465" s="19">
        <v>92</v>
      </c>
      <c r="E465" s="19">
        <v>9574513574</v>
      </c>
      <c r="F465" s="19" t="s">
        <v>14</v>
      </c>
      <c r="G465" s="19">
        <v>13</v>
      </c>
      <c r="H465" s="19" t="s">
        <v>15</v>
      </c>
      <c r="I465" s="19" t="s">
        <v>16</v>
      </c>
      <c r="J465" s="19" t="s">
        <v>23</v>
      </c>
      <c r="K465" s="19" t="s">
        <v>30</v>
      </c>
      <c r="L465" s="19" t="s">
        <v>42</v>
      </c>
    </row>
    <row r="466" spans="1:12" ht="15.6">
      <c r="A466" s="19" t="s">
        <v>481</v>
      </c>
      <c r="B466" s="19">
        <v>10</v>
      </c>
      <c r="C466" s="19" t="s">
        <v>26</v>
      </c>
      <c r="D466" s="19">
        <v>100</v>
      </c>
      <c r="E466" s="19">
        <v>6286878430</v>
      </c>
      <c r="F466" s="19" t="s">
        <v>14</v>
      </c>
      <c r="G466" s="19">
        <v>16</v>
      </c>
      <c r="H466" s="19" t="s">
        <v>15</v>
      </c>
      <c r="I466" s="19" t="s">
        <v>16</v>
      </c>
      <c r="J466" s="19" t="s">
        <v>23</v>
      </c>
      <c r="K466" s="19" t="s">
        <v>24</v>
      </c>
      <c r="L466" s="19" t="s">
        <v>28</v>
      </c>
    </row>
    <row r="467" spans="1:12" ht="15.6">
      <c r="A467" s="19" t="s">
        <v>482</v>
      </c>
      <c r="B467" s="19">
        <v>9</v>
      </c>
      <c r="C467" s="19" t="s">
        <v>26</v>
      </c>
      <c r="D467" s="19">
        <v>133</v>
      </c>
      <c r="E467" s="19">
        <v>7266605660</v>
      </c>
      <c r="F467" s="19" t="s">
        <v>14</v>
      </c>
      <c r="G467" s="19">
        <v>15</v>
      </c>
      <c r="H467" s="19" t="s">
        <v>15</v>
      </c>
      <c r="I467" s="19" t="s">
        <v>22</v>
      </c>
      <c r="J467" s="19" t="s">
        <v>23</v>
      </c>
      <c r="K467" s="19" t="s">
        <v>28</v>
      </c>
      <c r="L467" s="19" t="s">
        <v>28</v>
      </c>
    </row>
    <row r="468" spans="1:12" ht="15.6">
      <c r="A468" s="19" t="s">
        <v>483</v>
      </c>
      <c r="B468" s="19">
        <v>8</v>
      </c>
      <c r="C468" s="19" t="s">
        <v>26</v>
      </c>
      <c r="D468" s="19">
        <v>107</v>
      </c>
      <c r="E468" s="19">
        <v>8180719297</v>
      </c>
      <c r="F468" s="19" t="s">
        <v>14</v>
      </c>
      <c r="G468" s="19">
        <v>13</v>
      </c>
      <c r="H468" s="19" t="s">
        <v>33</v>
      </c>
      <c r="I468" s="19" t="s">
        <v>16</v>
      </c>
      <c r="J468" s="19" t="s">
        <v>17</v>
      </c>
      <c r="K468" s="19" t="s">
        <v>28</v>
      </c>
      <c r="L468" s="19" t="s">
        <v>19</v>
      </c>
    </row>
    <row r="469" spans="1:12" ht="15.6">
      <c r="A469" s="19" t="s">
        <v>484</v>
      </c>
      <c r="B469" s="19">
        <v>8</v>
      </c>
      <c r="C469" s="19" t="s">
        <v>21</v>
      </c>
      <c r="D469" s="19">
        <v>56</v>
      </c>
      <c r="E469" s="19">
        <v>9632656722</v>
      </c>
      <c r="F469" s="19" t="s">
        <v>27</v>
      </c>
      <c r="G469" s="19">
        <v>14</v>
      </c>
      <c r="H469" s="19" t="s">
        <v>33</v>
      </c>
      <c r="I469" s="19" t="s">
        <v>16</v>
      </c>
      <c r="J469" s="19" t="s">
        <v>17</v>
      </c>
      <c r="K469" s="19" t="s">
        <v>28</v>
      </c>
      <c r="L469" s="19" t="s">
        <v>28</v>
      </c>
    </row>
    <row r="470" spans="1:12" ht="15.6">
      <c r="A470" s="19" t="s">
        <v>485</v>
      </c>
      <c r="B470" s="19">
        <v>6</v>
      </c>
      <c r="C470" s="19" t="s">
        <v>13</v>
      </c>
      <c r="D470" s="19">
        <v>144</v>
      </c>
      <c r="E470" s="19">
        <v>7206969113</v>
      </c>
      <c r="F470" s="19" t="s">
        <v>27</v>
      </c>
      <c r="G470" s="19">
        <v>12</v>
      </c>
      <c r="H470" s="19" t="s">
        <v>15</v>
      </c>
      <c r="I470" s="19" t="s">
        <v>16</v>
      </c>
      <c r="J470" s="19" t="s">
        <v>17</v>
      </c>
      <c r="K470" s="19" t="s">
        <v>49</v>
      </c>
      <c r="L470" s="19" t="s">
        <v>28</v>
      </c>
    </row>
    <row r="471" spans="1:12" ht="15.6">
      <c r="A471" s="19" t="s">
        <v>486</v>
      </c>
      <c r="B471" s="19">
        <v>9</v>
      </c>
      <c r="C471" s="19" t="s">
        <v>26</v>
      </c>
      <c r="D471" s="19">
        <v>120</v>
      </c>
      <c r="E471" s="19">
        <v>7715755370</v>
      </c>
      <c r="F471" s="19" t="s">
        <v>27</v>
      </c>
      <c r="G471" s="19">
        <v>14</v>
      </c>
      <c r="H471" s="19" t="s">
        <v>33</v>
      </c>
      <c r="I471" s="19" t="s">
        <v>22</v>
      </c>
      <c r="J471" s="19" t="s">
        <v>23</v>
      </c>
      <c r="K471" s="19" t="s">
        <v>30</v>
      </c>
      <c r="L471" s="19" t="s">
        <v>19</v>
      </c>
    </row>
    <row r="472" spans="1:12" ht="15.6">
      <c r="A472" s="19" t="s">
        <v>487</v>
      </c>
      <c r="B472" s="19">
        <v>10</v>
      </c>
      <c r="C472" s="19" t="s">
        <v>37</v>
      </c>
      <c r="D472" s="19">
        <v>39</v>
      </c>
      <c r="E472" s="19">
        <v>8680659774</v>
      </c>
      <c r="F472" s="19" t="s">
        <v>14</v>
      </c>
      <c r="G472" s="19">
        <v>16</v>
      </c>
      <c r="H472" s="19" t="s">
        <v>33</v>
      </c>
      <c r="I472" s="19" t="s">
        <v>22</v>
      </c>
      <c r="J472" s="19" t="s">
        <v>23</v>
      </c>
      <c r="K472" s="19" t="s">
        <v>24</v>
      </c>
      <c r="L472" s="19" t="s">
        <v>19</v>
      </c>
    </row>
    <row r="473" spans="1:12" ht="15.6">
      <c r="A473" s="19" t="s">
        <v>488</v>
      </c>
      <c r="B473" s="19">
        <v>8</v>
      </c>
      <c r="C473" s="19" t="s">
        <v>37</v>
      </c>
      <c r="D473" s="19">
        <v>147</v>
      </c>
      <c r="E473" s="19">
        <v>6834456807</v>
      </c>
      <c r="F473" s="19" t="s">
        <v>27</v>
      </c>
      <c r="G473" s="19">
        <v>13</v>
      </c>
      <c r="H473" s="19" t="s">
        <v>15</v>
      </c>
      <c r="I473" s="19" t="s">
        <v>16</v>
      </c>
      <c r="J473" s="19" t="s">
        <v>17</v>
      </c>
      <c r="K473" s="19" t="s">
        <v>28</v>
      </c>
      <c r="L473" s="19" t="s">
        <v>19</v>
      </c>
    </row>
    <row r="474" spans="1:12" ht="15.6">
      <c r="A474" s="19" t="s">
        <v>489</v>
      </c>
      <c r="B474" s="19">
        <v>6</v>
      </c>
      <c r="C474" s="19" t="s">
        <v>13</v>
      </c>
      <c r="D474" s="19">
        <v>89</v>
      </c>
      <c r="E474" s="19">
        <v>9923687332</v>
      </c>
      <c r="F474" s="19" t="s">
        <v>27</v>
      </c>
      <c r="G474" s="19">
        <v>12</v>
      </c>
      <c r="H474" s="19" t="s">
        <v>15</v>
      </c>
      <c r="I474" s="19" t="s">
        <v>22</v>
      </c>
      <c r="J474" s="19" t="s">
        <v>17</v>
      </c>
      <c r="K474" s="19" t="s">
        <v>24</v>
      </c>
      <c r="L474" s="19" t="s">
        <v>28</v>
      </c>
    </row>
    <row r="475" spans="1:12" ht="15.6">
      <c r="A475" s="19" t="s">
        <v>490</v>
      </c>
      <c r="B475" s="19">
        <v>8</v>
      </c>
      <c r="C475" s="19" t="s">
        <v>37</v>
      </c>
      <c r="D475" s="19">
        <v>142</v>
      </c>
      <c r="E475" s="19">
        <v>8054313185</v>
      </c>
      <c r="F475" s="19" t="s">
        <v>14</v>
      </c>
      <c r="G475" s="19">
        <v>13</v>
      </c>
      <c r="H475" s="19" t="s">
        <v>33</v>
      </c>
      <c r="I475" s="19" t="s">
        <v>16</v>
      </c>
      <c r="J475" s="19" t="s">
        <v>23</v>
      </c>
      <c r="K475" s="19" t="s">
        <v>28</v>
      </c>
      <c r="L475" s="19" t="s">
        <v>28</v>
      </c>
    </row>
    <row r="476" spans="1:12" ht="15.6">
      <c r="A476" s="19" t="s">
        <v>491</v>
      </c>
      <c r="B476" s="19">
        <v>6</v>
      </c>
      <c r="C476" s="19" t="s">
        <v>21</v>
      </c>
      <c r="D476" s="19">
        <v>83</v>
      </c>
      <c r="E476" s="19">
        <v>6025005847</v>
      </c>
      <c r="F476" s="19" t="s">
        <v>27</v>
      </c>
      <c r="G476" s="19">
        <v>12</v>
      </c>
      <c r="H476" s="19" t="s">
        <v>15</v>
      </c>
      <c r="I476" s="19" t="s">
        <v>22</v>
      </c>
      <c r="J476" s="19" t="s">
        <v>17</v>
      </c>
      <c r="K476" s="19" t="s">
        <v>30</v>
      </c>
      <c r="L476" s="19" t="s">
        <v>28</v>
      </c>
    </row>
    <row r="477" spans="1:12" ht="15.6">
      <c r="A477" s="19" t="s">
        <v>492</v>
      </c>
      <c r="B477" s="19">
        <v>9</v>
      </c>
      <c r="C477" s="19" t="s">
        <v>13</v>
      </c>
      <c r="D477" s="19">
        <v>176</v>
      </c>
      <c r="E477" s="19">
        <v>6646225779</v>
      </c>
      <c r="F477" s="19" t="s">
        <v>14</v>
      </c>
      <c r="G477" s="19">
        <v>15</v>
      </c>
      <c r="H477" s="19" t="s">
        <v>15</v>
      </c>
      <c r="I477" s="19" t="s">
        <v>22</v>
      </c>
      <c r="J477" s="19" t="s">
        <v>17</v>
      </c>
      <c r="K477" s="19" t="s">
        <v>28</v>
      </c>
      <c r="L477" s="19" t="s">
        <v>31</v>
      </c>
    </row>
    <row r="478" spans="1:12" ht="15.6">
      <c r="A478" s="19" t="s">
        <v>493</v>
      </c>
      <c r="B478" s="19">
        <v>6</v>
      </c>
      <c r="C478" s="19" t="s">
        <v>21</v>
      </c>
      <c r="D478" s="19">
        <v>80</v>
      </c>
      <c r="E478" s="19">
        <v>7945885617</v>
      </c>
      <c r="F478" s="19" t="s">
        <v>27</v>
      </c>
      <c r="G478" s="19">
        <v>12</v>
      </c>
      <c r="H478" s="19" t="s">
        <v>33</v>
      </c>
      <c r="I478" s="19" t="s">
        <v>22</v>
      </c>
      <c r="J478" s="19" t="s">
        <v>17</v>
      </c>
      <c r="K478" s="19" t="s">
        <v>30</v>
      </c>
      <c r="L478" s="19" t="s">
        <v>31</v>
      </c>
    </row>
    <row r="479" spans="1:12" ht="15.6">
      <c r="A479" s="19" t="s">
        <v>494</v>
      </c>
      <c r="B479" s="19">
        <v>6</v>
      </c>
      <c r="C479" s="19" t="s">
        <v>13</v>
      </c>
      <c r="D479" s="19">
        <v>58</v>
      </c>
      <c r="E479" s="19">
        <v>9237602861</v>
      </c>
      <c r="F479" s="19" t="s">
        <v>14</v>
      </c>
      <c r="G479" s="19">
        <v>11</v>
      </c>
      <c r="H479" s="19" t="s">
        <v>15</v>
      </c>
      <c r="I479" s="19" t="s">
        <v>16</v>
      </c>
      <c r="J479" s="19" t="s">
        <v>17</v>
      </c>
      <c r="K479" s="19" t="s">
        <v>18</v>
      </c>
      <c r="L479" s="19" t="s">
        <v>31</v>
      </c>
    </row>
    <row r="480" spans="1:12" ht="15.6">
      <c r="A480" s="19" t="s">
        <v>495</v>
      </c>
      <c r="B480" s="19">
        <v>10</v>
      </c>
      <c r="C480" s="19" t="s">
        <v>21</v>
      </c>
      <c r="D480" s="19">
        <v>196</v>
      </c>
      <c r="E480" s="19">
        <v>9837967844</v>
      </c>
      <c r="F480" s="19" t="s">
        <v>27</v>
      </c>
      <c r="G480" s="19">
        <v>16</v>
      </c>
      <c r="H480" s="19" t="s">
        <v>33</v>
      </c>
      <c r="I480" s="19" t="s">
        <v>22</v>
      </c>
      <c r="J480" s="19" t="s">
        <v>23</v>
      </c>
      <c r="K480" s="19" t="s">
        <v>28</v>
      </c>
      <c r="L480" s="19" t="s">
        <v>28</v>
      </c>
    </row>
    <row r="481" spans="1:12" ht="15.6">
      <c r="A481" s="19" t="s">
        <v>496</v>
      </c>
      <c r="B481" s="19">
        <v>7</v>
      </c>
      <c r="C481" s="19" t="s">
        <v>37</v>
      </c>
      <c r="D481" s="19">
        <v>37</v>
      </c>
      <c r="E481" s="19">
        <v>9359885248</v>
      </c>
      <c r="F481" s="19" t="s">
        <v>27</v>
      </c>
      <c r="G481" s="19">
        <v>13</v>
      </c>
      <c r="H481" s="19" t="s">
        <v>33</v>
      </c>
      <c r="I481" s="19" t="s">
        <v>22</v>
      </c>
      <c r="J481" s="19" t="s">
        <v>17</v>
      </c>
      <c r="K481" s="19" t="s">
        <v>28</v>
      </c>
      <c r="L481" s="19" t="s">
        <v>28</v>
      </c>
    </row>
    <row r="482" spans="1:12" ht="15.6">
      <c r="A482" s="19" t="s">
        <v>497</v>
      </c>
      <c r="B482" s="19">
        <v>6</v>
      </c>
      <c r="C482" s="19" t="s">
        <v>26</v>
      </c>
      <c r="D482" s="19">
        <v>161</v>
      </c>
      <c r="E482" s="19">
        <v>7687434889</v>
      </c>
      <c r="F482" s="19" t="s">
        <v>27</v>
      </c>
      <c r="G482" s="19">
        <v>11</v>
      </c>
      <c r="H482" s="19" t="s">
        <v>15</v>
      </c>
      <c r="I482" s="19" t="s">
        <v>22</v>
      </c>
      <c r="J482" s="19" t="s">
        <v>23</v>
      </c>
      <c r="K482" s="19" t="s">
        <v>49</v>
      </c>
      <c r="L482" s="19" t="s">
        <v>19</v>
      </c>
    </row>
    <row r="483" spans="1:12" ht="15.6">
      <c r="A483" s="19" t="s">
        <v>498</v>
      </c>
      <c r="B483" s="19">
        <v>7</v>
      </c>
      <c r="C483" s="19" t="s">
        <v>37</v>
      </c>
      <c r="D483" s="19">
        <v>36</v>
      </c>
      <c r="E483" s="19">
        <v>8667005709</v>
      </c>
      <c r="F483" s="19" t="s">
        <v>14</v>
      </c>
      <c r="G483" s="19">
        <v>13</v>
      </c>
      <c r="H483" s="19" t="s">
        <v>15</v>
      </c>
      <c r="I483" s="19" t="s">
        <v>22</v>
      </c>
      <c r="J483" s="19" t="s">
        <v>17</v>
      </c>
      <c r="K483" s="19" t="s">
        <v>30</v>
      </c>
      <c r="L483" s="19" t="s">
        <v>31</v>
      </c>
    </row>
    <row r="484" spans="1:12" ht="15.6">
      <c r="A484" s="19" t="s">
        <v>499</v>
      </c>
      <c r="B484" s="19">
        <v>7</v>
      </c>
      <c r="C484" s="19" t="s">
        <v>37</v>
      </c>
      <c r="D484" s="19">
        <v>73</v>
      </c>
      <c r="E484" s="19">
        <v>9169953734</v>
      </c>
      <c r="F484" s="19" t="s">
        <v>27</v>
      </c>
      <c r="G484" s="19">
        <v>12</v>
      </c>
      <c r="H484" s="19" t="s">
        <v>15</v>
      </c>
      <c r="I484" s="19" t="s">
        <v>16</v>
      </c>
      <c r="J484" s="19" t="s">
        <v>23</v>
      </c>
      <c r="K484" s="19" t="s">
        <v>28</v>
      </c>
      <c r="L484" s="19" t="s">
        <v>31</v>
      </c>
    </row>
    <row r="485" spans="1:12" ht="15.6">
      <c r="A485" s="19" t="s">
        <v>500</v>
      </c>
      <c r="B485" s="19">
        <v>6</v>
      </c>
      <c r="C485" s="19" t="s">
        <v>37</v>
      </c>
      <c r="D485" s="19">
        <v>136</v>
      </c>
      <c r="E485" s="19">
        <v>7497143777</v>
      </c>
      <c r="F485" s="19" t="s">
        <v>27</v>
      </c>
      <c r="G485" s="19">
        <v>12</v>
      </c>
      <c r="H485" s="19" t="s">
        <v>15</v>
      </c>
      <c r="I485" s="19" t="s">
        <v>22</v>
      </c>
      <c r="J485" s="19" t="s">
        <v>17</v>
      </c>
      <c r="K485" s="19" t="s">
        <v>18</v>
      </c>
      <c r="L485" s="19" t="s">
        <v>31</v>
      </c>
    </row>
    <row r="486" spans="1:12" ht="15.6">
      <c r="A486" s="19" t="s">
        <v>501</v>
      </c>
      <c r="B486" s="19">
        <v>8</v>
      </c>
      <c r="C486" s="19" t="s">
        <v>21</v>
      </c>
      <c r="D486" s="19">
        <v>184</v>
      </c>
      <c r="E486" s="19">
        <v>6354259724</v>
      </c>
      <c r="F486" s="19" t="s">
        <v>27</v>
      </c>
      <c r="G486" s="19">
        <v>13</v>
      </c>
      <c r="H486" s="19" t="s">
        <v>33</v>
      </c>
      <c r="I486" s="19" t="s">
        <v>16</v>
      </c>
      <c r="J486" s="19" t="s">
        <v>17</v>
      </c>
      <c r="K486" s="19" t="s">
        <v>18</v>
      </c>
      <c r="L486" s="19" t="s">
        <v>19</v>
      </c>
    </row>
    <row r="487" spans="1:12" ht="15.6">
      <c r="A487" s="19" t="s">
        <v>502</v>
      </c>
      <c r="B487" s="19">
        <v>9</v>
      </c>
      <c r="C487" s="19" t="s">
        <v>37</v>
      </c>
      <c r="D487" s="19">
        <v>52</v>
      </c>
      <c r="E487" s="19">
        <v>9400598974</v>
      </c>
      <c r="F487" s="19" t="s">
        <v>27</v>
      </c>
      <c r="G487" s="19">
        <v>15</v>
      </c>
      <c r="H487" s="19" t="s">
        <v>33</v>
      </c>
      <c r="I487" s="19" t="s">
        <v>16</v>
      </c>
      <c r="J487" s="19" t="s">
        <v>23</v>
      </c>
      <c r="K487" s="19" t="s">
        <v>49</v>
      </c>
      <c r="L487" s="19" t="s">
        <v>28</v>
      </c>
    </row>
    <row r="488" spans="1:12" ht="15.6">
      <c r="A488" s="19" t="s">
        <v>503</v>
      </c>
      <c r="B488" s="19">
        <v>7</v>
      </c>
      <c r="C488" s="19" t="s">
        <v>21</v>
      </c>
      <c r="D488" s="19">
        <v>66</v>
      </c>
      <c r="E488" s="19">
        <v>7490558590</v>
      </c>
      <c r="F488" s="19" t="s">
        <v>14</v>
      </c>
      <c r="G488" s="19">
        <v>12</v>
      </c>
      <c r="H488" s="19" t="s">
        <v>15</v>
      </c>
      <c r="I488" s="19" t="s">
        <v>22</v>
      </c>
      <c r="J488" s="19" t="s">
        <v>23</v>
      </c>
      <c r="K488" s="19" t="s">
        <v>49</v>
      </c>
      <c r="L488" s="19" t="s">
        <v>31</v>
      </c>
    </row>
    <row r="489" spans="1:12" ht="15.6">
      <c r="A489" s="19" t="s">
        <v>504</v>
      </c>
      <c r="B489" s="19">
        <v>6</v>
      </c>
      <c r="C489" s="19" t="s">
        <v>26</v>
      </c>
      <c r="D489" s="19">
        <v>133</v>
      </c>
      <c r="E489" s="19">
        <v>9275628572</v>
      </c>
      <c r="F489" s="19" t="s">
        <v>14</v>
      </c>
      <c r="G489" s="19">
        <v>12</v>
      </c>
      <c r="H489" s="19" t="s">
        <v>33</v>
      </c>
      <c r="I489" s="19" t="s">
        <v>16</v>
      </c>
      <c r="J489" s="19" t="s">
        <v>23</v>
      </c>
      <c r="K489" s="19" t="s">
        <v>28</v>
      </c>
      <c r="L489" s="19" t="s">
        <v>28</v>
      </c>
    </row>
    <row r="490" spans="1:12" ht="15.6">
      <c r="A490" s="19" t="s">
        <v>133</v>
      </c>
      <c r="B490" s="19">
        <v>10</v>
      </c>
      <c r="C490" s="19" t="s">
        <v>26</v>
      </c>
      <c r="D490" s="19">
        <v>127</v>
      </c>
      <c r="E490" s="19">
        <v>8764869000</v>
      </c>
      <c r="F490" s="19" t="s">
        <v>27</v>
      </c>
      <c r="G490" s="19">
        <v>16</v>
      </c>
      <c r="H490" s="19" t="s">
        <v>33</v>
      </c>
      <c r="I490" s="19" t="s">
        <v>22</v>
      </c>
      <c r="J490" s="19" t="s">
        <v>23</v>
      </c>
      <c r="K490" s="19" t="s">
        <v>24</v>
      </c>
      <c r="L490" s="19" t="s">
        <v>28</v>
      </c>
    </row>
    <row r="491" spans="1:12" ht="15.6">
      <c r="A491" s="19" t="s">
        <v>505</v>
      </c>
      <c r="B491" s="19">
        <v>7</v>
      </c>
      <c r="C491" s="19" t="s">
        <v>26</v>
      </c>
      <c r="D491" s="19">
        <v>76</v>
      </c>
      <c r="E491" s="19">
        <v>8157924803</v>
      </c>
      <c r="F491" s="19" t="s">
        <v>14</v>
      </c>
      <c r="G491" s="19">
        <v>13</v>
      </c>
      <c r="H491" s="19" t="s">
        <v>33</v>
      </c>
      <c r="I491" s="19" t="s">
        <v>16</v>
      </c>
      <c r="J491" s="19" t="s">
        <v>17</v>
      </c>
      <c r="K491" s="19" t="s">
        <v>28</v>
      </c>
      <c r="L491" s="19" t="s">
        <v>28</v>
      </c>
    </row>
    <row r="492" spans="1:12" ht="15.6">
      <c r="A492" s="19" t="s">
        <v>506</v>
      </c>
      <c r="B492" s="19">
        <v>9</v>
      </c>
      <c r="C492" s="19" t="s">
        <v>37</v>
      </c>
      <c r="D492" s="19">
        <v>174</v>
      </c>
      <c r="E492" s="19">
        <v>9650570425</v>
      </c>
      <c r="F492" s="19" t="s">
        <v>14</v>
      </c>
      <c r="G492" s="19">
        <v>14</v>
      </c>
      <c r="H492" s="19" t="s">
        <v>33</v>
      </c>
      <c r="I492" s="19" t="s">
        <v>16</v>
      </c>
      <c r="J492" s="19" t="s">
        <v>17</v>
      </c>
      <c r="K492" s="19" t="s">
        <v>24</v>
      </c>
      <c r="L492" s="19" t="s">
        <v>28</v>
      </c>
    </row>
    <row r="493" spans="1:12" ht="15.6">
      <c r="A493" s="19" t="s">
        <v>507</v>
      </c>
      <c r="B493" s="19">
        <v>6</v>
      </c>
      <c r="C493" s="19" t="s">
        <v>37</v>
      </c>
      <c r="D493" s="19">
        <v>85</v>
      </c>
      <c r="E493" s="19">
        <v>8337992745</v>
      </c>
      <c r="F493" s="19" t="s">
        <v>27</v>
      </c>
      <c r="G493" s="19">
        <v>12</v>
      </c>
      <c r="H493" s="19" t="s">
        <v>33</v>
      </c>
      <c r="I493" s="19" t="s">
        <v>16</v>
      </c>
      <c r="J493" s="19" t="s">
        <v>23</v>
      </c>
      <c r="K493" s="19" t="s">
        <v>28</v>
      </c>
      <c r="L493" s="19" t="s">
        <v>19</v>
      </c>
    </row>
    <row r="494" spans="1:12" ht="15.6">
      <c r="A494" s="19" t="s">
        <v>508</v>
      </c>
      <c r="B494" s="19">
        <v>8</v>
      </c>
      <c r="C494" s="19" t="s">
        <v>21</v>
      </c>
      <c r="D494" s="19">
        <v>195</v>
      </c>
      <c r="E494" s="19">
        <v>9358739355</v>
      </c>
      <c r="F494" s="19" t="s">
        <v>27</v>
      </c>
      <c r="G494" s="19">
        <v>13</v>
      </c>
      <c r="H494" s="19" t="s">
        <v>33</v>
      </c>
      <c r="I494" s="19" t="s">
        <v>16</v>
      </c>
      <c r="J494" s="19" t="s">
        <v>17</v>
      </c>
      <c r="K494" s="19" t="s">
        <v>30</v>
      </c>
      <c r="L494" s="19" t="s">
        <v>19</v>
      </c>
    </row>
    <row r="495" spans="1:12" ht="15.6">
      <c r="A495" s="19" t="s">
        <v>509</v>
      </c>
      <c r="B495" s="19">
        <v>9</v>
      </c>
      <c r="C495" s="19" t="s">
        <v>21</v>
      </c>
      <c r="D495" s="19">
        <v>175</v>
      </c>
      <c r="E495" s="19">
        <v>8899054492</v>
      </c>
      <c r="F495" s="19" t="s">
        <v>14</v>
      </c>
      <c r="G495" s="19">
        <v>14</v>
      </c>
      <c r="H495" s="19" t="s">
        <v>15</v>
      </c>
      <c r="I495" s="19" t="s">
        <v>22</v>
      </c>
      <c r="J495" s="19" t="s">
        <v>23</v>
      </c>
      <c r="K495" s="19" t="s">
        <v>28</v>
      </c>
      <c r="L495" s="19" t="s">
        <v>19</v>
      </c>
    </row>
    <row r="496" spans="1:12" ht="15.6">
      <c r="A496" s="19" t="s">
        <v>510</v>
      </c>
      <c r="B496" s="19">
        <v>6</v>
      </c>
      <c r="C496" s="19" t="s">
        <v>26</v>
      </c>
      <c r="D496" s="19">
        <v>147</v>
      </c>
      <c r="E496" s="19">
        <v>9608183320</v>
      </c>
      <c r="F496" s="19" t="s">
        <v>27</v>
      </c>
      <c r="G496" s="19">
        <v>12</v>
      </c>
      <c r="H496" s="19" t="s">
        <v>33</v>
      </c>
      <c r="I496" s="19" t="s">
        <v>16</v>
      </c>
      <c r="J496" s="19" t="s">
        <v>23</v>
      </c>
      <c r="K496" s="19" t="s">
        <v>18</v>
      </c>
      <c r="L496" s="19" t="s">
        <v>19</v>
      </c>
    </row>
    <row r="497" spans="1:12" ht="15.6">
      <c r="A497" s="19" t="s">
        <v>511</v>
      </c>
      <c r="B497" s="19">
        <v>6</v>
      </c>
      <c r="C497" s="19" t="s">
        <v>21</v>
      </c>
      <c r="D497" s="19">
        <v>134</v>
      </c>
      <c r="E497" s="19">
        <v>7602605975</v>
      </c>
      <c r="F497" s="19" t="s">
        <v>14</v>
      </c>
      <c r="G497" s="19">
        <v>12</v>
      </c>
      <c r="H497" s="19" t="s">
        <v>33</v>
      </c>
      <c r="I497" s="19" t="s">
        <v>22</v>
      </c>
      <c r="J497" s="19" t="s">
        <v>23</v>
      </c>
      <c r="K497" s="19" t="s">
        <v>18</v>
      </c>
      <c r="L497" s="19" t="s">
        <v>19</v>
      </c>
    </row>
    <row r="498" spans="1:12" ht="15.6">
      <c r="A498" s="19" t="s">
        <v>512</v>
      </c>
      <c r="B498" s="19">
        <v>6</v>
      </c>
      <c r="C498" s="19" t="s">
        <v>21</v>
      </c>
      <c r="D498" s="19">
        <v>182</v>
      </c>
      <c r="E498" s="19">
        <v>8667886780</v>
      </c>
      <c r="F498" s="19" t="s">
        <v>27</v>
      </c>
      <c r="G498" s="19">
        <v>11</v>
      </c>
      <c r="H498" s="19" t="s">
        <v>33</v>
      </c>
      <c r="I498" s="19" t="s">
        <v>16</v>
      </c>
      <c r="J498" s="19" t="s">
        <v>23</v>
      </c>
      <c r="K498" s="19" t="s">
        <v>24</v>
      </c>
      <c r="L498" s="19" t="s">
        <v>42</v>
      </c>
    </row>
    <row r="499" spans="1:12" ht="15.6">
      <c r="A499" s="19" t="s">
        <v>513</v>
      </c>
      <c r="B499" s="19">
        <v>9</v>
      </c>
      <c r="C499" s="19" t="s">
        <v>21</v>
      </c>
      <c r="D499" s="19">
        <v>16</v>
      </c>
      <c r="E499" s="19">
        <v>8821198084</v>
      </c>
      <c r="F499" s="19" t="s">
        <v>27</v>
      </c>
      <c r="G499" s="19">
        <v>15</v>
      </c>
      <c r="H499" s="19" t="s">
        <v>15</v>
      </c>
      <c r="I499" s="19" t="s">
        <v>16</v>
      </c>
      <c r="J499" s="19" t="s">
        <v>17</v>
      </c>
      <c r="K499" s="19" t="s">
        <v>28</v>
      </c>
      <c r="L499" s="19" t="s">
        <v>42</v>
      </c>
    </row>
    <row r="500" spans="1:12" ht="15.6">
      <c r="A500" s="19" t="s">
        <v>514</v>
      </c>
      <c r="B500" s="19">
        <v>7</v>
      </c>
      <c r="C500" s="19" t="s">
        <v>21</v>
      </c>
      <c r="D500" s="19">
        <v>81</v>
      </c>
      <c r="E500" s="19">
        <v>8831923207</v>
      </c>
      <c r="F500" s="19" t="s">
        <v>27</v>
      </c>
      <c r="G500" s="19">
        <v>12</v>
      </c>
      <c r="H500" s="19" t="s">
        <v>15</v>
      </c>
      <c r="I500" s="19" t="s">
        <v>22</v>
      </c>
      <c r="J500" s="19" t="s">
        <v>23</v>
      </c>
      <c r="K500" s="19" t="s">
        <v>28</v>
      </c>
      <c r="L500" s="19" t="s">
        <v>19</v>
      </c>
    </row>
    <row r="501" spans="1:12" ht="15.6">
      <c r="A501" s="19" t="s">
        <v>515</v>
      </c>
      <c r="B501" s="19">
        <v>7</v>
      </c>
      <c r="C501" s="19" t="s">
        <v>37</v>
      </c>
      <c r="D501" s="19">
        <v>100</v>
      </c>
      <c r="E501" s="19">
        <v>8430956683</v>
      </c>
      <c r="F501" s="19" t="s">
        <v>14</v>
      </c>
      <c r="G501" s="19">
        <v>12</v>
      </c>
      <c r="H501" s="19" t="s">
        <v>33</v>
      </c>
      <c r="I501" s="19" t="s">
        <v>16</v>
      </c>
      <c r="J501" s="19" t="s">
        <v>23</v>
      </c>
      <c r="K501" s="19" t="s">
        <v>18</v>
      </c>
      <c r="L501" s="19" t="s">
        <v>28</v>
      </c>
    </row>
    <row r="502" spans="1:12" ht="15.6">
      <c r="A502" s="19" t="s">
        <v>516</v>
      </c>
      <c r="B502" s="19">
        <v>9</v>
      </c>
      <c r="C502" s="19" t="s">
        <v>26</v>
      </c>
      <c r="D502" s="19">
        <v>9</v>
      </c>
      <c r="E502" s="19">
        <v>6558664606</v>
      </c>
      <c r="F502" s="19" t="s">
        <v>14</v>
      </c>
      <c r="G502" s="19">
        <v>15</v>
      </c>
      <c r="H502" s="19" t="s">
        <v>33</v>
      </c>
      <c r="I502" s="19" t="s">
        <v>16</v>
      </c>
      <c r="J502" s="19" t="s">
        <v>23</v>
      </c>
      <c r="K502" s="19" t="s">
        <v>28</v>
      </c>
      <c r="L502" s="19" t="s">
        <v>28</v>
      </c>
    </row>
    <row r="503" spans="1:12" ht="15.6">
      <c r="A503" s="19" t="s">
        <v>517</v>
      </c>
      <c r="B503" s="19">
        <v>8</v>
      </c>
      <c r="C503" s="19" t="s">
        <v>26</v>
      </c>
      <c r="D503" s="19">
        <v>98</v>
      </c>
      <c r="E503" s="19">
        <v>8341197492</v>
      </c>
      <c r="F503" s="19" t="s">
        <v>14</v>
      </c>
      <c r="G503" s="19">
        <v>13</v>
      </c>
      <c r="H503" s="19" t="s">
        <v>33</v>
      </c>
      <c r="I503" s="19" t="s">
        <v>22</v>
      </c>
      <c r="J503" s="19" t="s">
        <v>17</v>
      </c>
      <c r="K503" s="19" t="s">
        <v>30</v>
      </c>
      <c r="L503" s="19" t="s">
        <v>28</v>
      </c>
    </row>
    <row r="504" spans="1:12" ht="15.6">
      <c r="A504" s="19" t="s">
        <v>518</v>
      </c>
      <c r="B504" s="19">
        <v>9</v>
      </c>
      <c r="C504" s="19" t="s">
        <v>26</v>
      </c>
      <c r="D504" s="19">
        <v>190</v>
      </c>
      <c r="E504" s="19">
        <v>8955015626</v>
      </c>
      <c r="F504" s="19" t="s">
        <v>14</v>
      </c>
      <c r="G504" s="19">
        <v>15</v>
      </c>
      <c r="H504" s="19" t="s">
        <v>15</v>
      </c>
      <c r="I504" s="19" t="s">
        <v>16</v>
      </c>
      <c r="J504" s="19" t="s">
        <v>23</v>
      </c>
      <c r="K504" s="19" t="s">
        <v>24</v>
      </c>
      <c r="L504" s="19" t="s">
        <v>28</v>
      </c>
    </row>
    <row r="505" spans="1:12" ht="15.6">
      <c r="A505" s="19" t="s">
        <v>519</v>
      </c>
      <c r="B505" s="19">
        <v>10</v>
      </c>
      <c r="C505" s="19" t="s">
        <v>21</v>
      </c>
      <c r="D505" s="19">
        <v>151</v>
      </c>
      <c r="E505" s="19">
        <v>8436547350</v>
      </c>
      <c r="F505" s="19" t="s">
        <v>14</v>
      </c>
      <c r="G505" s="19">
        <v>15</v>
      </c>
      <c r="H505" s="19" t="s">
        <v>15</v>
      </c>
      <c r="I505" s="19" t="s">
        <v>22</v>
      </c>
      <c r="J505" s="19" t="s">
        <v>23</v>
      </c>
      <c r="K505" s="19" t="s">
        <v>30</v>
      </c>
      <c r="L505" s="19" t="s">
        <v>31</v>
      </c>
    </row>
    <row r="506" spans="1:12" ht="15.6">
      <c r="A506" s="19" t="s">
        <v>520</v>
      </c>
      <c r="B506" s="19">
        <v>10</v>
      </c>
      <c r="C506" s="19" t="s">
        <v>21</v>
      </c>
      <c r="D506" s="19">
        <v>26</v>
      </c>
      <c r="E506" s="19">
        <v>9249073788</v>
      </c>
      <c r="F506" s="19" t="s">
        <v>14</v>
      </c>
      <c r="G506" s="19">
        <v>15</v>
      </c>
      <c r="H506" s="19" t="s">
        <v>33</v>
      </c>
      <c r="I506" s="19" t="s">
        <v>22</v>
      </c>
      <c r="J506" s="19" t="s">
        <v>23</v>
      </c>
      <c r="K506" s="19" t="s">
        <v>18</v>
      </c>
      <c r="L506" s="19" t="s">
        <v>28</v>
      </c>
    </row>
    <row r="507" spans="1:12" ht="15.6">
      <c r="A507" s="19" t="s">
        <v>521</v>
      </c>
      <c r="B507" s="19">
        <v>6</v>
      </c>
      <c r="C507" s="19" t="s">
        <v>26</v>
      </c>
      <c r="D507" s="19">
        <v>112</v>
      </c>
      <c r="E507" s="19">
        <v>8153286475</v>
      </c>
      <c r="F507" s="19" t="s">
        <v>14</v>
      </c>
      <c r="G507" s="19">
        <v>11</v>
      </c>
      <c r="H507" s="19" t="s">
        <v>33</v>
      </c>
      <c r="I507" s="19" t="s">
        <v>16</v>
      </c>
      <c r="J507" s="19" t="s">
        <v>23</v>
      </c>
      <c r="K507" s="19" t="s">
        <v>18</v>
      </c>
      <c r="L507" s="19" t="s">
        <v>19</v>
      </c>
    </row>
    <row r="508" spans="1:12" ht="15.6">
      <c r="A508" s="19" t="s">
        <v>522</v>
      </c>
      <c r="B508" s="19">
        <v>7</v>
      </c>
      <c r="C508" s="19" t="s">
        <v>26</v>
      </c>
      <c r="D508" s="19">
        <v>3</v>
      </c>
      <c r="E508" s="19">
        <v>6706634200</v>
      </c>
      <c r="F508" s="19" t="s">
        <v>27</v>
      </c>
      <c r="G508" s="19">
        <v>12</v>
      </c>
      <c r="H508" s="19" t="s">
        <v>15</v>
      </c>
      <c r="I508" s="19" t="s">
        <v>22</v>
      </c>
      <c r="J508" s="19" t="s">
        <v>23</v>
      </c>
      <c r="K508" s="19" t="s">
        <v>49</v>
      </c>
      <c r="L508" s="19" t="s">
        <v>28</v>
      </c>
    </row>
    <row r="509" spans="1:12" ht="15.6">
      <c r="A509" s="19" t="s">
        <v>523</v>
      </c>
      <c r="B509" s="19">
        <v>8</v>
      </c>
      <c r="C509" s="19" t="s">
        <v>37</v>
      </c>
      <c r="D509" s="19">
        <v>152</v>
      </c>
      <c r="E509" s="19">
        <v>9358624115</v>
      </c>
      <c r="F509" s="19" t="s">
        <v>27</v>
      </c>
      <c r="G509" s="19">
        <v>13</v>
      </c>
      <c r="H509" s="19" t="s">
        <v>33</v>
      </c>
      <c r="I509" s="19" t="s">
        <v>22</v>
      </c>
      <c r="J509" s="19" t="s">
        <v>17</v>
      </c>
      <c r="K509" s="19" t="s">
        <v>28</v>
      </c>
      <c r="L509" s="19" t="s">
        <v>28</v>
      </c>
    </row>
    <row r="510" spans="1:12" ht="15.6">
      <c r="A510" s="19" t="s">
        <v>524</v>
      </c>
      <c r="B510" s="19">
        <v>8</v>
      </c>
      <c r="C510" s="19" t="s">
        <v>37</v>
      </c>
      <c r="D510" s="19">
        <v>191</v>
      </c>
      <c r="E510" s="19">
        <v>7230488095</v>
      </c>
      <c r="F510" s="19" t="s">
        <v>27</v>
      </c>
      <c r="G510" s="19">
        <v>14</v>
      </c>
      <c r="H510" s="19" t="s">
        <v>15</v>
      </c>
      <c r="I510" s="19" t="s">
        <v>22</v>
      </c>
      <c r="J510" s="19" t="s">
        <v>17</v>
      </c>
      <c r="K510" s="19" t="s">
        <v>30</v>
      </c>
      <c r="L510" s="19" t="s">
        <v>28</v>
      </c>
    </row>
    <row r="511" spans="1:12" ht="15.6">
      <c r="A511" s="19" t="s">
        <v>525</v>
      </c>
      <c r="B511" s="19">
        <v>6</v>
      </c>
      <c r="C511" s="19" t="s">
        <v>21</v>
      </c>
      <c r="D511" s="19">
        <v>120</v>
      </c>
      <c r="E511" s="19">
        <v>6637977812</v>
      </c>
      <c r="F511" s="19" t="s">
        <v>14</v>
      </c>
      <c r="G511" s="19">
        <v>11</v>
      </c>
      <c r="H511" s="19" t="s">
        <v>15</v>
      </c>
      <c r="I511" s="19" t="s">
        <v>16</v>
      </c>
      <c r="J511" s="19" t="s">
        <v>17</v>
      </c>
      <c r="K511" s="19" t="s">
        <v>28</v>
      </c>
      <c r="L511" s="19" t="s">
        <v>19</v>
      </c>
    </row>
    <row r="512" spans="1:12" ht="15.6">
      <c r="A512" s="19" t="s">
        <v>526</v>
      </c>
      <c r="B512" s="19">
        <v>10</v>
      </c>
      <c r="C512" s="19" t="s">
        <v>13</v>
      </c>
      <c r="D512" s="19">
        <v>33</v>
      </c>
      <c r="E512" s="19">
        <v>9771852996</v>
      </c>
      <c r="F512" s="19" t="s">
        <v>14</v>
      </c>
      <c r="G512" s="19">
        <v>16</v>
      </c>
      <c r="H512" s="19" t="s">
        <v>15</v>
      </c>
      <c r="I512" s="19" t="s">
        <v>22</v>
      </c>
      <c r="J512" s="19" t="s">
        <v>17</v>
      </c>
      <c r="K512" s="19" t="s">
        <v>28</v>
      </c>
      <c r="L512" s="19" t="s">
        <v>31</v>
      </c>
    </row>
    <row r="513" spans="1:12" ht="15.6">
      <c r="A513" s="19" t="s">
        <v>527</v>
      </c>
      <c r="B513" s="19">
        <v>9</v>
      </c>
      <c r="C513" s="19" t="s">
        <v>26</v>
      </c>
      <c r="D513" s="19">
        <v>2</v>
      </c>
      <c r="E513" s="19">
        <v>9341016559</v>
      </c>
      <c r="F513" s="19" t="s">
        <v>27</v>
      </c>
      <c r="G513" s="19">
        <v>14</v>
      </c>
      <c r="H513" s="19" t="s">
        <v>15</v>
      </c>
      <c r="I513" s="19" t="s">
        <v>16</v>
      </c>
      <c r="J513" s="19" t="s">
        <v>17</v>
      </c>
      <c r="K513" s="19" t="s">
        <v>28</v>
      </c>
      <c r="L513" s="19" t="s">
        <v>42</v>
      </c>
    </row>
    <row r="514" spans="1:12" ht="15.6">
      <c r="A514" s="19" t="s">
        <v>528</v>
      </c>
      <c r="B514" s="19">
        <v>9</v>
      </c>
      <c r="C514" s="19" t="s">
        <v>21</v>
      </c>
      <c r="D514" s="19">
        <v>34</v>
      </c>
      <c r="E514" s="19">
        <v>8137236456</v>
      </c>
      <c r="F514" s="19" t="s">
        <v>27</v>
      </c>
      <c r="G514" s="19">
        <v>14</v>
      </c>
      <c r="H514" s="19" t="s">
        <v>15</v>
      </c>
      <c r="I514" s="19" t="s">
        <v>22</v>
      </c>
      <c r="J514" s="19" t="s">
        <v>17</v>
      </c>
      <c r="K514" s="19" t="s">
        <v>24</v>
      </c>
      <c r="L514" s="19" t="s">
        <v>31</v>
      </c>
    </row>
    <row r="515" spans="1:12" ht="15.6">
      <c r="A515" s="19" t="s">
        <v>529</v>
      </c>
      <c r="B515" s="19">
        <v>6</v>
      </c>
      <c r="C515" s="19" t="s">
        <v>26</v>
      </c>
      <c r="D515" s="19">
        <v>199</v>
      </c>
      <c r="E515" s="19">
        <v>6847866298</v>
      </c>
      <c r="F515" s="19" t="s">
        <v>27</v>
      </c>
      <c r="G515" s="19">
        <v>12</v>
      </c>
      <c r="H515" s="19" t="s">
        <v>15</v>
      </c>
      <c r="I515" s="19" t="s">
        <v>22</v>
      </c>
      <c r="J515" s="19" t="s">
        <v>17</v>
      </c>
      <c r="K515" s="19" t="s">
        <v>24</v>
      </c>
      <c r="L515" s="19" t="s">
        <v>28</v>
      </c>
    </row>
    <row r="516" spans="1:12" ht="15.6">
      <c r="A516" s="19" t="s">
        <v>530</v>
      </c>
      <c r="B516" s="19">
        <v>8</v>
      </c>
      <c r="C516" s="19" t="s">
        <v>13</v>
      </c>
      <c r="D516" s="19">
        <v>42</v>
      </c>
      <c r="E516" s="19">
        <v>7891304356</v>
      </c>
      <c r="F516" s="19" t="s">
        <v>14</v>
      </c>
      <c r="G516" s="19">
        <v>14</v>
      </c>
      <c r="H516" s="19" t="s">
        <v>33</v>
      </c>
      <c r="I516" s="19" t="s">
        <v>22</v>
      </c>
      <c r="J516" s="19" t="s">
        <v>17</v>
      </c>
      <c r="K516" s="19" t="s">
        <v>49</v>
      </c>
      <c r="L516" s="19" t="s">
        <v>31</v>
      </c>
    </row>
    <row r="517" spans="1:12" ht="15.6">
      <c r="A517" s="19" t="s">
        <v>531</v>
      </c>
      <c r="B517" s="19">
        <v>10</v>
      </c>
      <c r="C517" s="19" t="s">
        <v>21</v>
      </c>
      <c r="D517" s="19">
        <v>186</v>
      </c>
      <c r="E517" s="19">
        <v>9055237780</v>
      </c>
      <c r="F517" s="19" t="s">
        <v>27</v>
      </c>
      <c r="G517" s="19">
        <v>15</v>
      </c>
      <c r="H517" s="19" t="s">
        <v>15</v>
      </c>
      <c r="I517" s="19" t="s">
        <v>22</v>
      </c>
      <c r="J517" s="19" t="s">
        <v>17</v>
      </c>
      <c r="K517" s="19" t="s">
        <v>24</v>
      </c>
      <c r="L517" s="19" t="s">
        <v>28</v>
      </c>
    </row>
    <row r="518" spans="1:12" ht="15.6">
      <c r="A518" s="19" t="s">
        <v>532</v>
      </c>
      <c r="B518" s="19">
        <v>9</v>
      </c>
      <c r="C518" s="19" t="s">
        <v>26</v>
      </c>
      <c r="D518" s="19">
        <v>76</v>
      </c>
      <c r="E518" s="19">
        <v>8827476435</v>
      </c>
      <c r="F518" s="19" t="s">
        <v>27</v>
      </c>
      <c r="G518" s="19">
        <v>14</v>
      </c>
      <c r="H518" s="19" t="s">
        <v>33</v>
      </c>
      <c r="I518" s="19" t="s">
        <v>16</v>
      </c>
      <c r="J518" s="19" t="s">
        <v>23</v>
      </c>
      <c r="K518" s="19" t="s">
        <v>49</v>
      </c>
      <c r="L518" s="19" t="s">
        <v>28</v>
      </c>
    </row>
    <row r="519" spans="1:12" ht="15.6">
      <c r="A519" s="19" t="s">
        <v>533</v>
      </c>
      <c r="B519" s="19">
        <v>7</v>
      </c>
      <c r="C519" s="19" t="s">
        <v>21</v>
      </c>
      <c r="D519" s="19">
        <v>186</v>
      </c>
      <c r="E519" s="19">
        <v>6173036314</v>
      </c>
      <c r="F519" s="19" t="s">
        <v>14</v>
      </c>
      <c r="G519" s="19">
        <v>13</v>
      </c>
      <c r="H519" s="19" t="s">
        <v>15</v>
      </c>
      <c r="I519" s="19" t="s">
        <v>16</v>
      </c>
      <c r="J519" s="19" t="s">
        <v>23</v>
      </c>
      <c r="K519" s="19" t="s">
        <v>28</v>
      </c>
      <c r="L519" s="19" t="s">
        <v>28</v>
      </c>
    </row>
    <row r="520" spans="1:12" ht="15.6">
      <c r="A520" s="19" t="s">
        <v>534</v>
      </c>
      <c r="B520" s="19">
        <v>8</v>
      </c>
      <c r="C520" s="19" t="s">
        <v>13</v>
      </c>
      <c r="D520" s="19">
        <v>144</v>
      </c>
      <c r="E520" s="19">
        <v>7256159216</v>
      </c>
      <c r="F520" s="19" t="s">
        <v>27</v>
      </c>
      <c r="G520" s="19">
        <v>14</v>
      </c>
      <c r="H520" s="19" t="s">
        <v>33</v>
      </c>
      <c r="I520" s="19" t="s">
        <v>16</v>
      </c>
      <c r="J520" s="19" t="s">
        <v>17</v>
      </c>
      <c r="K520" s="19" t="s">
        <v>18</v>
      </c>
      <c r="L520" s="19" t="s">
        <v>19</v>
      </c>
    </row>
    <row r="521" spans="1:12" ht="15.6">
      <c r="A521" s="19" t="s">
        <v>535</v>
      </c>
      <c r="B521" s="19">
        <v>7</v>
      </c>
      <c r="C521" s="19" t="s">
        <v>21</v>
      </c>
      <c r="D521" s="19">
        <v>141</v>
      </c>
      <c r="E521" s="19">
        <v>7664902721</v>
      </c>
      <c r="F521" s="19" t="s">
        <v>14</v>
      </c>
      <c r="G521" s="19">
        <v>12</v>
      </c>
      <c r="H521" s="19" t="s">
        <v>15</v>
      </c>
      <c r="I521" s="19" t="s">
        <v>16</v>
      </c>
      <c r="J521" s="19" t="s">
        <v>17</v>
      </c>
      <c r="K521" s="19" t="s">
        <v>30</v>
      </c>
      <c r="L521" s="19" t="s">
        <v>28</v>
      </c>
    </row>
    <row r="522" spans="1:12" ht="15.6">
      <c r="A522" s="19" t="s">
        <v>536</v>
      </c>
      <c r="B522" s="19">
        <v>10</v>
      </c>
      <c r="C522" s="19" t="s">
        <v>21</v>
      </c>
      <c r="D522" s="19">
        <v>108</v>
      </c>
      <c r="E522" s="19">
        <v>7135819383</v>
      </c>
      <c r="F522" s="19" t="s">
        <v>27</v>
      </c>
      <c r="G522" s="19">
        <v>16</v>
      </c>
      <c r="H522" s="19" t="s">
        <v>15</v>
      </c>
      <c r="I522" s="19" t="s">
        <v>16</v>
      </c>
      <c r="J522" s="19" t="s">
        <v>17</v>
      </c>
      <c r="K522" s="19" t="s">
        <v>30</v>
      </c>
      <c r="L522" s="19" t="s">
        <v>28</v>
      </c>
    </row>
    <row r="523" spans="1:12" ht="15.6">
      <c r="A523" s="19" t="s">
        <v>537</v>
      </c>
      <c r="B523" s="19">
        <v>10</v>
      </c>
      <c r="C523" s="19" t="s">
        <v>21</v>
      </c>
      <c r="D523" s="19">
        <v>125</v>
      </c>
      <c r="E523" s="19">
        <v>8124167515</v>
      </c>
      <c r="F523" s="19" t="s">
        <v>14</v>
      </c>
      <c r="G523" s="19">
        <v>15</v>
      </c>
      <c r="H523" s="19" t="s">
        <v>33</v>
      </c>
      <c r="I523" s="19" t="s">
        <v>22</v>
      </c>
      <c r="J523" s="19" t="s">
        <v>23</v>
      </c>
      <c r="K523" s="19" t="s">
        <v>28</v>
      </c>
      <c r="L523" s="19" t="s">
        <v>28</v>
      </c>
    </row>
    <row r="524" spans="1:12" ht="15.6">
      <c r="A524" s="19" t="s">
        <v>538</v>
      </c>
      <c r="B524" s="19">
        <v>8</v>
      </c>
      <c r="C524" s="19" t="s">
        <v>13</v>
      </c>
      <c r="D524" s="19">
        <v>176</v>
      </c>
      <c r="E524" s="19">
        <v>6100565522</v>
      </c>
      <c r="F524" s="19" t="s">
        <v>14</v>
      </c>
      <c r="G524" s="19">
        <v>13</v>
      </c>
      <c r="H524" s="19" t="s">
        <v>15</v>
      </c>
      <c r="I524" s="19" t="s">
        <v>22</v>
      </c>
      <c r="J524" s="19" t="s">
        <v>23</v>
      </c>
      <c r="K524" s="19" t="s">
        <v>28</v>
      </c>
      <c r="L524" s="19" t="s">
        <v>31</v>
      </c>
    </row>
    <row r="525" spans="1:12" ht="15.6">
      <c r="A525" s="19" t="s">
        <v>539</v>
      </c>
      <c r="B525" s="19">
        <v>10</v>
      </c>
      <c r="C525" s="19" t="s">
        <v>13</v>
      </c>
      <c r="D525" s="19">
        <v>113</v>
      </c>
      <c r="E525" s="19">
        <v>7133766509</v>
      </c>
      <c r="F525" s="19" t="s">
        <v>27</v>
      </c>
      <c r="G525" s="19">
        <v>15</v>
      </c>
      <c r="H525" s="19" t="s">
        <v>15</v>
      </c>
      <c r="I525" s="19" t="s">
        <v>16</v>
      </c>
      <c r="J525" s="19" t="s">
        <v>23</v>
      </c>
      <c r="K525" s="19" t="s">
        <v>18</v>
      </c>
      <c r="L525" s="19" t="s">
        <v>31</v>
      </c>
    </row>
    <row r="526" spans="1:12" ht="15.6">
      <c r="A526" s="19" t="s">
        <v>455</v>
      </c>
      <c r="B526" s="19">
        <v>9</v>
      </c>
      <c r="C526" s="19" t="s">
        <v>26</v>
      </c>
      <c r="D526" s="19">
        <v>20</v>
      </c>
      <c r="E526" s="19">
        <v>6816498557</v>
      </c>
      <c r="F526" s="19" t="s">
        <v>14</v>
      </c>
      <c r="G526" s="19">
        <v>14</v>
      </c>
      <c r="H526" s="19" t="s">
        <v>15</v>
      </c>
      <c r="I526" s="19" t="s">
        <v>16</v>
      </c>
      <c r="J526" s="19" t="s">
        <v>23</v>
      </c>
      <c r="K526" s="19" t="s">
        <v>28</v>
      </c>
      <c r="L526" s="19" t="s">
        <v>19</v>
      </c>
    </row>
    <row r="527" spans="1:12" ht="15.6">
      <c r="A527" s="19" t="s">
        <v>540</v>
      </c>
      <c r="B527" s="19">
        <v>6</v>
      </c>
      <c r="C527" s="19" t="s">
        <v>13</v>
      </c>
      <c r="D527" s="19">
        <v>56</v>
      </c>
      <c r="E527" s="19">
        <v>8622984585</v>
      </c>
      <c r="F527" s="19" t="s">
        <v>27</v>
      </c>
      <c r="G527" s="19">
        <v>11</v>
      </c>
      <c r="H527" s="19" t="s">
        <v>15</v>
      </c>
      <c r="I527" s="19" t="s">
        <v>22</v>
      </c>
      <c r="J527" s="19" t="s">
        <v>17</v>
      </c>
      <c r="K527" s="19" t="s">
        <v>18</v>
      </c>
      <c r="L527" s="19" t="s">
        <v>19</v>
      </c>
    </row>
    <row r="528" spans="1:12" ht="15.6">
      <c r="A528" s="19" t="s">
        <v>541</v>
      </c>
      <c r="B528" s="19">
        <v>10</v>
      </c>
      <c r="C528" s="19" t="s">
        <v>37</v>
      </c>
      <c r="D528" s="19">
        <v>140</v>
      </c>
      <c r="E528" s="19">
        <v>9070178850</v>
      </c>
      <c r="F528" s="19" t="s">
        <v>27</v>
      </c>
      <c r="G528" s="19">
        <v>16</v>
      </c>
      <c r="H528" s="19" t="s">
        <v>15</v>
      </c>
      <c r="I528" s="19" t="s">
        <v>16</v>
      </c>
      <c r="J528" s="19" t="s">
        <v>23</v>
      </c>
      <c r="K528" s="19" t="s">
        <v>28</v>
      </c>
      <c r="L528" s="19" t="s">
        <v>31</v>
      </c>
    </row>
    <row r="529" spans="1:12" ht="15.6">
      <c r="A529" s="19" t="s">
        <v>542</v>
      </c>
      <c r="B529" s="19">
        <v>7</v>
      </c>
      <c r="C529" s="19" t="s">
        <v>37</v>
      </c>
      <c r="D529" s="19">
        <v>163</v>
      </c>
      <c r="E529" s="19">
        <v>8541812493</v>
      </c>
      <c r="F529" s="19" t="s">
        <v>14</v>
      </c>
      <c r="G529" s="19">
        <v>12</v>
      </c>
      <c r="H529" s="19" t="s">
        <v>15</v>
      </c>
      <c r="I529" s="19" t="s">
        <v>22</v>
      </c>
      <c r="J529" s="19" t="s">
        <v>17</v>
      </c>
      <c r="K529" s="19" t="s">
        <v>28</v>
      </c>
      <c r="L529" s="19" t="s">
        <v>31</v>
      </c>
    </row>
    <row r="530" spans="1:12" ht="15.6">
      <c r="A530" s="19" t="s">
        <v>543</v>
      </c>
      <c r="B530" s="19">
        <v>7</v>
      </c>
      <c r="C530" s="19" t="s">
        <v>37</v>
      </c>
      <c r="D530" s="19">
        <v>196</v>
      </c>
      <c r="E530" s="19">
        <v>7540741897</v>
      </c>
      <c r="F530" s="19" t="s">
        <v>27</v>
      </c>
      <c r="G530" s="19">
        <v>13</v>
      </c>
      <c r="H530" s="19" t="s">
        <v>15</v>
      </c>
      <c r="I530" s="19" t="s">
        <v>16</v>
      </c>
      <c r="J530" s="19" t="s">
        <v>23</v>
      </c>
      <c r="K530" s="19" t="s">
        <v>18</v>
      </c>
      <c r="L530" s="19" t="s">
        <v>28</v>
      </c>
    </row>
    <row r="531" spans="1:12" ht="15.6">
      <c r="A531" s="19" t="s">
        <v>544</v>
      </c>
      <c r="B531" s="19">
        <v>9</v>
      </c>
      <c r="C531" s="19" t="s">
        <v>21</v>
      </c>
      <c r="D531" s="19">
        <v>160</v>
      </c>
      <c r="E531" s="19">
        <v>8035933754</v>
      </c>
      <c r="F531" s="19" t="s">
        <v>27</v>
      </c>
      <c r="G531" s="19">
        <v>14</v>
      </c>
      <c r="H531" s="19" t="s">
        <v>33</v>
      </c>
      <c r="I531" s="19" t="s">
        <v>16</v>
      </c>
      <c r="J531" s="19" t="s">
        <v>17</v>
      </c>
      <c r="K531" s="19" t="s">
        <v>28</v>
      </c>
      <c r="L531" s="19" t="s">
        <v>31</v>
      </c>
    </row>
    <row r="532" spans="1:12" ht="15.6">
      <c r="A532" s="19" t="s">
        <v>545</v>
      </c>
      <c r="B532" s="19">
        <v>7</v>
      </c>
      <c r="C532" s="19" t="s">
        <v>13</v>
      </c>
      <c r="D532" s="19">
        <v>95</v>
      </c>
      <c r="E532" s="19">
        <v>7495541677</v>
      </c>
      <c r="F532" s="19" t="s">
        <v>14</v>
      </c>
      <c r="G532" s="19">
        <v>13</v>
      </c>
      <c r="H532" s="19" t="s">
        <v>33</v>
      </c>
      <c r="I532" s="19" t="s">
        <v>16</v>
      </c>
      <c r="J532" s="19" t="s">
        <v>23</v>
      </c>
      <c r="K532" s="19" t="s">
        <v>28</v>
      </c>
      <c r="L532" s="19" t="s">
        <v>31</v>
      </c>
    </row>
    <row r="533" spans="1:12" ht="15.6">
      <c r="A533" s="19" t="s">
        <v>546</v>
      </c>
      <c r="B533" s="19">
        <v>8</v>
      </c>
      <c r="C533" s="19" t="s">
        <v>13</v>
      </c>
      <c r="D533" s="19">
        <v>21</v>
      </c>
      <c r="E533" s="19">
        <v>6357252651</v>
      </c>
      <c r="F533" s="19" t="s">
        <v>27</v>
      </c>
      <c r="G533" s="19">
        <v>14</v>
      </c>
      <c r="H533" s="19" t="s">
        <v>33</v>
      </c>
      <c r="I533" s="19" t="s">
        <v>22</v>
      </c>
      <c r="J533" s="19" t="s">
        <v>23</v>
      </c>
      <c r="K533" s="19" t="s">
        <v>24</v>
      </c>
      <c r="L533" s="19" t="s">
        <v>31</v>
      </c>
    </row>
    <row r="534" spans="1:12" ht="15.6">
      <c r="A534" s="19" t="s">
        <v>547</v>
      </c>
      <c r="B534" s="19">
        <v>7</v>
      </c>
      <c r="C534" s="19" t="s">
        <v>21</v>
      </c>
      <c r="D534" s="19">
        <v>191</v>
      </c>
      <c r="E534" s="19">
        <v>7649622240</v>
      </c>
      <c r="F534" s="19" t="s">
        <v>27</v>
      </c>
      <c r="G534" s="19">
        <v>12</v>
      </c>
      <c r="H534" s="19" t="s">
        <v>33</v>
      </c>
      <c r="I534" s="19" t="s">
        <v>16</v>
      </c>
      <c r="J534" s="19" t="s">
        <v>23</v>
      </c>
      <c r="K534" s="19" t="s">
        <v>30</v>
      </c>
      <c r="L534" s="19" t="s">
        <v>28</v>
      </c>
    </row>
    <row r="535" spans="1:12" ht="15.6">
      <c r="A535" s="19" t="s">
        <v>548</v>
      </c>
      <c r="B535" s="19">
        <v>7</v>
      </c>
      <c r="C535" s="19" t="s">
        <v>13</v>
      </c>
      <c r="D535" s="19">
        <v>107</v>
      </c>
      <c r="E535" s="19">
        <v>7391922791</v>
      </c>
      <c r="F535" s="19" t="s">
        <v>14</v>
      </c>
      <c r="G535" s="19">
        <v>12</v>
      </c>
      <c r="H535" s="19" t="s">
        <v>33</v>
      </c>
      <c r="I535" s="19" t="s">
        <v>22</v>
      </c>
      <c r="J535" s="19" t="s">
        <v>23</v>
      </c>
      <c r="K535" s="19" t="s">
        <v>28</v>
      </c>
      <c r="L535" s="19" t="s">
        <v>42</v>
      </c>
    </row>
    <row r="536" spans="1:12" ht="15.6">
      <c r="A536" s="19" t="s">
        <v>549</v>
      </c>
      <c r="B536" s="19">
        <v>7</v>
      </c>
      <c r="C536" s="19" t="s">
        <v>13</v>
      </c>
      <c r="D536" s="19">
        <v>61</v>
      </c>
      <c r="E536" s="19">
        <v>7000210129</v>
      </c>
      <c r="F536" s="19" t="s">
        <v>27</v>
      </c>
      <c r="G536" s="19">
        <v>13</v>
      </c>
      <c r="H536" s="19" t="s">
        <v>15</v>
      </c>
      <c r="I536" s="19" t="s">
        <v>22</v>
      </c>
      <c r="J536" s="19" t="s">
        <v>17</v>
      </c>
      <c r="K536" s="19" t="s">
        <v>24</v>
      </c>
      <c r="L536" s="19" t="s">
        <v>19</v>
      </c>
    </row>
    <row r="537" spans="1:12" ht="15.6">
      <c r="A537" s="19" t="s">
        <v>550</v>
      </c>
      <c r="B537" s="19">
        <v>7</v>
      </c>
      <c r="C537" s="19" t="s">
        <v>21</v>
      </c>
      <c r="D537" s="19">
        <v>21</v>
      </c>
      <c r="E537" s="19">
        <v>7469150988</v>
      </c>
      <c r="F537" s="19" t="s">
        <v>27</v>
      </c>
      <c r="G537" s="19">
        <v>13</v>
      </c>
      <c r="H537" s="19" t="s">
        <v>33</v>
      </c>
      <c r="I537" s="19" t="s">
        <v>16</v>
      </c>
      <c r="J537" s="19" t="s">
        <v>17</v>
      </c>
      <c r="K537" s="19" t="s">
        <v>49</v>
      </c>
      <c r="L537" s="19" t="s">
        <v>19</v>
      </c>
    </row>
    <row r="538" spans="1:12" ht="15.6">
      <c r="A538" s="19" t="s">
        <v>551</v>
      </c>
      <c r="B538" s="19">
        <v>9</v>
      </c>
      <c r="C538" s="19" t="s">
        <v>37</v>
      </c>
      <c r="D538" s="19">
        <v>111</v>
      </c>
      <c r="E538" s="19">
        <v>8329389636</v>
      </c>
      <c r="F538" s="19" t="s">
        <v>14</v>
      </c>
      <c r="G538" s="19">
        <v>15</v>
      </c>
      <c r="H538" s="19" t="s">
        <v>15</v>
      </c>
      <c r="I538" s="19" t="s">
        <v>16</v>
      </c>
      <c r="J538" s="19" t="s">
        <v>17</v>
      </c>
      <c r="K538" s="19" t="s">
        <v>28</v>
      </c>
      <c r="L538" s="19" t="s">
        <v>31</v>
      </c>
    </row>
    <row r="539" spans="1:12" ht="15.6">
      <c r="A539" s="19" t="s">
        <v>552</v>
      </c>
      <c r="B539" s="19">
        <v>6</v>
      </c>
      <c r="C539" s="19" t="s">
        <v>13</v>
      </c>
      <c r="D539" s="19">
        <v>81</v>
      </c>
      <c r="E539" s="19">
        <v>8186183092</v>
      </c>
      <c r="F539" s="19" t="s">
        <v>14</v>
      </c>
      <c r="G539" s="19">
        <v>12</v>
      </c>
      <c r="H539" s="19" t="s">
        <v>33</v>
      </c>
      <c r="I539" s="19" t="s">
        <v>16</v>
      </c>
      <c r="J539" s="19" t="s">
        <v>23</v>
      </c>
      <c r="K539" s="19" t="s">
        <v>28</v>
      </c>
      <c r="L539" s="19" t="s">
        <v>28</v>
      </c>
    </row>
    <row r="540" spans="1:12" ht="15.6">
      <c r="A540" s="19" t="s">
        <v>553</v>
      </c>
      <c r="B540" s="19">
        <v>8</v>
      </c>
      <c r="C540" s="19" t="s">
        <v>37</v>
      </c>
      <c r="D540" s="19">
        <v>23</v>
      </c>
      <c r="E540" s="19">
        <v>6967283188</v>
      </c>
      <c r="F540" s="19" t="s">
        <v>14</v>
      </c>
      <c r="G540" s="19">
        <v>14</v>
      </c>
      <c r="H540" s="19" t="s">
        <v>15</v>
      </c>
      <c r="I540" s="19" t="s">
        <v>22</v>
      </c>
      <c r="J540" s="19" t="s">
        <v>23</v>
      </c>
      <c r="K540" s="19" t="s">
        <v>24</v>
      </c>
      <c r="L540" s="19" t="s">
        <v>42</v>
      </c>
    </row>
    <row r="541" spans="1:12" ht="15.6">
      <c r="A541" s="19" t="s">
        <v>554</v>
      </c>
      <c r="B541" s="19">
        <v>8</v>
      </c>
      <c r="C541" s="19" t="s">
        <v>26</v>
      </c>
      <c r="D541" s="19">
        <v>38</v>
      </c>
      <c r="E541" s="19">
        <v>6026093943</v>
      </c>
      <c r="F541" s="19" t="s">
        <v>27</v>
      </c>
      <c r="G541" s="19">
        <v>13</v>
      </c>
      <c r="H541" s="19" t="s">
        <v>33</v>
      </c>
      <c r="I541" s="19" t="s">
        <v>16</v>
      </c>
      <c r="J541" s="19" t="s">
        <v>17</v>
      </c>
      <c r="K541" s="19" t="s">
        <v>49</v>
      </c>
      <c r="L541" s="19" t="s">
        <v>19</v>
      </c>
    </row>
    <row r="542" spans="1:12" ht="15.6">
      <c r="A542" s="19" t="s">
        <v>555</v>
      </c>
      <c r="B542" s="19">
        <v>9</v>
      </c>
      <c r="C542" s="19" t="s">
        <v>13</v>
      </c>
      <c r="D542" s="19">
        <v>42</v>
      </c>
      <c r="E542" s="19">
        <v>6477317714</v>
      </c>
      <c r="F542" s="19" t="s">
        <v>27</v>
      </c>
      <c r="G542" s="19">
        <v>14</v>
      </c>
      <c r="H542" s="19" t="s">
        <v>15</v>
      </c>
      <c r="I542" s="19" t="s">
        <v>16</v>
      </c>
      <c r="J542" s="19" t="s">
        <v>23</v>
      </c>
      <c r="K542" s="19" t="s">
        <v>30</v>
      </c>
      <c r="L542" s="19" t="s">
        <v>31</v>
      </c>
    </row>
    <row r="543" spans="1:12" ht="15.6">
      <c r="A543" s="19" t="s">
        <v>556</v>
      </c>
      <c r="B543" s="19">
        <v>7</v>
      </c>
      <c r="C543" s="19" t="s">
        <v>13</v>
      </c>
      <c r="D543" s="19">
        <v>44</v>
      </c>
      <c r="E543" s="19">
        <v>9018810018</v>
      </c>
      <c r="F543" s="19" t="s">
        <v>27</v>
      </c>
      <c r="G543" s="19">
        <v>13</v>
      </c>
      <c r="H543" s="19" t="s">
        <v>33</v>
      </c>
      <c r="I543" s="19" t="s">
        <v>22</v>
      </c>
      <c r="J543" s="19" t="s">
        <v>23</v>
      </c>
      <c r="K543" s="19" t="s">
        <v>18</v>
      </c>
      <c r="L543" s="19" t="s">
        <v>28</v>
      </c>
    </row>
    <row r="544" spans="1:12" ht="15.6">
      <c r="A544" s="19" t="s">
        <v>557</v>
      </c>
      <c r="B544" s="19">
        <v>8</v>
      </c>
      <c r="C544" s="19" t="s">
        <v>37</v>
      </c>
      <c r="D544" s="19">
        <v>170</v>
      </c>
      <c r="E544" s="19">
        <v>9560511521</v>
      </c>
      <c r="F544" s="19" t="s">
        <v>27</v>
      </c>
      <c r="G544" s="19">
        <v>13</v>
      </c>
      <c r="H544" s="19" t="s">
        <v>15</v>
      </c>
      <c r="I544" s="19" t="s">
        <v>22</v>
      </c>
      <c r="J544" s="19" t="s">
        <v>17</v>
      </c>
      <c r="K544" s="19" t="s">
        <v>30</v>
      </c>
      <c r="L544" s="19" t="s">
        <v>31</v>
      </c>
    </row>
    <row r="545" spans="1:12" ht="15.6">
      <c r="A545" s="19" t="s">
        <v>558</v>
      </c>
      <c r="B545" s="19">
        <v>7</v>
      </c>
      <c r="C545" s="19" t="s">
        <v>21</v>
      </c>
      <c r="D545" s="19">
        <v>137</v>
      </c>
      <c r="E545" s="19">
        <v>9769187285</v>
      </c>
      <c r="F545" s="19" t="s">
        <v>27</v>
      </c>
      <c r="G545" s="19">
        <v>13</v>
      </c>
      <c r="H545" s="19" t="s">
        <v>15</v>
      </c>
      <c r="I545" s="19" t="s">
        <v>22</v>
      </c>
      <c r="J545" s="19" t="s">
        <v>23</v>
      </c>
      <c r="K545" s="19" t="s">
        <v>28</v>
      </c>
      <c r="L545" s="19" t="s">
        <v>19</v>
      </c>
    </row>
    <row r="546" spans="1:12" ht="15.6">
      <c r="A546" s="19" t="s">
        <v>559</v>
      </c>
      <c r="B546" s="19">
        <v>7</v>
      </c>
      <c r="C546" s="19" t="s">
        <v>21</v>
      </c>
      <c r="D546" s="19">
        <v>47</v>
      </c>
      <c r="E546" s="19">
        <v>6849662679</v>
      </c>
      <c r="F546" s="19" t="s">
        <v>14</v>
      </c>
      <c r="G546" s="19">
        <v>12</v>
      </c>
      <c r="H546" s="19" t="s">
        <v>15</v>
      </c>
      <c r="I546" s="19" t="s">
        <v>16</v>
      </c>
      <c r="J546" s="19" t="s">
        <v>17</v>
      </c>
      <c r="K546" s="19" t="s">
        <v>24</v>
      </c>
      <c r="L546" s="19" t="s">
        <v>42</v>
      </c>
    </row>
    <row r="547" spans="1:12" ht="15.6">
      <c r="A547" s="19" t="s">
        <v>560</v>
      </c>
      <c r="B547" s="19">
        <v>7</v>
      </c>
      <c r="C547" s="19" t="s">
        <v>13</v>
      </c>
      <c r="D547" s="19">
        <v>111</v>
      </c>
      <c r="E547" s="19">
        <v>7593564035</v>
      </c>
      <c r="F547" s="19" t="s">
        <v>14</v>
      </c>
      <c r="G547" s="19">
        <v>13</v>
      </c>
      <c r="H547" s="19" t="s">
        <v>15</v>
      </c>
      <c r="I547" s="19" t="s">
        <v>16</v>
      </c>
      <c r="J547" s="19" t="s">
        <v>23</v>
      </c>
      <c r="K547" s="19" t="s">
        <v>30</v>
      </c>
      <c r="L547" s="19" t="s">
        <v>19</v>
      </c>
    </row>
    <row r="548" spans="1:12" ht="15.6">
      <c r="A548" s="19" t="s">
        <v>561</v>
      </c>
      <c r="B548" s="19">
        <v>7</v>
      </c>
      <c r="C548" s="19" t="s">
        <v>37</v>
      </c>
      <c r="D548" s="19">
        <v>114</v>
      </c>
      <c r="E548" s="19">
        <v>7971297828</v>
      </c>
      <c r="F548" s="19" t="s">
        <v>27</v>
      </c>
      <c r="G548" s="19">
        <v>13</v>
      </c>
      <c r="H548" s="19" t="s">
        <v>15</v>
      </c>
      <c r="I548" s="19" t="s">
        <v>22</v>
      </c>
      <c r="J548" s="19" t="s">
        <v>23</v>
      </c>
      <c r="K548" s="19" t="s">
        <v>28</v>
      </c>
      <c r="L548" s="19" t="s">
        <v>31</v>
      </c>
    </row>
    <row r="549" spans="1:12" ht="15.6">
      <c r="A549" s="19" t="s">
        <v>562</v>
      </c>
      <c r="B549" s="19">
        <v>7</v>
      </c>
      <c r="C549" s="19" t="s">
        <v>21</v>
      </c>
      <c r="D549" s="19">
        <v>188</v>
      </c>
      <c r="E549" s="19">
        <v>8618870554</v>
      </c>
      <c r="F549" s="19" t="s">
        <v>14</v>
      </c>
      <c r="G549" s="19">
        <v>12</v>
      </c>
      <c r="H549" s="19" t="s">
        <v>15</v>
      </c>
      <c r="I549" s="19" t="s">
        <v>16</v>
      </c>
      <c r="J549" s="19" t="s">
        <v>17</v>
      </c>
      <c r="K549" s="19" t="s">
        <v>24</v>
      </c>
      <c r="L549" s="19" t="s">
        <v>28</v>
      </c>
    </row>
    <row r="550" spans="1:12" ht="15.6">
      <c r="A550" s="19" t="s">
        <v>255</v>
      </c>
      <c r="B550" s="19">
        <v>7</v>
      </c>
      <c r="C550" s="19" t="s">
        <v>37</v>
      </c>
      <c r="D550" s="19">
        <v>193</v>
      </c>
      <c r="E550" s="19">
        <v>6120818106</v>
      </c>
      <c r="F550" s="19" t="s">
        <v>27</v>
      </c>
      <c r="G550" s="19">
        <v>12</v>
      </c>
      <c r="H550" s="19" t="s">
        <v>15</v>
      </c>
      <c r="I550" s="19" t="s">
        <v>16</v>
      </c>
      <c r="J550" s="19" t="s">
        <v>23</v>
      </c>
      <c r="K550" s="19" t="s">
        <v>24</v>
      </c>
      <c r="L550" s="19" t="s">
        <v>31</v>
      </c>
    </row>
    <row r="551" spans="1:12" ht="15.6">
      <c r="A551" s="19" t="s">
        <v>563</v>
      </c>
      <c r="B551" s="19">
        <v>8</v>
      </c>
      <c r="C551" s="19" t="s">
        <v>21</v>
      </c>
      <c r="D551" s="19">
        <v>60</v>
      </c>
      <c r="E551" s="19">
        <v>8785623639</v>
      </c>
      <c r="F551" s="19" t="s">
        <v>14</v>
      </c>
      <c r="G551" s="19">
        <v>14</v>
      </c>
      <c r="H551" s="19" t="s">
        <v>15</v>
      </c>
      <c r="I551" s="19" t="s">
        <v>16</v>
      </c>
      <c r="J551" s="19" t="s">
        <v>17</v>
      </c>
      <c r="K551" s="19" t="s">
        <v>28</v>
      </c>
      <c r="L551" s="19" t="s">
        <v>28</v>
      </c>
    </row>
    <row r="552" spans="1:12" ht="15.6">
      <c r="A552" s="19" t="s">
        <v>564</v>
      </c>
      <c r="B552" s="19">
        <v>6</v>
      </c>
      <c r="C552" s="19" t="s">
        <v>37</v>
      </c>
      <c r="D552" s="19">
        <v>86</v>
      </c>
      <c r="E552" s="19">
        <v>8414024128</v>
      </c>
      <c r="F552" s="19" t="s">
        <v>14</v>
      </c>
      <c r="G552" s="19">
        <v>11</v>
      </c>
      <c r="H552" s="19" t="s">
        <v>15</v>
      </c>
      <c r="I552" s="19" t="s">
        <v>22</v>
      </c>
      <c r="J552" s="19" t="s">
        <v>17</v>
      </c>
      <c r="K552" s="19" t="s">
        <v>28</v>
      </c>
      <c r="L552" s="19" t="s">
        <v>19</v>
      </c>
    </row>
    <row r="553" spans="1:12" ht="15.6">
      <c r="A553" s="19" t="s">
        <v>565</v>
      </c>
      <c r="B553" s="19">
        <v>6</v>
      </c>
      <c r="C553" s="19" t="s">
        <v>21</v>
      </c>
      <c r="D553" s="19">
        <v>66</v>
      </c>
      <c r="E553" s="19">
        <v>6047510545</v>
      </c>
      <c r="F553" s="19" t="s">
        <v>27</v>
      </c>
      <c r="G553" s="19">
        <v>12</v>
      </c>
      <c r="H553" s="19" t="s">
        <v>15</v>
      </c>
      <c r="I553" s="19" t="s">
        <v>16</v>
      </c>
      <c r="J553" s="19" t="s">
        <v>17</v>
      </c>
      <c r="K553" s="19" t="s">
        <v>28</v>
      </c>
      <c r="L553" s="19" t="s">
        <v>28</v>
      </c>
    </row>
    <row r="554" spans="1:12" ht="15.6">
      <c r="A554" s="19" t="s">
        <v>566</v>
      </c>
      <c r="B554" s="19">
        <v>10</v>
      </c>
      <c r="C554" s="19" t="s">
        <v>37</v>
      </c>
      <c r="D554" s="19">
        <v>118</v>
      </c>
      <c r="E554" s="19">
        <v>8279175984</v>
      </c>
      <c r="F554" s="19" t="s">
        <v>14</v>
      </c>
      <c r="G554" s="19">
        <v>15</v>
      </c>
      <c r="H554" s="19" t="s">
        <v>15</v>
      </c>
      <c r="I554" s="19" t="s">
        <v>22</v>
      </c>
      <c r="J554" s="19" t="s">
        <v>23</v>
      </c>
      <c r="K554" s="19" t="s">
        <v>49</v>
      </c>
      <c r="L554" s="19" t="s">
        <v>28</v>
      </c>
    </row>
    <row r="555" spans="1:12" ht="15.6">
      <c r="A555" s="19" t="s">
        <v>567</v>
      </c>
      <c r="B555" s="19">
        <v>6</v>
      </c>
      <c r="C555" s="19" t="s">
        <v>26</v>
      </c>
      <c r="D555" s="19">
        <v>164</v>
      </c>
      <c r="E555" s="19">
        <v>8830875830</v>
      </c>
      <c r="F555" s="19" t="s">
        <v>27</v>
      </c>
      <c r="G555" s="19">
        <v>12</v>
      </c>
      <c r="H555" s="19" t="s">
        <v>15</v>
      </c>
      <c r="I555" s="19" t="s">
        <v>22</v>
      </c>
      <c r="J555" s="19" t="s">
        <v>23</v>
      </c>
      <c r="K555" s="19" t="s">
        <v>18</v>
      </c>
      <c r="L555" s="19" t="s">
        <v>28</v>
      </c>
    </row>
    <row r="556" spans="1:12" ht="15.6">
      <c r="A556" s="19" t="s">
        <v>568</v>
      </c>
      <c r="B556" s="19">
        <v>6</v>
      </c>
      <c r="C556" s="19" t="s">
        <v>13</v>
      </c>
      <c r="D556" s="19">
        <v>29</v>
      </c>
      <c r="E556" s="19">
        <v>9163351783</v>
      </c>
      <c r="F556" s="19" t="s">
        <v>27</v>
      </c>
      <c r="G556" s="19">
        <v>11</v>
      </c>
      <c r="H556" s="19" t="s">
        <v>33</v>
      </c>
      <c r="I556" s="19" t="s">
        <v>16</v>
      </c>
      <c r="J556" s="19" t="s">
        <v>23</v>
      </c>
      <c r="K556" s="19" t="s">
        <v>28</v>
      </c>
      <c r="L556" s="19" t="s">
        <v>19</v>
      </c>
    </row>
    <row r="557" spans="1:12" ht="15.6">
      <c r="A557" s="19" t="s">
        <v>569</v>
      </c>
      <c r="B557" s="19">
        <v>10</v>
      </c>
      <c r="C557" s="19" t="s">
        <v>13</v>
      </c>
      <c r="D557" s="19">
        <v>112</v>
      </c>
      <c r="E557" s="19">
        <v>6504146848</v>
      </c>
      <c r="F557" s="19" t="s">
        <v>14</v>
      </c>
      <c r="G557" s="19">
        <v>15</v>
      </c>
      <c r="H557" s="19" t="s">
        <v>15</v>
      </c>
      <c r="I557" s="19" t="s">
        <v>16</v>
      </c>
      <c r="J557" s="19" t="s">
        <v>17</v>
      </c>
      <c r="K557" s="19" t="s">
        <v>28</v>
      </c>
      <c r="L557" s="19" t="s">
        <v>42</v>
      </c>
    </row>
    <row r="558" spans="1:12" ht="15.6">
      <c r="A558" s="19" t="s">
        <v>570</v>
      </c>
      <c r="B558" s="19">
        <v>10</v>
      </c>
      <c r="C558" s="19" t="s">
        <v>26</v>
      </c>
      <c r="D558" s="19">
        <v>198</v>
      </c>
      <c r="E558" s="19">
        <v>8865090886</v>
      </c>
      <c r="F558" s="19" t="s">
        <v>27</v>
      </c>
      <c r="G558" s="19">
        <v>16</v>
      </c>
      <c r="H558" s="19" t="s">
        <v>33</v>
      </c>
      <c r="I558" s="19" t="s">
        <v>22</v>
      </c>
      <c r="J558" s="19" t="s">
        <v>23</v>
      </c>
      <c r="K558" s="19" t="s">
        <v>49</v>
      </c>
      <c r="L558" s="19" t="s">
        <v>28</v>
      </c>
    </row>
    <row r="559" spans="1:12" ht="15.6">
      <c r="A559" s="19" t="s">
        <v>571</v>
      </c>
      <c r="B559" s="19">
        <v>9</v>
      </c>
      <c r="C559" s="19" t="s">
        <v>37</v>
      </c>
      <c r="D559" s="19">
        <v>122</v>
      </c>
      <c r="E559" s="19">
        <v>6954722069</v>
      </c>
      <c r="F559" s="19" t="s">
        <v>27</v>
      </c>
      <c r="G559" s="19">
        <v>15</v>
      </c>
      <c r="H559" s="19" t="s">
        <v>33</v>
      </c>
      <c r="I559" s="19" t="s">
        <v>16</v>
      </c>
      <c r="J559" s="19" t="s">
        <v>17</v>
      </c>
      <c r="K559" s="19" t="s">
        <v>28</v>
      </c>
      <c r="L559" s="19" t="s">
        <v>42</v>
      </c>
    </row>
    <row r="560" spans="1:12" ht="15.6">
      <c r="A560" s="19" t="s">
        <v>572</v>
      </c>
      <c r="B560" s="19">
        <v>7</v>
      </c>
      <c r="C560" s="19" t="s">
        <v>21</v>
      </c>
      <c r="D560" s="19">
        <v>146</v>
      </c>
      <c r="E560" s="19">
        <v>7274462953</v>
      </c>
      <c r="F560" s="19" t="s">
        <v>27</v>
      </c>
      <c r="G560" s="19">
        <v>13</v>
      </c>
      <c r="H560" s="19" t="s">
        <v>15</v>
      </c>
      <c r="I560" s="19" t="s">
        <v>16</v>
      </c>
      <c r="J560" s="19" t="s">
        <v>23</v>
      </c>
      <c r="K560" s="19" t="s">
        <v>28</v>
      </c>
      <c r="L560" s="19" t="s">
        <v>19</v>
      </c>
    </row>
    <row r="561" spans="1:12" ht="15.6">
      <c r="A561" s="19" t="s">
        <v>573</v>
      </c>
      <c r="B561" s="19">
        <v>6</v>
      </c>
      <c r="C561" s="19" t="s">
        <v>21</v>
      </c>
      <c r="D561" s="19">
        <v>27</v>
      </c>
      <c r="E561" s="19">
        <v>8171578685</v>
      </c>
      <c r="F561" s="19" t="s">
        <v>27</v>
      </c>
      <c r="G561" s="19">
        <v>12</v>
      </c>
      <c r="H561" s="19" t="s">
        <v>15</v>
      </c>
      <c r="I561" s="19" t="s">
        <v>22</v>
      </c>
      <c r="J561" s="19" t="s">
        <v>17</v>
      </c>
      <c r="K561" s="19" t="s">
        <v>30</v>
      </c>
      <c r="L561" s="19" t="s">
        <v>42</v>
      </c>
    </row>
    <row r="562" spans="1:12" ht="15.6">
      <c r="A562" s="19" t="s">
        <v>574</v>
      </c>
      <c r="B562" s="19">
        <v>9</v>
      </c>
      <c r="C562" s="19" t="s">
        <v>13</v>
      </c>
      <c r="D562" s="19">
        <v>184</v>
      </c>
      <c r="E562" s="19">
        <v>9524265410</v>
      </c>
      <c r="F562" s="19" t="s">
        <v>27</v>
      </c>
      <c r="G562" s="19">
        <v>14</v>
      </c>
      <c r="H562" s="19" t="s">
        <v>33</v>
      </c>
      <c r="I562" s="19" t="s">
        <v>22</v>
      </c>
      <c r="J562" s="19" t="s">
        <v>23</v>
      </c>
      <c r="K562" s="19" t="s">
        <v>49</v>
      </c>
      <c r="L562" s="19" t="s">
        <v>19</v>
      </c>
    </row>
    <row r="563" spans="1:12" ht="15.6">
      <c r="A563" s="19" t="s">
        <v>575</v>
      </c>
      <c r="B563" s="19">
        <v>6</v>
      </c>
      <c r="C563" s="19" t="s">
        <v>37</v>
      </c>
      <c r="D563" s="19">
        <v>33</v>
      </c>
      <c r="E563" s="19">
        <v>9436897678</v>
      </c>
      <c r="F563" s="19" t="s">
        <v>14</v>
      </c>
      <c r="G563" s="19">
        <v>12</v>
      </c>
      <c r="H563" s="19" t="s">
        <v>33</v>
      </c>
      <c r="I563" s="19" t="s">
        <v>16</v>
      </c>
      <c r="J563" s="19" t="s">
        <v>23</v>
      </c>
      <c r="K563" s="19" t="s">
        <v>18</v>
      </c>
      <c r="L563" s="19" t="s">
        <v>31</v>
      </c>
    </row>
    <row r="564" spans="1:12" ht="15.6">
      <c r="A564" s="19" t="s">
        <v>576</v>
      </c>
      <c r="B564" s="19">
        <v>7</v>
      </c>
      <c r="C564" s="19" t="s">
        <v>13</v>
      </c>
      <c r="D564" s="19">
        <v>110</v>
      </c>
      <c r="E564" s="19">
        <v>6410624246</v>
      </c>
      <c r="F564" s="19" t="s">
        <v>27</v>
      </c>
      <c r="G564" s="19">
        <v>13</v>
      </c>
      <c r="H564" s="19" t="s">
        <v>33</v>
      </c>
      <c r="I564" s="19" t="s">
        <v>16</v>
      </c>
      <c r="J564" s="19" t="s">
        <v>23</v>
      </c>
      <c r="K564" s="19" t="s">
        <v>30</v>
      </c>
      <c r="L564" s="19" t="s">
        <v>28</v>
      </c>
    </row>
    <row r="565" spans="1:12" ht="15.6">
      <c r="A565" s="19" t="s">
        <v>577</v>
      </c>
      <c r="B565" s="19">
        <v>10</v>
      </c>
      <c r="C565" s="19" t="s">
        <v>13</v>
      </c>
      <c r="D565" s="19">
        <v>122</v>
      </c>
      <c r="E565" s="19">
        <v>9679136080</v>
      </c>
      <c r="F565" s="19" t="s">
        <v>27</v>
      </c>
      <c r="G565" s="19">
        <v>15</v>
      </c>
      <c r="H565" s="19" t="s">
        <v>15</v>
      </c>
      <c r="I565" s="19" t="s">
        <v>16</v>
      </c>
      <c r="J565" s="19" t="s">
        <v>23</v>
      </c>
      <c r="K565" s="19" t="s">
        <v>18</v>
      </c>
      <c r="L565" s="19" t="s">
        <v>28</v>
      </c>
    </row>
    <row r="566" spans="1:12" ht="15.6">
      <c r="A566" s="19" t="s">
        <v>578</v>
      </c>
      <c r="B566" s="19">
        <v>9</v>
      </c>
      <c r="C566" s="19" t="s">
        <v>21</v>
      </c>
      <c r="D566" s="19">
        <v>121</v>
      </c>
      <c r="E566" s="19">
        <v>9020751527</v>
      </c>
      <c r="F566" s="19" t="s">
        <v>14</v>
      </c>
      <c r="G566" s="19">
        <v>14</v>
      </c>
      <c r="H566" s="19" t="s">
        <v>15</v>
      </c>
      <c r="I566" s="19" t="s">
        <v>16</v>
      </c>
      <c r="J566" s="19" t="s">
        <v>17</v>
      </c>
      <c r="K566" s="19" t="s">
        <v>28</v>
      </c>
      <c r="L566" s="19" t="s">
        <v>19</v>
      </c>
    </row>
    <row r="567" spans="1:12" ht="15.6">
      <c r="A567" s="19" t="s">
        <v>579</v>
      </c>
      <c r="B567" s="19">
        <v>10</v>
      </c>
      <c r="C567" s="19" t="s">
        <v>21</v>
      </c>
      <c r="D567" s="19">
        <v>90</v>
      </c>
      <c r="E567" s="19">
        <v>9563029700</v>
      </c>
      <c r="F567" s="19" t="s">
        <v>14</v>
      </c>
      <c r="G567" s="19">
        <v>16</v>
      </c>
      <c r="H567" s="19" t="s">
        <v>15</v>
      </c>
      <c r="I567" s="19" t="s">
        <v>22</v>
      </c>
      <c r="J567" s="19" t="s">
        <v>23</v>
      </c>
      <c r="K567" s="19" t="s">
        <v>30</v>
      </c>
      <c r="L567" s="19" t="s">
        <v>19</v>
      </c>
    </row>
    <row r="568" spans="1:12" ht="15.6">
      <c r="A568" s="19" t="s">
        <v>402</v>
      </c>
      <c r="B568" s="19">
        <v>9</v>
      </c>
      <c r="C568" s="19" t="s">
        <v>37</v>
      </c>
      <c r="D568" s="19">
        <v>23</v>
      </c>
      <c r="E568" s="19">
        <v>8651276154</v>
      </c>
      <c r="F568" s="19" t="s">
        <v>14</v>
      </c>
      <c r="G568" s="19">
        <v>14</v>
      </c>
      <c r="H568" s="19" t="s">
        <v>15</v>
      </c>
      <c r="I568" s="19" t="s">
        <v>22</v>
      </c>
      <c r="J568" s="19" t="s">
        <v>23</v>
      </c>
      <c r="K568" s="19" t="s">
        <v>28</v>
      </c>
      <c r="L568" s="19" t="s">
        <v>28</v>
      </c>
    </row>
    <row r="569" spans="1:12" ht="15.6">
      <c r="A569" s="19" t="s">
        <v>580</v>
      </c>
      <c r="B569" s="19">
        <v>10</v>
      </c>
      <c r="C569" s="19" t="s">
        <v>37</v>
      </c>
      <c r="D569" s="19">
        <v>56</v>
      </c>
      <c r="E569" s="19">
        <v>6608581228</v>
      </c>
      <c r="F569" s="19" t="s">
        <v>14</v>
      </c>
      <c r="G569" s="19">
        <v>15</v>
      </c>
      <c r="H569" s="19" t="s">
        <v>15</v>
      </c>
      <c r="I569" s="19" t="s">
        <v>16</v>
      </c>
      <c r="J569" s="19" t="s">
        <v>17</v>
      </c>
      <c r="K569" s="19" t="s">
        <v>28</v>
      </c>
      <c r="L569" s="19" t="s">
        <v>28</v>
      </c>
    </row>
    <row r="570" spans="1:12" ht="15.6">
      <c r="A570" s="19" t="s">
        <v>581</v>
      </c>
      <c r="B570" s="19">
        <v>6</v>
      </c>
      <c r="C570" s="19" t="s">
        <v>37</v>
      </c>
      <c r="D570" s="19">
        <v>24</v>
      </c>
      <c r="E570" s="19">
        <v>8775535616</v>
      </c>
      <c r="F570" s="19" t="s">
        <v>27</v>
      </c>
      <c r="G570" s="19">
        <v>11</v>
      </c>
      <c r="H570" s="19" t="s">
        <v>15</v>
      </c>
      <c r="I570" s="19" t="s">
        <v>16</v>
      </c>
      <c r="J570" s="19" t="s">
        <v>17</v>
      </c>
      <c r="K570" s="19" t="s">
        <v>49</v>
      </c>
      <c r="L570" s="19" t="s">
        <v>28</v>
      </c>
    </row>
    <row r="571" spans="1:12" ht="15.6">
      <c r="A571" s="19" t="s">
        <v>582</v>
      </c>
      <c r="B571" s="19">
        <v>7</v>
      </c>
      <c r="C571" s="19" t="s">
        <v>13</v>
      </c>
      <c r="D571" s="19">
        <v>168</v>
      </c>
      <c r="E571" s="19">
        <v>6657666454</v>
      </c>
      <c r="F571" s="19" t="s">
        <v>14</v>
      </c>
      <c r="G571" s="19">
        <v>13</v>
      </c>
      <c r="H571" s="19" t="s">
        <v>33</v>
      </c>
      <c r="I571" s="19" t="s">
        <v>16</v>
      </c>
      <c r="J571" s="19" t="s">
        <v>23</v>
      </c>
      <c r="K571" s="19" t="s">
        <v>24</v>
      </c>
      <c r="L571" s="19" t="s">
        <v>28</v>
      </c>
    </row>
    <row r="572" spans="1:12" ht="15.6">
      <c r="A572" s="19" t="s">
        <v>583</v>
      </c>
      <c r="B572" s="19">
        <v>7</v>
      </c>
      <c r="C572" s="19" t="s">
        <v>21</v>
      </c>
      <c r="D572" s="19">
        <v>138</v>
      </c>
      <c r="E572" s="19">
        <v>8458829380</v>
      </c>
      <c r="F572" s="19" t="s">
        <v>27</v>
      </c>
      <c r="G572" s="19">
        <v>12</v>
      </c>
      <c r="H572" s="19" t="s">
        <v>33</v>
      </c>
      <c r="I572" s="19" t="s">
        <v>16</v>
      </c>
      <c r="J572" s="19" t="s">
        <v>17</v>
      </c>
      <c r="K572" s="19" t="s">
        <v>18</v>
      </c>
      <c r="L572" s="19" t="s">
        <v>28</v>
      </c>
    </row>
    <row r="573" spans="1:12" ht="15.6">
      <c r="A573" s="19" t="s">
        <v>584</v>
      </c>
      <c r="B573" s="19">
        <v>7</v>
      </c>
      <c r="C573" s="19" t="s">
        <v>13</v>
      </c>
      <c r="D573" s="19">
        <v>187</v>
      </c>
      <c r="E573" s="19">
        <v>6651347457</v>
      </c>
      <c r="F573" s="19" t="s">
        <v>14</v>
      </c>
      <c r="G573" s="19">
        <v>12</v>
      </c>
      <c r="H573" s="19" t="s">
        <v>15</v>
      </c>
      <c r="I573" s="19" t="s">
        <v>16</v>
      </c>
      <c r="J573" s="19" t="s">
        <v>17</v>
      </c>
      <c r="K573" s="19" t="s">
        <v>24</v>
      </c>
      <c r="L573" s="19" t="s">
        <v>31</v>
      </c>
    </row>
    <row r="574" spans="1:12" ht="15.6">
      <c r="A574" s="19" t="s">
        <v>585</v>
      </c>
      <c r="B574" s="19">
        <v>9</v>
      </c>
      <c r="C574" s="19" t="s">
        <v>21</v>
      </c>
      <c r="D574" s="19">
        <v>188</v>
      </c>
      <c r="E574" s="19">
        <v>9938395138</v>
      </c>
      <c r="F574" s="19" t="s">
        <v>14</v>
      </c>
      <c r="G574" s="19">
        <v>15</v>
      </c>
      <c r="H574" s="19" t="s">
        <v>15</v>
      </c>
      <c r="I574" s="19" t="s">
        <v>16</v>
      </c>
      <c r="J574" s="19" t="s">
        <v>23</v>
      </c>
      <c r="K574" s="19" t="s">
        <v>28</v>
      </c>
      <c r="L574" s="19" t="s">
        <v>19</v>
      </c>
    </row>
    <row r="575" spans="1:12" ht="15.6">
      <c r="A575" s="19" t="s">
        <v>586</v>
      </c>
      <c r="B575" s="19">
        <v>10</v>
      </c>
      <c r="C575" s="19" t="s">
        <v>13</v>
      </c>
      <c r="D575" s="19">
        <v>185</v>
      </c>
      <c r="E575" s="19">
        <v>6263328642</v>
      </c>
      <c r="F575" s="19" t="s">
        <v>27</v>
      </c>
      <c r="G575" s="19">
        <v>15</v>
      </c>
      <c r="H575" s="19" t="s">
        <v>15</v>
      </c>
      <c r="I575" s="19" t="s">
        <v>16</v>
      </c>
      <c r="J575" s="19" t="s">
        <v>23</v>
      </c>
      <c r="K575" s="19" t="s">
        <v>28</v>
      </c>
      <c r="L575" s="19" t="s">
        <v>19</v>
      </c>
    </row>
    <row r="576" spans="1:12" ht="15.6">
      <c r="A576" s="19" t="s">
        <v>382</v>
      </c>
      <c r="B576" s="19">
        <v>9</v>
      </c>
      <c r="C576" s="19" t="s">
        <v>13</v>
      </c>
      <c r="D576" s="19">
        <v>50</v>
      </c>
      <c r="E576" s="19">
        <v>7958947051</v>
      </c>
      <c r="F576" s="19" t="s">
        <v>27</v>
      </c>
      <c r="G576" s="19">
        <v>14</v>
      </c>
      <c r="H576" s="19" t="s">
        <v>15</v>
      </c>
      <c r="I576" s="19" t="s">
        <v>16</v>
      </c>
      <c r="J576" s="19" t="s">
        <v>23</v>
      </c>
      <c r="K576" s="19" t="s">
        <v>28</v>
      </c>
      <c r="L576" s="19" t="s">
        <v>28</v>
      </c>
    </row>
    <row r="577" spans="1:12" ht="15.6">
      <c r="A577" s="19" t="s">
        <v>587</v>
      </c>
      <c r="B577" s="19">
        <v>9</v>
      </c>
      <c r="C577" s="19" t="s">
        <v>26</v>
      </c>
      <c r="D577" s="19">
        <v>61</v>
      </c>
      <c r="E577" s="19">
        <v>8132365840</v>
      </c>
      <c r="F577" s="19" t="s">
        <v>27</v>
      </c>
      <c r="G577" s="19">
        <v>15</v>
      </c>
      <c r="H577" s="19" t="s">
        <v>15</v>
      </c>
      <c r="I577" s="19" t="s">
        <v>22</v>
      </c>
      <c r="J577" s="19" t="s">
        <v>17</v>
      </c>
      <c r="K577" s="19" t="s">
        <v>30</v>
      </c>
      <c r="L577" s="19" t="s">
        <v>28</v>
      </c>
    </row>
    <row r="578" spans="1:12" ht="15.6">
      <c r="A578" s="19" t="s">
        <v>588</v>
      </c>
      <c r="B578" s="19">
        <v>7</v>
      </c>
      <c r="C578" s="19" t="s">
        <v>13</v>
      </c>
      <c r="D578" s="19">
        <v>119</v>
      </c>
      <c r="E578" s="19">
        <v>6099238623</v>
      </c>
      <c r="F578" s="19" t="s">
        <v>14</v>
      </c>
      <c r="G578" s="19">
        <v>13</v>
      </c>
      <c r="H578" s="19" t="s">
        <v>15</v>
      </c>
      <c r="I578" s="19" t="s">
        <v>22</v>
      </c>
      <c r="J578" s="19" t="s">
        <v>17</v>
      </c>
      <c r="K578" s="19" t="s">
        <v>24</v>
      </c>
      <c r="L578" s="19" t="s">
        <v>28</v>
      </c>
    </row>
    <row r="579" spans="1:12" ht="15.6">
      <c r="A579" s="19" t="s">
        <v>589</v>
      </c>
      <c r="B579" s="19">
        <v>9</v>
      </c>
      <c r="C579" s="19" t="s">
        <v>21</v>
      </c>
      <c r="D579" s="19">
        <v>28</v>
      </c>
      <c r="E579" s="19">
        <v>6797588497</v>
      </c>
      <c r="F579" s="19" t="s">
        <v>14</v>
      </c>
      <c r="G579" s="19">
        <v>15</v>
      </c>
      <c r="H579" s="19" t="s">
        <v>33</v>
      </c>
      <c r="I579" s="19" t="s">
        <v>22</v>
      </c>
      <c r="J579" s="19" t="s">
        <v>23</v>
      </c>
      <c r="K579" s="19" t="s">
        <v>24</v>
      </c>
      <c r="L579" s="19" t="s">
        <v>28</v>
      </c>
    </row>
    <row r="580" spans="1:12" ht="15.6">
      <c r="A580" s="19" t="s">
        <v>590</v>
      </c>
      <c r="B580" s="19">
        <v>8</v>
      </c>
      <c r="C580" s="19" t="s">
        <v>37</v>
      </c>
      <c r="D580" s="19">
        <v>88</v>
      </c>
      <c r="E580" s="19">
        <v>6268294566</v>
      </c>
      <c r="F580" s="19" t="s">
        <v>27</v>
      </c>
      <c r="G580" s="19">
        <v>14</v>
      </c>
      <c r="H580" s="19" t="s">
        <v>33</v>
      </c>
      <c r="I580" s="19" t="s">
        <v>22</v>
      </c>
      <c r="J580" s="19" t="s">
        <v>23</v>
      </c>
      <c r="K580" s="19" t="s">
        <v>18</v>
      </c>
      <c r="L580" s="19" t="s">
        <v>28</v>
      </c>
    </row>
    <row r="581" spans="1:12" ht="15.6">
      <c r="A581" s="19" t="s">
        <v>591</v>
      </c>
      <c r="B581" s="19">
        <v>8</v>
      </c>
      <c r="C581" s="19" t="s">
        <v>13</v>
      </c>
      <c r="D581" s="19">
        <v>24</v>
      </c>
      <c r="E581" s="19">
        <v>7733612538</v>
      </c>
      <c r="F581" s="19" t="s">
        <v>27</v>
      </c>
      <c r="G581" s="19">
        <v>14</v>
      </c>
      <c r="H581" s="19" t="s">
        <v>15</v>
      </c>
      <c r="I581" s="19" t="s">
        <v>22</v>
      </c>
      <c r="J581" s="19" t="s">
        <v>23</v>
      </c>
      <c r="K581" s="19" t="s">
        <v>24</v>
      </c>
      <c r="L581" s="19" t="s">
        <v>42</v>
      </c>
    </row>
    <row r="582" spans="1:12" ht="15.6">
      <c r="A582" s="19" t="s">
        <v>592</v>
      </c>
      <c r="B582" s="19">
        <v>10</v>
      </c>
      <c r="C582" s="19" t="s">
        <v>13</v>
      </c>
      <c r="D582" s="19">
        <v>190</v>
      </c>
      <c r="E582" s="19">
        <v>6968748408</v>
      </c>
      <c r="F582" s="19" t="s">
        <v>27</v>
      </c>
      <c r="G582" s="19">
        <v>16</v>
      </c>
      <c r="H582" s="19" t="s">
        <v>33</v>
      </c>
      <c r="I582" s="19" t="s">
        <v>22</v>
      </c>
      <c r="J582" s="19" t="s">
        <v>23</v>
      </c>
      <c r="K582" s="19" t="s">
        <v>28</v>
      </c>
      <c r="L582" s="19" t="s">
        <v>28</v>
      </c>
    </row>
    <row r="583" spans="1:12" ht="15.6">
      <c r="A583" s="19" t="s">
        <v>593</v>
      </c>
      <c r="B583" s="19">
        <v>7</v>
      </c>
      <c r="C583" s="19" t="s">
        <v>37</v>
      </c>
      <c r="D583" s="19">
        <v>17</v>
      </c>
      <c r="E583" s="19">
        <v>9090893615</v>
      </c>
      <c r="F583" s="19" t="s">
        <v>14</v>
      </c>
      <c r="G583" s="19">
        <v>12</v>
      </c>
      <c r="H583" s="19" t="s">
        <v>15</v>
      </c>
      <c r="I583" s="19" t="s">
        <v>16</v>
      </c>
      <c r="J583" s="19" t="s">
        <v>17</v>
      </c>
      <c r="K583" s="19" t="s">
        <v>24</v>
      </c>
      <c r="L583" s="19" t="s">
        <v>28</v>
      </c>
    </row>
    <row r="584" spans="1:12" ht="15.6">
      <c r="A584" s="19" t="s">
        <v>594</v>
      </c>
      <c r="B584" s="19">
        <v>8</v>
      </c>
      <c r="C584" s="19" t="s">
        <v>13</v>
      </c>
      <c r="D584" s="19">
        <v>14</v>
      </c>
      <c r="E584" s="19">
        <v>9628287978</v>
      </c>
      <c r="F584" s="19" t="s">
        <v>14</v>
      </c>
      <c r="G584" s="19">
        <v>13</v>
      </c>
      <c r="H584" s="19" t="s">
        <v>15</v>
      </c>
      <c r="I584" s="19" t="s">
        <v>22</v>
      </c>
      <c r="J584" s="19" t="s">
        <v>17</v>
      </c>
      <c r="K584" s="19" t="s">
        <v>30</v>
      </c>
      <c r="L584" s="19" t="s">
        <v>28</v>
      </c>
    </row>
    <row r="585" spans="1:12" ht="15.6">
      <c r="A585" s="19" t="s">
        <v>595</v>
      </c>
      <c r="B585" s="19">
        <v>9</v>
      </c>
      <c r="C585" s="19" t="s">
        <v>13</v>
      </c>
      <c r="D585" s="19">
        <v>78</v>
      </c>
      <c r="E585" s="19">
        <v>8840223110</v>
      </c>
      <c r="F585" s="19" t="s">
        <v>14</v>
      </c>
      <c r="G585" s="19">
        <v>14</v>
      </c>
      <c r="H585" s="19" t="s">
        <v>15</v>
      </c>
      <c r="I585" s="19" t="s">
        <v>16</v>
      </c>
      <c r="J585" s="19" t="s">
        <v>17</v>
      </c>
      <c r="K585" s="19" t="s">
        <v>49</v>
      </c>
      <c r="L585" s="19" t="s">
        <v>31</v>
      </c>
    </row>
    <row r="586" spans="1:12" ht="15.6">
      <c r="A586" s="19" t="s">
        <v>596</v>
      </c>
      <c r="B586" s="19">
        <v>7</v>
      </c>
      <c r="C586" s="19" t="s">
        <v>37</v>
      </c>
      <c r="D586" s="19">
        <v>49</v>
      </c>
      <c r="E586" s="19">
        <v>7883127984</v>
      </c>
      <c r="F586" s="19" t="s">
        <v>27</v>
      </c>
      <c r="G586" s="19">
        <v>12</v>
      </c>
      <c r="H586" s="19" t="s">
        <v>15</v>
      </c>
      <c r="I586" s="19" t="s">
        <v>16</v>
      </c>
      <c r="J586" s="19" t="s">
        <v>17</v>
      </c>
      <c r="K586" s="19" t="s">
        <v>24</v>
      </c>
      <c r="L586" s="19" t="s">
        <v>42</v>
      </c>
    </row>
    <row r="587" spans="1:12" ht="15.6">
      <c r="A587" s="19" t="s">
        <v>597</v>
      </c>
      <c r="B587" s="19">
        <v>10</v>
      </c>
      <c r="C587" s="19" t="s">
        <v>13</v>
      </c>
      <c r="D587" s="19">
        <v>199</v>
      </c>
      <c r="E587" s="19">
        <v>6022585806</v>
      </c>
      <c r="F587" s="19" t="s">
        <v>27</v>
      </c>
      <c r="G587" s="19">
        <v>15</v>
      </c>
      <c r="H587" s="19" t="s">
        <v>33</v>
      </c>
      <c r="I587" s="19" t="s">
        <v>16</v>
      </c>
      <c r="J587" s="19" t="s">
        <v>17</v>
      </c>
      <c r="K587" s="19" t="s">
        <v>28</v>
      </c>
      <c r="L587" s="19" t="s">
        <v>28</v>
      </c>
    </row>
    <row r="588" spans="1:12" ht="15.6">
      <c r="A588" s="19" t="s">
        <v>452</v>
      </c>
      <c r="B588" s="19">
        <v>9</v>
      </c>
      <c r="C588" s="19" t="s">
        <v>26</v>
      </c>
      <c r="D588" s="19">
        <v>139</v>
      </c>
      <c r="E588" s="19">
        <v>8909576696</v>
      </c>
      <c r="F588" s="19" t="s">
        <v>14</v>
      </c>
      <c r="G588" s="19">
        <v>15</v>
      </c>
      <c r="H588" s="19" t="s">
        <v>33</v>
      </c>
      <c r="I588" s="19" t="s">
        <v>16</v>
      </c>
      <c r="J588" s="19" t="s">
        <v>17</v>
      </c>
      <c r="K588" s="19" t="s">
        <v>30</v>
      </c>
      <c r="L588" s="19" t="s">
        <v>19</v>
      </c>
    </row>
    <row r="589" spans="1:12" ht="15.6">
      <c r="A589" s="19" t="s">
        <v>598</v>
      </c>
      <c r="B589" s="19">
        <v>10</v>
      </c>
      <c r="C589" s="19" t="s">
        <v>21</v>
      </c>
      <c r="D589" s="19">
        <v>133</v>
      </c>
      <c r="E589" s="19">
        <v>8026028314</v>
      </c>
      <c r="F589" s="19" t="s">
        <v>27</v>
      </c>
      <c r="G589" s="19">
        <v>16</v>
      </c>
      <c r="H589" s="19" t="s">
        <v>15</v>
      </c>
      <c r="I589" s="19" t="s">
        <v>16</v>
      </c>
      <c r="J589" s="19" t="s">
        <v>17</v>
      </c>
      <c r="K589" s="19" t="s">
        <v>30</v>
      </c>
      <c r="L589" s="19" t="s">
        <v>28</v>
      </c>
    </row>
    <row r="590" spans="1:12" ht="15.6">
      <c r="A590" s="19" t="s">
        <v>599</v>
      </c>
      <c r="B590" s="19">
        <v>9</v>
      </c>
      <c r="C590" s="19" t="s">
        <v>26</v>
      </c>
      <c r="D590" s="19">
        <v>131</v>
      </c>
      <c r="E590" s="19">
        <v>9398040199</v>
      </c>
      <c r="F590" s="19" t="s">
        <v>14</v>
      </c>
      <c r="G590" s="19">
        <v>14</v>
      </c>
      <c r="H590" s="19" t="s">
        <v>15</v>
      </c>
      <c r="I590" s="19" t="s">
        <v>16</v>
      </c>
      <c r="J590" s="19" t="s">
        <v>17</v>
      </c>
      <c r="K590" s="19" t="s">
        <v>28</v>
      </c>
      <c r="L590" s="19" t="s">
        <v>19</v>
      </c>
    </row>
    <row r="591" spans="1:12" ht="15.6">
      <c r="A591" s="19" t="s">
        <v>600</v>
      </c>
      <c r="B591" s="19">
        <v>8</v>
      </c>
      <c r="C591" s="19" t="s">
        <v>26</v>
      </c>
      <c r="D591" s="19">
        <v>181</v>
      </c>
      <c r="E591" s="19">
        <v>7938194915</v>
      </c>
      <c r="F591" s="19" t="s">
        <v>14</v>
      </c>
      <c r="G591" s="19">
        <v>14</v>
      </c>
      <c r="H591" s="19" t="s">
        <v>15</v>
      </c>
      <c r="I591" s="19" t="s">
        <v>16</v>
      </c>
      <c r="J591" s="19" t="s">
        <v>17</v>
      </c>
      <c r="K591" s="19" t="s">
        <v>18</v>
      </c>
      <c r="L591" s="19" t="s">
        <v>28</v>
      </c>
    </row>
    <row r="592" spans="1:12" ht="15.6">
      <c r="A592" s="19" t="s">
        <v>601</v>
      </c>
      <c r="B592" s="19">
        <v>7</v>
      </c>
      <c r="C592" s="19" t="s">
        <v>26</v>
      </c>
      <c r="D592" s="19">
        <v>35</v>
      </c>
      <c r="E592" s="19">
        <v>7111820806</v>
      </c>
      <c r="F592" s="19" t="s">
        <v>27</v>
      </c>
      <c r="G592" s="19">
        <v>12</v>
      </c>
      <c r="H592" s="19" t="s">
        <v>15</v>
      </c>
      <c r="I592" s="19" t="s">
        <v>16</v>
      </c>
      <c r="J592" s="19" t="s">
        <v>17</v>
      </c>
      <c r="K592" s="19" t="s">
        <v>28</v>
      </c>
      <c r="L592" s="19" t="s">
        <v>42</v>
      </c>
    </row>
    <row r="593" spans="1:12" ht="15.6">
      <c r="A593" s="19" t="s">
        <v>602</v>
      </c>
      <c r="B593" s="19">
        <v>7</v>
      </c>
      <c r="C593" s="19" t="s">
        <v>21</v>
      </c>
      <c r="D593" s="19">
        <v>20</v>
      </c>
      <c r="E593" s="19">
        <v>7316833894</v>
      </c>
      <c r="F593" s="19" t="s">
        <v>27</v>
      </c>
      <c r="G593" s="19">
        <v>13</v>
      </c>
      <c r="H593" s="19" t="s">
        <v>33</v>
      </c>
      <c r="I593" s="19" t="s">
        <v>16</v>
      </c>
      <c r="J593" s="19" t="s">
        <v>23</v>
      </c>
      <c r="K593" s="19" t="s">
        <v>18</v>
      </c>
      <c r="L593" s="19" t="s">
        <v>28</v>
      </c>
    </row>
    <row r="594" spans="1:12" ht="15.6">
      <c r="A594" s="19" t="s">
        <v>603</v>
      </c>
      <c r="B594" s="19">
        <v>6</v>
      </c>
      <c r="C594" s="19" t="s">
        <v>13</v>
      </c>
      <c r="D594" s="19">
        <v>175</v>
      </c>
      <c r="E594" s="19">
        <v>6906542637</v>
      </c>
      <c r="F594" s="19" t="s">
        <v>14</v>
      </c>
      <c r="G594" s="19">
        <v>11</v>
      </c>
      <c r="H594" s="19" t="s">
        <v>15</v>
      </c>
      <c r="I594" s="19" t="s">
        <v>16</v>
      </c>
      <c r="J594" s="19" t="s">
        <v>23</v>
      </c>
      <c r="K594" s="19" t="s">
        <v>28</v>
      </c>
      <c r="L594" s="19" t="s">
        <v>42</v>
      </c>
    </row>
    <row r="595" spans="1:12" ht="15.6">
      <c r="A595" s="19" t="s">
        <v>604</v>
      </c>
      <c r="B595" s="19">
        <v>9</v>
      </c>
      <c r="C595" s="19" t="s">
        <v>26</v>
      </c>
      <c r="D595" s="19">
        <v>53</v>
      </c>
      <c r="E595" s="19">
        <v>9413790526</v>
      </c>
      <c r="F595" s="19" t="s">
        <v>27</v>
      </c>
      <c r="G595" s="19">
        <v>14</v>
      </c>
      <c r="H595" s="19" t="s">
        <v>33</v>
      </c>
      <c r="I595" s="19" t="s">
        <v>16</v>
      </c>
      <c r="J595" s="19" t="s">
        <v>23</v>
      </c>
      <c r="K595" s="19" t="s">
        <v>49</v>
      </c>
      <c r="L595" s="19" t="s">
        <v>31</v>
      </c>
    </row>
    <row r="596" spans="1:12" ht="15.6">
      <c r="A596" s="19" t="s">
        <v>463</v>
      </c>
      <c r="B596" s="19">
        <v>7</v>
      </c>
      <c r="C596" s="19" t="s">
        <v>13</v>
      </c>
      <c r="D596" s="19">
        <v>18</v>
      </c>
      <c r="E596" s="19">
        <v>7871376513</v>
      </c>
      <c r="F596" s="19" t="s">
        <v>14</v>
      </c>
      <c r="G596" s="19">
        <v>12</v>
      </c>
      <c r="H596" s="19" t="s">
        <v>15</v>
      </c>
      <c r="I596" s="19" t="s">
        <v>22</v>
      </c>
      <c r="J596" s="19" t="s">
        <v>23</v>
      </c>
      <c r="K596" s="19" t="s">
        <v>49</v>
      </c>
      <c r="L596" s="19" t="s">
        <v>19</v>
      </c>
    </row>
    <row r="597" spans="1:12" ht="15.6">
      <c r="A597" s="19" t="s">
        <v>605</v>
      </c>
      <c r="B597" s="19">
        <v>7</v>
      </c>
      <c r="C597" s="19" t="s">
        <v>21</v>
      </c>
      <c r="D597" s="19">
        <v>194</v>
      </c>
      <c r="E597" s="19">
        <v>7027301352</v>
      </c>
      <c r="F597" s="19" t="s">
        <v>27</v>
      </c>
      <c r="G597" s="19">
        <v>13</v>
      </c>
      <c r="H597" s="19" t="s">
        <v>15</v>
      </c>
      <c r="I597" s="19" t="s">
        <v>16</v>
      </c>
      <c r="J597" s="19" t="s">
        <v>23</v>
      </c>
      <c r="K597" s="19" t="s">
        <v>24</v>
      </c>
      <c r="L597" s="19" t="s">
        <v>31</v>
      </c>
    </row>
    <row r="598" spans="1:12" ht="15.6">
      <c r="A598" s="19" t="s">
        <v>606</v>
      </c>
      <c r="B598" s="19">
        <v>10</v>
      </c>
      <c r="C598" s="19" t="s">
        <v>37</v>
      </c>
      <c r="D598" s="19">
        <v>104</v>
      </c>
      <c r="E598" s="19">
        <v>9813017483</v>
      </c>
      <c r="F598" s="19" t="s">
        <v>14</v>
      </c>
      <c r="G598" s="19">
        <v>16</v>
      </c>
      <c r="H598" s="19" t="s">
        <v>33</v>
      </c>
      <c r="I598" s="19" t="s">
        <v>22</v>
      </c>
      <c r="J598" s="19" t="s">
        <v>17</v>
      </c>
      <c r="K598" s="19" t="s">
        <v>28</v>
      </c>
      <c r="L598" s="19" t="s">
        <v>19</v>
      </c>
    </row>
    <row r="599" spans="1:12" ht="15.6">
      <c r="A599" s="19" t="s">
        <v>607</v>
      </c>
      <c r="B599" s="19">
        <v>9</v>
      </c>
      <c r="C599" s="19" t="s">
        <v>37</v>
      </c>
      <c r="D599" s="19">
        <v>127</v>
      </c>
      <c r="E599" s="19">
        <v>8324003083</v>
      </c>
      <c r="F599" s="19" t="s">
        <v>14</v>
      </c>
      <c r="G599" s="19">
        <v>15</v>
      </c>
      <c r="H599" s="19" t="s">
        <v>33</v>
      </c>
      <c r="I599" s="19" t="s">
        <v>16</v>
      </c>
      <c r="J599" s="19" t="s">
        <v>23</v>
      </c>
      <c r="K599" s="19" t="s">
        <v>49</v>
      </c>
      <c r="L599" s="19" t="s">
        <v>28</v>
      </c>
    </row>
    <row r="600" spans="1:12" ht="15.6">
      <c r="A600" s="19" t="s">
        <v>608</v>
      </c>
      <c r="B600" s="19">
        <v>7</v>
      </c>
      <c r="C600" s="19" t="s">
        <v>13</v>
      </c>
      <c r="D600" s="19">
        <v>190</v>
      </c>
      <c r="E600" s="19">
        <v>9700118206</v>
      </c>
      <c r="F600" s="19" t="s">
        <v>27</v>
      </c>
      <c r="G600" s="19">
        <v>13</v>
      </c>
      <c r="H600" s="19" t="s">
        <v>15</v>
      </c>
      <c r="I600" s="19" t="s">
        <v>16</v>
      </c>
      <c r="J600" s="19" t="s">
        <v>17</v>
      </c>
      <c r="K600" s="19" t="s">
        <v>24</v>
      </c>
      <c r="L600" s="19" t="s">
        <v>31</v>
      </c>
    </row>
    <row r="601" spans="1:12" ht="15.6">
      <c r="A601" s="19" t="s">
        <v>152</v>
      </c>
      <c r="B601" s="19">
        <v>9</v>
      </c>
      <c r="C601" s="19" t="s">
        <v>26</v>
      </c>
      <c r="D601" s="19">
        <v>95</v>
      </c>
      <c r="E601" s="19">
        <v>8479317163</v>
      </c>
      <c r="F601" s="19" t="s">
        <v>14</v>
      </c>
      <c r="G601" s="19">
        <v>15</v>
      </c>
      <c r="H601" s="19" t="s">
        <v>15</v>
      </c>
      <c r="I601" s="19" t="s">
        <v>16</v>
      </c>
      <c r="J601" s="19" t="s">
        <v>17</v>
      </c>
      <c r="K601" s="19" t="s">
        <v>28</v>
      </c>
      <c r="L601" s="19"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03312-3027-4893-986B-B5447BB76E8C}">
  <dimension ref="B1:L25"/>
  <sheetViews>
    <sheetView topLeftCell="A2" workbookViewId="0">
      <selection activeCell="G23" sqref="G23"/>
    </sheetView>
  </sheetViews>
  <sheetFormatPr defaultRowHeight="14.4"/>
  <cols>
    <col min="2" max="2" width="2.88671875" customWidth="1"/>
  </cols>
  <sheetData>
    <row r="1" spans="2:12" ht="18" customHeight="1">
      <c r="B1" s="21" t="s">
        <v>663</v>
      </c>
      <c r="C1" s="21"/>
      <c r="D1" s="21"/>
      <c r="E1" s="21"/>
      <c r="F1" s="21"/>
      <c r="G1" s="21"/>
      <c r="H1" s="21"/>
      <c r="I1" s="21"/>
    </row>
    <row r="2" spans="2:12">
      <c r="B2" s="25">
        <v>1</v>
      </c>
      <c r="C2" s="25" t="s">
        <v>616</v>
      </c>
      <c r="D2" s="25"/>
      <c r="E2" s="25"/>
      <c r="F2" s="25"/>
      <c r="G2" s="25"/>
      <c r="H2" s="15"/>
      <c r="I2" s="15"/>
      <c r="J2" s="15"/>
      <c r="K2" s="6" t="s">
        <v>1</v>
      </c>
      <c r="L2" s="6" t="s">
        <v>613</v>
      </c>
    </row>
    <row r="3" spans="2:12">
      <c r="B3" s="28">
        <v>2</v>
      </c>
      <c r="C3" s="28" t="s">
        <v>617</v>
      </c>
      <c r="D3" s="28"/>
      <c r="E3" s="28"/>
      <c r="F3" s="28"/>
      <c r="G3" s="28"/>
      <c r="H3" s="28"/>
      <c r="I3" s="15"/>
      <c r="J3" s="15"/>
      <c r="K3" s="17">
        <v>6</v>
      </c>
      <c r="L3" s="17">
        <v>50</v>
      </c>
    </row>
    <row r="4" spans="2:12">
      <c r="B4" s="32">
        <v>3</v>
      </c>
      <c r="C4" s="32" t="s">
        <v>618</v>
      </c>
      <c r="D4" s="32"/>
      <c r="E4" s="32"/>
      <c r="F4" s="32"/>
      <c r="G4" s="32"/>
      <c r="H4" s="32"/>
      <c r="I4" s="15"/>
      <c r="J4" s="15"/>
      <c r="K4" s="17">
        <v>7</v>
      </c>
      <c r="L4" s="17">
        <v>60</v>
      </c>
    </row>
    <row r="5" spans="2:12">
      <c r="B5" s="33">
        <v>4</v>
      </c>
      <c r="C5" s="33" t="s">
        <v>634</v>
      </c>
      <c r="D5" s="33"/>
      <c r="E5" s="33"/>
      <c r="F5" s="15"/>
      <c r="G5" s="15"/>
      <c r="H5" s="15"/>
      <c r="I5" s="15"/>
      <c r="J5" s="15"/>
      <c r="K5" s="17">
        <v>8</v>
      </c>
      <c r="L5" s="17">
        <v>70</v>
      </c>
    </row>
    <row r="6" spans="2:12">
      <c r="B6" s="35">
        <v>5</v>
      </c>
      <c r="C6" s="34" t="s">
        <v>666</v>
      </c>
      <c r="D6" s="35"/>
      <c r="E6" s="35"/>
      <c r="F6" s="15"/>
      <c r="G6" s="15"/>
      <c r="H6" s="15"/>
      <c r="I6" s="15"/>
      <c r="J6" s="15"/>
      <c r="K6" s="17">
        <v>9</v>
      </c>
      <c r="L6" s="17">
        <v>80</v>
      </c>
    </row>
    <row r="7" spans="2:12">
      <c r="B7" s="42">
        <v>6</v>
      </c>
      <c r="C7" s="42" t="s">
        <v>636</v>
      </c>
      <c r="D7" s="42"/>
      <c r="E7" s="42"/>
      <c r="F7" s="42"/>
      <c r="G7" s="42"/>
      <c r="H7" s="42"/>
      <c r="I7" s="15"/>
      <c r="J7" s="15"/>
      <c r="K7" s="17">
        <v>10</v>
      </c>
      <c r="L7" s="17">
        <v>90</v>
      </c>
    </row>
    <row r="8" spans="2:12">
      <c r="B8" s="43">
        <v>7</v>
      </c>
      <c r="C8" s="43" t="s">
        <v>619</v>
      </c>
      <c r="D8" s="43"/>
      <c r="E8" s="43"/>
      <c r="F8" s="43"/>
      <c r="G8" s="43"/>
      <c r="H8" s="15"/>
      <c r="I8" s="15"/>
      <c r="J8" s="15"/>
    </row>
    <row r="9" spans="2:12">
      <c r="B9" s="29">
        <v>8</v>
      </c>
      <c r="C9" s="29" t="s">
        <v>620</v>
      </c>
      <c r="D9" s="29"/>
      <c r="E9" s="29"/>
      <c r="F9" s="15"/>
      <c r="G9" s="15"/>
      <c r="H9" s="15"/>
      <c r="I9" s="15"/>
      <c r="J9" s="15"/>
    </row>
    <row r="10" spans="2:12">
      <c r="B10" s="44">
        <v>9</v>
      </c>
      <c r="C10" s="44" t="s">
        <v>643</v>
      </c>
      <c r="D10" s="44"/>
      <c r="E10" s="44"/>
      <c r="F10" s="44"/>
      <c r="G10" s="44"/>
      <c r="H10" s="15"/>
      <c r="I10" s="15"/>
      <c r="J10" s="15"/>
    </row>
    <row r="11" spans="2:12">
      <c r="B11" s="49">
        <v>10</v>
      </c>
      <c r="C11" s="49" t="s">
        <v>621</v>
      </c>
      <c r="D11" s="49"/>
      <c r="E11" s="49"/>
      <c r="F11" s="49"/>
      <c r="G11" s="49"/>
      <c r="H11" s="49"/>
      <c r="I11" s="15"/>
      <c r="J11" s="15"/>
    </row>
    <row r="12" spans="2:12">
      <c r="B12" s="51">
        <v>11</v>
      </c>
      <c r="C12" s="51" t="s">
        <v>644</v>
      </c>
      <c r="D12" s="51"/>
      <c r="E12" s="51"/>
      <c r="F12" s="51"/>
      <c r="G12" s="51"/>
      <c r="H12" s="15"/>
      <c r="I12" s="15"/>
      <c r="J12" s="15"/>
    </row>
    <row r="13" spans="2:12">
      <c r="B13" s="15">
        <v>12</v>
      </c>
      <c r="C13" s="15" t="s">
        <v>622</v>
      </c>
      <c r="D13" s="15"/>
      <c r="E13" s="15"/>
      <c r="F13" s="15"/>
      <c r="G13" s="15"/>
      <c r="H13" s="15"/>
      <c r="I13" s="15"/>
      <c r="J13" s="15"/>
    </row>
    <row r="14" spans="2:12">
      <c r="B14" s="15"/>
      <c r="C14" s="16" t="s">
        <v>623</v>
      </c>
      <c r="D14" s="15"/>
      <c r="E14" s="15"/>
      <c r="F14" s="15"/>
      <c r="G14" s="15"/>
      <c r="H14" s="15"/>
      <c r="I14" s="15"/>
      <c r="J14" s="15"/>
    </row>
    <row r="15" spans="2:12">
      <c r="B15" s="15"/>
      <c r="C15" s="53" t="s">
        <v>624</v>
      </c>
      <c r="D15" s="54"/>
      <c r="E15" s="54"/>
      <c r="F15" s="15"/>
      <c r="G15" s="15"/>
      <c r="H15" s="15"/>
      <c r="I15" s="15"/>
      <c r="J15" s="32"/>
    </row>
    <row r="16" spans="2:12">
      <c r="B16" s="15">
        <v>13</v>
      </c>
      <c r="C16" s="15" t="s">
        <v>625</v>
      </c>
      <c r="D16" s="15"/>
      <c r="E16" s="15"/>
      <c r="F16" s="15"/>
      <c r="G16" s="15"/>
      <c r="H16" s="15"/>
      <c r="I16" s="15"/>
      <c r="J16" s="15"/>
    </row>
    <row r="17" spans="2:10">
      <c r="B17" s="24">
        <v>14</v>
      </c>
      <c r="C17" s="24" t="s">
        <v>626</v>
      </c>
      <c r="D17" s="24"/>
      <c r="E17" s="24"/>
      <c r="F17" s="24"/>
      <c r="G17" s="15"/>
      <c r="H17" s="15"/>
      <c r="I17" s="15"/>
      <c r="J17" s="15"/>
    </row>
    <row r="18" spans="2:10">
      <c r="B18" s="15">
        <v>15</v>
      </c>
      <c r="C18" s="15" t="s">
        <v>653</v>
      </c>
      <c r="D18" s="15"/>
      <c r="E18" s="15"/>
      <c r="F18" s="15"/>
      <c r="G18" s="15"/>
      <c r="H18" s="15"/>
      <c r="I18" s="15"/>
      <c r="J18" s="15"/>
    </row>
    <row r="19" spans="2:10">
      <c r="B19" s="15">
        <v>16</v>
      </c>
      <c r="C19" s="15" t="s">
        <v>652</v>
      </c>
      <c r="D19" s="15"/>
      <c r="E19" s="15"/>
      <c r="F19" s="15"/>
      <c r="G19" s="15"/>
      <c r="H19" s="15"/>
      <c r="I19" s="15"/>
      <c r="J19" s="15"/>
    </row>
    <row r="20" spans="2:10">
      <c r="B20" s="15">
        <v>17</v>
      </c>
      <c r="C20" s="15" t="s">
        <v>627</v>
      </c>
      <c r="D20" s="15"/>
      <c r="E20" s="15"/>
      <c r="F20" s="15"/>
      <c r="G20" s="15"/>
      <c r="H20" s="15"/>
      <c r="I20" s="15"/>
      <c r="J20" s="15"/>
    </row>
    <row r="21" spans="2:10">
      <c r="B21" s="15"/>
      <c r="C21" s="16" t="s">
        <v>628</v>
      </c>
      <c r="D21" s="15"/>
      <c r="E21" s="15"/>
      <c r="F21" s="15"/>
      <c r="G21" s="15"/>
      <c r="H21" s="15"/>
      <c r="I21" s="15"/>
      <c r="J21" s="15"/>
    </row>
    <row r="22" spans="2:10">
      <c r="B22" s="15"/>
      <c r="C22" s="16" t="s">
        <v>629</v>
      </c>
      <c r="D22" s="15"/>
      <c r="E22" s="15"/>
      <c r="F22" s="15"/>
      <c r="G22" s="15"/>
      <c r="H22" s="15"/>
      <c r="I22" s="15"/>
      <c r="J22" s="15"/>
    </row>
    <row r="23" spans="2:10">
      <c r="B23" s="15"/>
      <c r="C23" s="16" t="s">
        <v>630</v>
      </c>
      <c r="D23" s="15"/>
      <c r="E23" s="15"/>
      <c r="F23" s="15"/>
      <c r="G23" s="15"/>
      <c r="H23" s="15"/>
      <c r="I23" s="15"/>
      <c r="J23" s="15"/>
    </row>
    <row r="24" spans="2:10">
      <c r="B24" s="15"/>
      <c r="C24" s="16" t="s">
        <v>631</v>
      </c>
      <c r="D24" s="15"/>
      <c r="E24" s="15"/>
      <c r="F24" s="15"/>
      <c r="G24" s="15"/>
      <c r="H24" s="15"/>
      <c r="I24" s="15"/>
      <c r="J24" s="15"/>
    </row>
    <row r="25" spans="2:10">
      <c r="B25" s="15">
        <v>18</v>
      </c>
      <c r="C25" s="15" t="s">
        <v>632</v>
      </c>
      <c r="D25" s="15"/>
      <c r="E25" s="15"/>
      <c r="F25" s="15"/>
      <c r="G25" s="15"/>
      <c r="H25" s="15"/>
      <c r="I25" s="15"/>
      <c r="J25" s="15"/>
    </row>
  </sheetData>
  <mergeCells count="1">
    <mergeCell ref="B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F7916-FB84-4ACE-8473-4894BB193880}">
  <dimension ref="A1:AA602"/>
  <sheetViews>
    <sheetView tabSelected="1" topLeftCell="K1" zoomScale="90" zoomScaleNormal="90" workbookViewId="0">
      <selection activeCell="O26" sqref="O26"/>
    </sheetView>
  </sheetViews>
  <sheetFormatPr defaultRowHeight="14.4"/>
  <cols>
    <col min="1" max="1" width="18.109375" bestFit="1" customWidth="1"/>
    <col min="2" max="2" width="10.5546875" bestFit="1" customWidth="1"/>
    <col min="3" max="3" width="12.44140625" bestFit="1" customWidth="1"/>
    <col min="4" max="4" width="16.6640625" bestFit="1" customWidth="1"/>
    <col min="5" max="5" width="12.44140625" bestFit="1" customWidth="1"/>
    <col min="6" max="6" width="9.109375" bestFit="1" customWidth="1"/>
    <col min="7" max="7" width="15.21875" bestFit="1" customWidth="1"/>
    <col min="8" max="8" width="24.21875" bestFit="1" customWidth="1"/>
    <col min="9" max="9" width="20.77734375" bestFit="1" customWidth="1"/>
    <col min="10" max="10" width="31.5546875" bestFit="1" customWidth="1"/>
    <col min="11" max="11" width="30.21875" bestFit="1" customWidth="1"/>
    <col min="12" max="12" width="11.33203125" bestFit="1" customWidth="1"/>
    <col min="13" max="13" width="16.33203125" bestFit="1" customWidth="1"/>
    <col min="14" max="14" width="17.88671875" bestFit="1" customWidth="1"/>
    <col min="15" max="15" width="13.21875" bestFit="1" customWidth="1"/>
    <col min="16" max="16" width="14.88671875" bestFit="1" customWidth="1"/>
    <col min="18" max="18" width="15.77734375" customWidth="1"/>
    <col min="19" max="19" width="12.5546875" customWidth="1"/>
    <col min="21" max="21" width="3.77734375" customWidth="1"/>
    <col min="23" max="23" width="13.21875" bestFit="1" customWidth="1"/>
    <col min="26" max="26" width="15.33203125" customWidth="1"/>
    <col min="27" max="27" width="18.109375" customWidth="1"/>
  </cols>
  <sheetData>
    <row r="1" spans="1:27" ht="22.8">
      <c r="A1" s="23" t="s">
        <v>664</v>
      </c>
      <c r="B1" s="23"/>
      <c r="C1" s="23"/>
      <c r="D1" s="23"/>
      <c r="E1" s="23"/>
      <c r="F1" s="23"/>
      <c r="G1" s="23"/>
      <c r="H1" s="23"/>
      <c r="I1" s="23"/>
      <c r="J1" s="23"/>
      <c r="K1" s="23"/>
      <c r="L1" s="23"/>
      <c r="M1" s="23"/>
      <c r="N1" s="23"/>
    </row>
    <row r="2" spans="1:27" s="11" customFormat="1">
      <c r="A2" s="10" t="s">
        <v>0</v>
      </c>
      <c r="B2" s="10" t="s">
        <v>1</v>
      </c>
      <c r="C2" s="10" t="s">
        <v>2</v>
      </c>
      <c r="D2" s="10" t="s">
        <v>3</v>
      </c>
      <c r="E2" s="10" t="s">
        <v>5</v>
      </c>
      <c r="F2" s="10" t="s">
        <v>6</v>
      </c>
      <c r="G2" s="26" t="s">
        <v>7</v>
      </c>
      <c r="H2" s="10" t="s">
        <v>8</v>
      </c>
      <c r="I2" s="10" t="s">
        <v>9</v>
      </c>
      <c r="J2" s="10" t="s">
        <v>10</v>
      </c>
      <c r="K2" s="10" t="s">
        <v>11</v>
      </c>
      <c r="L2" s="27" t="s">
        <v>633</v>
      </c>
      <c r="M2" s="52" t="s">
        <v>615</v>
      </c>
      <c r="N2" s="50" t="s">
        <v>614</v>
      </c>
      <c r="P2" s="32" t="s">
        <v>638</v>
      </c>
      <c r="Q2" s="32"/>
      <c r="R2" s="32"/>
      <c r="S2" s="31">
        <f>COUNTIF(Dataset!$H$2:$H$601,"Due")</f>
        <v>261</v>
      </c>
    </row>
    <row r="3" spans="1:27">
      <c r="A3" s="8" t="s">
        <v>55</v>
      </c>
      <c r="B3" s="8">
        <v>6</v>
      </c>
      <c r="C3" s="8" t="s">
        <v>13</v>
      </c>
      <c r="D3" s="8">
        <v>7</v>
      </c>
      <c r="E3" s="8" t="s">
        <v>27</v>
      </c>
      <c r="F3" s="8">
        <v>12</v>
      </c>
      <c r="G3" s="8" t="s">
        <v>33</v>
      </c>
      <c r="H3" s="8" t="s">
        <v>22</v>
      </c>
      <c r="I3" s="8" t="s">
        <v>17</v>
      </c>
      <c r="J3" s="8" t="s">
        <v>30</v>
      </c>
      <c r="K3" s="8" t="s">
        <v>28</v>
      </c>
      <c r="L3" s="8" t="str">
        <f t="shared" ref="L3:L66" si="0">IF(B3&lt;=7,"Junior","Senior")</f>
        <v>Junior</v>
      </c>
      <c r="M3" s="8" t="str">
        <f>IF(G3="Paid","OK","Pending")</f>
        <v>Pending</v>
      </c>
      <c r="N3" s="9">
        <f>VLOOKUP(B3,Questions!$K$2:$L$7,2,FALSE)</f>
        <v>50</v>
      </c>
      <c r="W3" s="22" t="s">
        <v>656</v>
      </c>
      <c r="X3" s="22"/>
    </row>
    <row r="4" spans="1:27">
      <c r="A4" s="8" t="s">
        <v>149</v>
      </c>
      <c r="B4" s="8">
        <v>6</v>
      </c>
      <c r="C4" s="8" t="s">
        <v>13</v>
      </c>
      <c r="D4" s="8">
        <v>14</v>
      </c>
      <c r="E4" s="8" t="s">
        <v>27</v>
      </c>
      <c r="F4" s="8">
        <v>11</v>
      </c>
      <c r="G4" s="8" t="s">
        <v>33</v>
      </c>
      <c r="H4" s="8" t="s">
        <v>16</v>
      </c>
      <c r="I4" s="8" t="s">
        <v>17</v>
      </c>
      <c r="J4" s="8" t="s">
        <v>28</v>
      </c>
      <c r="K4" s="8" t="s">
        <v>42</v>
      </c>
      <c r="L4" s="8" t="str">
        <f t="shared" si="0"/>
        <v>Junior</v>
      </c>
      <c r="M4" s="8" t="str">
        <f t="shared" ref="M4:M67" si="1">IF(G4="Paid","OK","Pending")</f>
        <v>Pending</v>
      </c>
      <c r="N4" s="9">
        <f>VLOOKUP(B4,Questions!$K$2:$L$7,2,FALSE)</f>
        <v>50</v>
      </c>
      <c r="P4" s="30" t="s">
        <v>637</v>
      </c>
      <c r="Q4" s="30"/>
      <c r="R4" s="30"/>
      <c r="W4" s="5" t="s">
        <v>628</v>
      </c>
      <c r="X4" s="5">
        <f>COUNTA(A3:A602)</f>
        <v>600</v>
      </c>
    </row>
    <row r="5" spans="1:27">
      <c r="A5" s="8" t="s">
        <v>96</v>
      </c>
      <c r="B5" s="8">
        <v>6</v>
      </c>
      <c r="C5" s="8" t="s">
        <v>13</v>
      </c>
      <c r="D5" s="8">
        <v>25</v>
      </c>
      <c r="E5" s="8" t="s">
        <v>27</v>
      </c>
      <c r="F5" s="8">
        <v>12</v>
      </c>
      <c r="G5" s="8" t="s">
        <v>15</v>
      </c>
      <c r="H5" s="8" t="s">
        <v>16</v>
      </c>
      <c r="I5" s="8" t="s">
        <v>17</v>
      </c>
      <c r="J5" s="8" t="s">
        <v>28</v>
      </c>
      <c r="K5" s="8" t="s">
        <v>28</v>
      </c>
      <c r="L5" s="8" t="str">
        <f t="shared" si="0"/>
        <v>Junior</v>
      </c>
      <c r="M5" s="8" t="str">
        <f t="shared" si="1"/>
        <v>OK</v>
      </c>
      <c r="N5" s="9">
        <f>VLOOKUP(B5,Questions!$K$2:$L$7,2,FALSE)</f>
        <v>50</v>
      </c>
      <c r="Q5" s="37" t="s">
        <v>17</v>
      </c>
      <c r="R5" s="38">
        <f>(COUNTIF(Answers!I3:I602,Q5)/COUNTA(Answers!I3:I602))</f>
        <v>0.47833333333333333</v>
      </c>
      <c r="W5" s="13" t="s">
        <v>657</v>
      </c>
      <c r="X5" s="13">
        <f>COUNTIF(G3:G602,"Paid")</f>
        <v>339</v>
      </c>
    </row>
    <row r="6" spans="1:27">
      <c r="A6" s="8" t="s">
        <v>568</v>
      </c>
      <c r="B6" s="8">
        <v>6</v>
      </c>
      <c r="C6" s="8" t="s">
        <v>13</v>
      </c>
      <c r="D6" s="8">
        <v>29</v>
      </c>
      <c r="E6" s="8" t="s">
        <v>27</v>
      </c>
      <c r="F6" s="8">
        <v>11</v>
      </c>
      <c r="G6" s="8" t="s">
        <v>33</v>
      </c>
      <c r="H6" s="8" t="s">
        <v>16</v>
      </c>
      <c r="I6" s="8" t="s">
        <v>23</v>
      </c>
      <c r="J6" s="8" t="s">
        <v>28</v>
      </c>
      <c r="K6" s="8" t="s">
        <v>19</v>
      </c>
      <c r="L6" s="8" t="str">
        <f t="shared" si="0"/>
        <v>Junior</v>
      </c>
      <c r="M6" s="8" t="str">
        <f t="shared" si="1"/>
        <v>Pending</v>
      </c>
      <c r="N6" s="9">
        <f>VLOOKUP(B6,Questions!$K$2:$L$7,2,FALSE)</f>
        <v>50</v>
      </c>
      <c r="W6" s="14" t="s">
        <v>658</v>
      </c>
      <c r="X6" s="14">
        <f>COUNTIF(G3:G602,"Due")</f>
        <v>261</v>
      </c>
    </row>
    <row r="7" spans="1:27">
      <c r="A7" s="8" t="s">
        <v>402</v>
      </c>
      <c r="B7" s="8">
        <v>6</v>
      </c>
      <c r="C7" s="8" t="s">
        <v>13</v>
      </c>
      <c r="D7" s="8">
        <v>31</v>
      </c>
      <c r="E7" s="8" t="s">
        <v>14</v>
      </c>
      <c r="F7" s="8">
        <v>12</v>
      </c>
      <c r="G7" s="8" t="s">
        <v>33</v>
      </c>
      <c r="H7" s="8" t="s">
        <v>16</v>
      </c>
      <c r="I7" s="8" t="s">
        <v>17</v>
      </c>
      <c r="J7" s="8" t="s">
        <v>28</v>
      </c>
      <c r="K7" s="8" t="s">
        <v>19</v>
      </c>
      <c r="L7" s="8" t="str">
        <f t="shared" si="0"/>
        <v>Junior</v>
      </c>
      <c r="M7" s="8" t="str">
        <f t="shared" si="1"/>
        <v>Pending</v>
      </c>
      <c r="N7" s="9">
        <f>VLOOKUP(B7,Questions!$K$2:$L$7,2,FALSE)</f>
        <v>50</v>
      </c>
      <c r="P7" s="30" t="s">
        <v>667</v>
      </c>
      <c r="Q7" s="30"/>
      <c r="R7" s="30"/>
      <c r="S7" s="39" t="s">
        <v>16</v>
      </c>
      <c r="T7" s="39">
        <f>COUNTIF($H$3:$H$602,S7)</f>
        <v>292</v>
      </c>
      <c r="W7" s="5" t="s">
        <v>631</v>
      </c>
      <c r="X7" s="5">
        <f>SUMIF(G3:G602,"Paid",N3:N602)</f>
        <v>23630</v>
      </c>
    </row>
    <row r="8" spans="1:27">
      <c r="A8" s="8" t="s">
        <v>338</v>
      </c>
      <c r="B8" s="8">
        <v>6</v>
      </c>
      <c r="C8" s="8" t="s">
        <v>13</v>
      </c>
      <c r="D8" s="8">
        <v>32</v>
      </c>
      <c r="E8" s="8" t="s">
        <v>14</v>
      </c>
      <c r="F8" s="8">
        <v>12</v>
      </c>
      <c r="G8" s="8" t="s">
        <v>15</v>
      </c>
      <c r="H8" s="8" t="s">
        <v>16</v>
      </c>
      <c r="I8" s="8" t="s">
        <v>23</v>
      </c>
      <c r="J8" s="8" t="s">
        <v>18</v>
      </c>
      <c r="K8" s="8" t="s">
        <v>28</v>
      </c>
      <c r="L8" s="8" t="str">
        <f t="shared" si="0"/>
        <v>Junior</v>
      </c>
      <c r="M8" s="8" t="str">
        <f t="shared" si="1"/>
        <v>OK</v>
      </c>
      <c r="N8" s="9">
        <f>VLOOKUP(B8,Questions!$K$2:$L$7,2,FALSE)</f>
        <v>50</v>
      </c>
      <c r="Z8" s="63" t="s">
        <v>10</v>
      </c>
      <c r="AA8" s="63"/>
    </row>
    <row r="9" spans="1:27">
      <c r="A9" s="8" t="s">
        <v>72</v>
      </c>
      <c r="B9" s="8">
        <v>6</v>
      </c>
      <c r="C9" s="8" t="s">
        <v>13</v>
      </c>
      <c r="D9" s="8">
        <v>43</v>
      </c>
      <c r="E9" s="8" t="s">
        <v>14</v>
      </c>
      <c r="F9" s="8">
        <v>12</v>
      </c>
      <c r="G9" s="8" t="s">
        <v>33</v>
      </c>
      <c r="H9" s="8" t="s">
        <v>22</v>
      </c>
      <c r="I9" s="8" t="s">
        <v>17</v>
      </c>
      <c r="J9" s="8" t="s">
        <v>30</v>
      </c>
      <c r="K9" s="8" t="s">
        <v>42</v>
      </c>
      <c r="L9" s="8" t="str">
        <f t="shared" si="0"/>
        <v>Junior</v>
      </c>
      <c r="M9" s="8" t="str">
        <f t="shared" si="1"/>
        <v>Pending</v>
      </c>
      <c r="N9" s="9">
        <f>VLOOKUP(B9,Questions!$K$2:$L$7,2,FALSE)</f>
        <v>50</v>
      </c>
      <c r="P9" t="s">
        <v>662</v>
      </c>
      <c r="W9" s="7" t="s">
        <v>659</v>
      </c>
      <c r="X9" s="7" t="s">
        <v>660</v>
      </c>
      <c r="Z9" s="61" t="s">
        <v>659</v>
      </c>
      <c r="AA9" s="61" t="s">
        <v>660</v>
      </c>
    </row>
    <row r="10" spans="1:27">
      <c r="A10" s="8" t="s">
        <v>257</v>
      </c>
      <c r="B10" s="8">
        <v>6</v>
      </c>
      <c r="C10" s="8" t="s">
        <v>13</v>
      </c>
      <c r="D10" s="8">
        <v>50</v>
      </c>
      <c r="E10" s="8" t="s">
        <v>14</v>
      </c>
      <c r="F10" s="8">
        <v>12</v>
      </c>
      <c r="G10" s="8" t="s">
        <v>33</v>
      </c>
      <c r="H10" s="8" t="s">
        <v>22</v>
      </c>
      <c r="I10" s="8" t="s">
        <v>17</v>
      </c>
      <c r="J10" s="8" t="s">
        <v>28</v>
      </c>
      <c r="K10" s="8" t="s">
        <v>42</v>
      </c>
      <c r="L10" s="8" t="str">
        <f t="shared" si="0"/>
        <v>Junior</v>
      </c>
      <c r="M10" s="8" t="str">
        <f t="shared" si="1"/>
        <v>Pending</v>
      </c>
      <c r="N10" s="9">
        <f>VLOOKUP(B10,Questions!$K$2:$L$7,2,FALSE)</f>
        <v>50</v>
      </c>
      <c r="Q10" s="40" t="s">
        <v>1</v>
      </c>
      <c r="R10" s="41" t="s">
        <v>612</v>
      </c>
      <c r="S10" s="41" t="s">
        <v>635</v>
      </c>
      <c r="W10" s="5" t="s">
        <v>31</v>
      </c>
      <c r="X10" s="5">
        <f>COUNTIF($K$3:$K$602,W10)</f>
        <v>126</v>
      </c>
      <c r="Z10" s="60" t="s">
        <v>30</v>
      </c>
      <c r="AA10" s="62">
        <f>COUNTIF($J$3:$J$602,Z10)</f>
        <v>101</v>
      </c>
    </row>
    <row r="11" spans="1:27">
      <c r="A11" s="8" t="s">
        <v>540</v>
      </c>
      <c r="B11" s="8">
        <v>6</v>
      </c>
      <c r="C11" s="8" t="s">
        <v>13</v>
      </c>
      <c r="D11" s="8">
        <v>56</v>
      </c>
      <c r="E11" s="8" t="s">
        <v>27</v>
      </c>
      <c r="F11" s="8">
        <v>11</v>
      </c>
      <c r="G11" s="8" t="s">
        <v>15</v>
      </c>
      <c r="H11" s="8" t="s">
        <v>22</v>
      </c>
      <c r="I11" s="8" t="s">
        <v>17</v>
      </c>
      <c r="J11" s="8" t="s">
        <v>18</v>
      </c>
      <c r="K11" s="8" t="s">
        <v>19</v>
      </c>
      <c r="L11" s="8" t="str">
        <f t="shared" si="0"/>
        <v>Junior</v>
      </c>
      <c r="M11" s="8" t="str">
        <f t="shared" si="1"/>
        <v>OK</v>
      </c>
      <c r="N11" s="9">
        <f>VLOOKUP(B11,Questions!$K$2:$L$7,2,FALSE)</f>
        <v>50</v>
      </c>
      <c r="Q11" s="41">
        <v>10</v>
      </c>
      <c r="R11" s="41">
        <f>COUNTIF(Answers!$B$3:$B$602,Q11)</f>
        <v>126</v>
      </c>
      <c r="S11" s="41">
        <f>COUNTIFS(Answers!B3:B602,Q11,Answers!G3:G602,"Paid")</f>
        <v>68</v>
      </c>
      <c r="W11" s="5" t="s">
        <v>42</v>
      </c>
      <c r="X11" s="5">
        <f t="shared" ref="X11:X13" si="2">COUNTIF($K$3:$K$602,W11)</f>
        <v>108</v>
      </c>
      <c r="Z11" s="60" t="s">
        <v>28</v>
      </c>
      <c r="AA11" s="62">
        <f t="shared" ref="AA11:AA13" si="3">COUNTIF($J$3:$J$602,Z11)</f>
        <v>219</v>
      </c>
    </row>
    <row r="12" spans="1:27">
      <c r="A12" s="8" t="s">
        <v>494</v>
      </c>
      <c r="B12" s="8">
        <v>6</v>
      </c>
      <c r="C12" s="8" t="s">
        <v>13</v>
      </c>
      <c r="D12" s="8">
        <v>58</v>
      </c>
      <c r="E12" s="8" t="s">
        <v>14</v>
      </c>
      <c r="F12" s="8">
        <v>11</v>
      </c>
      <c r="G12" s="8" t="s">
        <v>15</v>
      </c>
      <c r="H12" s="8" t="s">
        <v>16</v>
      </c>
      <c r="I12" s="8" t="s">
        <v>17</v>
      </c>
      <c r="J12" s="8" t="s">
        <v>18</v>
      </c>
      <c r="K12" s="8" t="s">
        <v>31</v>
      </c>
      <c r="L12" s="8" t="str">
        <f t="shared" si="0"/>
        <v>Junior</v>
      </c>
      <c r="M12" s="8" t="str">
        <f t="shared" si="1"/>
        <v>OK</v>
      </c>
      <c r="N12" s="9">
        <f>VLOOKUP(B12,Questions!$K$2:$L$7,2,FALSE)</f>
        <v>50</v>
      </c>
      <c r="W12" s="5" t="s">
        <v>19</v>
      </c>
      <c r="X12" s="5">
        <f t="shared" si="2"/>
        <v>133</v>
      </c>
      <c r="Z12" s="60" t="s">
        <v>18</v>
      </c>
      <c r="AA12" s="62">
        <f t="shared" si="3"/>
        <v>96</v>
      </c>
    </row>
    <row r="13" spans="1:27">
      <c r="A13" s="8" t="s">
        <v>47</v>
      </c>
      <c r="B13" s="8">
        <v>6</v>
      </c>
      <c r="C13" s="8" t="s">
        <v>13</v>
      </c>
      <c r="D13" s="8">
        <v>59</v>
      </c>
      <c r="E13" s="8" t="s">
        <v>27</v>
      </c>
      <c r="F13" s="8">
        <v>12</v>
      </c>
      <c r="G13" s="8" t="s">
        <v>15</v>
      </c>
      <c r="H13" s="8" t="s">
        <v>22</v>
      </c>
      <c r="I13" s="8" t="s">
        <v>23</v>
      </c>
      <c r="J13" s="8" t="s">
        <v>18</v>
      </c>
      <c r="K13" s="8" t="s">
        <v>42</v>
      </c>
      <c r="L13" s="8" t="str">
        <f t="shared" si="0"/>
        <v>Junior</v>
      </c>
      <c r="M13" s="8" t="str">
        <f t="shared" si="1"/>
        <v>OK</v>
      </c>
      <c r="N13" s="9">
        <f>VLOOKUP(B13,Questions!$K$2:$L$7,2,FALSE)</f>
        <v>50</v>
      </c>
      <c r="P13" t="s">
        <v>639</v>
      </c>
      <c r="S13" s="47">
        <f>SUMIF(Answers!G2:G602,"Paid",Answers!N2:N602)</f>
        <v>23630</v>
      </c>
      <c r="W13" s="5" t="s">
        <v>28</v>
      </c>
      <c r="X13" s="5">
        <f t="shared" si="2"/>
        <v>233</v>
      </c>
      <c r="Z13" s="60" t="s">
        <v>24</v>
      </c>
      <c r="AA13" s="62">
        <f t="shared" si="3"/>
        <v>106</v>
      </c>
    </row>
    <row r="14" spans="1:27">
      <c r="A14" s="8" t="s">
        <v>145</v>
      </c>
      <c r="B14" s="8">
        <v>6</v>
      </c>
      <c r="C14" s="8" t="s">
        <v>13</v>
      </c>
      <c r="D14" s="8">
        <v>64</v>
      </c>
      <c r="E14" s="8" t="s">
        <v>14</v>
      </c>
      <c r="F14" s="8">
        <v>11</v>
      </c>
      <c r="G14" s="8" t="s">
        <v>33</v>
      </c>
      <c r="H14" s="8" t="s">
        <v>22</v>
      </c>
      <c r="I14" s="8" t="s">
        <v>17</v>
      </c>
      <c r="J14" s="8" t="s">
        <v>18</v>
      </c>
      <c r="K14" s="8" t="s">
        <v>31</v>
      </c>
      <c r="L14" s="8" t="str">
        <f t="shared" si="0"/>
        <v>Junior</v>
      </c>
      <c r="M14" s="8" t="str">
        <f t="shared" si="1"/>
        <v>Pending</v>
      </c>
      <c r="N14" s="9">
        <f>VLOOKUP(B14,Questions!$K$2:$L$7,2,FALSE)</f>
        <v>50</v>
      </c>
      <c r="P14" t="s">
        <v>640</v>
      </c>
      <c r="S14" s="48">
        <f>SUMIF(Answers!G2:G602,"Due",Answers!N2:N602)</f>
        <v>18530</v>
      </c>
      <c r="Z14" s="60" t="s">
        <v>49</v>
      </c>
      <c r="AA14" s="62">
        <f>COUNTIF($J$3:$J$602,Z14)</f>
        <v>78</v>
      </c>
    </row>
    <row r="15" spans="1:27">
      <c r="A15" s="8" t="s">
        <v>270</v>
      </c>
      <c r="B15" s="8">
        <v>6</v>
      </c>
      <c r="C15" s="8" t="s">
        <v>13</v>
      </c>
      <c r="D15" s="8">
        <v>69</v>
      </c>
      <c r="E15" s="8" t="s">
        <v>27</v>
      </c>
      <c r="F15" s="8">
        <v>12</v>
      </c>
      <c r="G15" s="8" t="s">
        <v>33</v>
      </c>
      <c r="H15" s="8" t="s">
        <v>22</v>
      </c>
      <c r="I15" s="8" t="s">
        <v>23</v>
      </c>
      <c r="J15" s="8" t="s">
        <v>24</v>
      </c>
      <c r="K15" s="8" t="s">
        <v>19</v>
      </c>
      <c r="L15" s="8" t="str">
        <f t="shared" si="0"/>
        <v>Junior</v>
      </c>
      <c r="M15" s="8" t="str">
        <f t="shared" si="1"/>
        <v>Pending</v>
      </c>
      <c r="N15" s="9">
        <f>VLOOKUP(B15,Questions!$K$2:$L$7,2,FALSE)</f>
        <v>50</v>
      </c>
    </row>
    <row r="16" spans="1:27">
      <c r="A16" s="8" t="s">
        <v>53</v>
      </c>
      <c r="B16" s="8">
        <v>6</v>
      </c>
      <c r="C16" s="8" t="s">
        <v>13</v>
      </c>
      <c r="D16" s="8">
        <v>71</v>
      </c>
      <c r="E16" s="8" t="s">
        <v>27</v>
      </c>
      <c r="F16" s="8">
        <v>12</v>
      </c>
      <c r="G16" s="8" t="s">
        <v>15</v>
      </c>
      <c r="H16" s="8" t="s">
        <v>16</v>
      </c>
      <c r="I16" s="8" t="s">
        <v>23</v>
      </c>
      <c r="J16" s="8" t="s">
        <v>28</v>
      </c>
      <c r="K16" s="8" t="s">
        <v>19</v>
      </c>
      <c r="L16" s="8" t="str">
        <f t="shared" si="0"/>
        <v>Junior</v>
      </c>
      <c r="M16" s="8" t="str">
        <f t="shared" si="1"/>
        <v>OK</v>
      </c>
      <c r="N16" s="9">
        <f>VLOOKUP(B16,Questions!$K$2:$L$7,2,FALSE)</f>
        <v>50</v>
      </c>
      <c r="P16" t="s">
        <v>642</v>
      </c>
    </row>
    <row r="17" spans="1:25">
      <c r="A17" s="8" t="s">
        <v>269</v>
      </c>
      <c r="B17" s="8">
        <v>6</v>
      </c>
      <c r="C17" s="8" t="s">
        <v>13</v>
      </c>
      <c r="D17" s="8">
        <v>75</v>
      </c>
      <c r="E17" s="8" t="s">
        <v>27</v>
      </c>
      <c r="F17" s="8">
        <v>11</v>
      </c>
      <c r="G17" s="8" t="s">
        <v>33</v>
      </c>
      <c r="H17" s="8" t="s">
        <v>22</v>
      </c>
      <c r="I17" s="8" t="s">
        <v>23</v>
      </c>
      <c r="J17" s="8" t="s">
        <v>24</v>
      </c>
      <c r="K17" s="8" t="s">
        <v>31</v>
      </c>
      <c r="L17" s="8" t="str">
        <f t="shared" si="0"/>
        <v>Junior</v>
      </c>
      <c r="M17" s="8" t="str">
        <f t="shared" si="1"/>
        <v>Pending</v>
      </c>
      <c r="N17" s="9">
        <f>VLOOKUP(B17,Questions!$K$2:$L$7,2,FALSE)</f>
        <v>50</v>
      </c>
      <c r="Q17" s="45" t="s">
        <v>1</v>
      </c>
      <c r="R17" s="46" t="s">
        <v>641</v>
      </c>
      <c r="U17" s="58">
        <v>14</v>
      </c>
      <c r="V17" s="58" t="s">
        <v>626</v>
      </c>
      <c r="W17" s="58"/>
      <c r="X17" s="58"/>
      <c r="Y17" s="58"/>
    </row>
    <row r="18" spans="1:25">
      <c r="A18" s="8" t="s">
        <v>552</v>
      </c>
      <c r="B18" s="8">
        <v>6</v>
      </c>
      <c r="C18" s="8" t="s">
        <v>13</v>
      </c>
      <c r="D18" s="8">
        <v>81</v>
      </c>
      <c r="E18" s="8" t="s">
        <v>14</v>
      </c>
      <c r="F18" s="8">
        <v>12</v>
      </c>
      <c r="G18" s="8" t="s">
        <v>33</v>
      </c>
      <c r="H18" s="8" t="s">
        <v>16</v>
      </c>
      <c r="I18" s="8" t="s">
        <v>23</v>
      </c>
      <c r="J18" s="8" t="s">
        <v>28</v>
      </c>
      <c r="K18" s="8" t="s">
        <v>28</v>
      </c>
      <c r="L18" s="8" t="str">
        <f t="shared" si="0"/>
        <v>Junior</v>
      </c>
      <c r="M18" s="8" t="str">
        <f t="shared" si="1"/>
        <v>Pending</v>
      </c>
      <c r="N18" s="9">
        <f>VLOOKUP(B18,Questions!$K$2:$L$7,2,FALSE)</f>
        <v>50</v>
      </c>
      <c r="Q18" s="46">
        <v>7</v>
      </c>
      <c r="R18" s="46">
        <f>SUMIF(Answers!B3:B602,Answers!Q18,Answers!N3:N602)</f>
        <v>8280</v>
      </c>
      <c r="V18" s="55" t="s">
        <v>1</v>
      </c>
      <c r="W18" s="56" t="s">
        <v>15</v>
      </c>
      <c r="X18" s="56" t="s">
        <v>650</v>
      </c>
      <c r="Y18" s="56" t="s">
        <v>661</v>
      </c>
    </row>
    <row r="19" spans="1:25">
      <c r="A19" s="8" t="s">
        <v>29</v>
      </c>
      <c r="B19" s="8">
        <v>6</v>
      </c>
      <c r="C19" s="8" t="s">
        <v>13</v>
      </c>
      <c r="D19" s="8">
        <v>87</v>
      </c>
      <c r="E19" s="8" t="s">
        <v>27</v>
      </c>
      <c r="F19" s="8">
        <v>12</v>
      </c>
      <c r="G19" s="8" t="s">
        <v>15</v>
      </c>
      <c r="H19" s="8" t="s">
        <v>16</v>
      </c>
      <c r="I19" s="8" t="s">
        <v>23</v>
      </c>
      <c r="J19" s="8" t="s">
        <v>30</v>
      </c>
      <c r="K19" s="8" t="s">
        <v>31</v>
      </c>
      <c r="L19" s="8" t="str">
        <f t="shared" si="0"/>
        <v>Junior</v>
      </c>
      <c r="M19" s="8" t="str">
        <f t="shared" si="1"/>
        <v>OK</v>
      </c>
      <c r="N19" s="9">
        <f>VLOOKUP(B19,Questions!$K$2:$L$7,2,FALSE)</f>
        <v>50</v>
      </c>
      <c r="P19" t="s">
        <v>654</v>
      </c>
      <c r="Q19" s="12"/>
      <c r="V19" s="57">
        <v>6</v>
      </c>
      <c r="W19" s="57">
        <f>COUNTIFS($B$3:$B$602,V19,$G$3:$G$602,"Paid")</f>
        <v>58</v>
      </c>
      <c r="X19" s="57">
        <f>COUNTIFS($B$3:$B$602,V19,$G$3:$G$602,"Due")</f>
        <v>48</v>
      </c>
      <c r="Y19" s="57">
        <f>W19*Questions!L3</f>
        <v>2900</v>
      </c>
    </row>
    <row r="20" spans="1:25">
      <c r="A20" s="8" t="s">
        <v>489</v>
      </c>
      <c r="B20" s="8">
        <v>6</v>
      </c>
      <c r="C20" s="8" t="s">
        <v>13</v>
      </c>
      <c r="D20" s="8">
        <v>89</v>
      </c>
      <c r="E20" s="8" t="s">
        <v>27</v>
      </c>
      <c r="F20" s="8">
        <v>12</v>
      </c>
      <c r="G20" s="8" t="s">
        <v>15</v>
      </c>
      <c r="H20" s="8" t="s">
        <v>22</v>
      </c>
      <c r="I20" s="8" t="s">
        <v>17</v>
      </c>
      <c r="J20" s="8" t="s">
        <v>24</v>
      </c>
      <c r="K20" s="8" t="s">
        <v>28</v>
      </c>
      <c r="L20" s="8" t="str">
        <f t="shared" si="0"/>
        <v>Junior</v>
      </c>
      <c r="M20" s="8" t="str">
        <f t="shared" si="1"/>
        <v>OK</v>
      </c>
      <c r="N20" s="9">
        <f>VLOOKUP(B20,Questions!$K$2:$L$7,2,FALSE)</f>
        <v>50</v>
      </c>
      <c r="Q20" s="8" t="s">
        <v>28</v>
      </c>
      <c r="R20" s="36">
        <f>COUNTIF(Answers!K3:K602,Answers!Q20)</f>
        <v>233</v>
      </c>
      <c r="V20" s="57">
        <v>7</v>
      </c>
      <c r="W20" s="57">
        <f>COUNTIFS($B$3:$B$602,V20,$G$3:$G$602,"Paid")</f>
        <v>89</v>
      </c>
      <c r="X20" s="57">
        <f>COUNTIFS($B$3:$B$602,V20,$G$3:$G$602,"Due")</f>
        <v>49</v>
      </c>
      <c r="Y20" s="57">
        <f>W20*Questions!L4</f>
        <v>5340</v>
      </c>
    </row>
    <row r="21" spans="1:25">
      <c r="A21" s="8" t="s">
        <v>475</v>
      </c>
      <c r="B21" s="8">
        <v>6</v>
      </c>
      <c r="C21" s="8" t="s">
        <v>13</v>
      </c>
      <c r="D21" s="8">
        <v>95</v>
      </c>
      <c r="E21" s="8" t="s">
        <v>27</v>
      </c>
      <c r="F21" s="8">
        <v>12</v>
      </c>
      <c r="G21" s="8" t="s">
        <v>15</v>
      </c>
      <c r="H21" s="8" t="s">
        <v>22</v>
      </c>
      <c r="I21" s="8" t="s">
        <v>23</v>
      </c>
      <c r="J21" s="8" t="s">
        <v>18</v>
      </c>
      <c r="K21" s="8" t="s">
        <v>31</v>
      </c>
      <c r="L21" s="8" t="str">
        <f t="shared" si="0"/>
        <v>Junior</v>
      </c>
      <c r="M21" s="8" t="str">
        <f t="shared" si="1"/>
        <v>OK</v>
      </c>
      <c r="N21" s="9">
        <f>VLOOKUP(B21,Questions!$K$2:$L$7,2,FALSE)</f>
        <v>50</v>
      </c>
      <c r="P21" t="s">
        <v>651</v>
      </c>
      <c r="V21" s="57">
        <v>8</v>
      </c>
      <c r="W21" s="57">
        <f>COUNTIFS($B$3:$B$602,V21,$G$3:$G$602,"Paid")</f>
        <v>65</v>
      </c>
      <c r="X21" s="57">
        <f>COUNTIFS($B$3:$B$602,V21,$G$3:$G$602,"Due")</f>
        <v>51</v>
      </c>
      <c r="Y21" s="57">
        <f>W21*Questions!L5</f>
        <v>4550</v>
      </c>
    </row>
    <row r="22" spans="1:25">
      <c r="A22" s="8" t="s">
        <v>343</v>
      </c>
      <c r="B22" s="8">
        <v>6</v>
      </c>
      <c r="C22" s="8" t="s">
        <v>13</v>
      </c>
      <c r="D22" s="8">
        <v>107</v>
      </c>
      <c r="E22" s="8" t="s">
        <v>14</v>
      </c>
      <c r="F22" s="8">
        <v>12</v>
      </c>
      <c r="G22" s="8" t="s">
        <v>15</v>
      </c>
      <c r="H22" s="8" t="s">
        <v>22</v>
      </c>
      <c r="I22" s="8" t="s">
        <v>23</v>
      </c>
      <c r="J22" s="8" t="s">
        <v>49</v>
      </c>
      <c r="K22" s="8" t="s">
        <v>19</v>
      </c>
      <c r="L22" s="8" t="str">
        <f t="shared" si="0"/>
        <v>Junior</v>
      </c>
      <c r="M22" s="8" t="str">
        <f t="shared" si="1"/>
        <v>OK</v>
      </c>
      <c r="N22" s="9">
        <f>VLOOKUP(B22,Questions!$K$2:$L$7,2,FALSE)</f>
        <v>50</v>
      </c>
      <c r="Q22" s="8" t="s">
        <v>28</v>
      </c>
      <c r="R22" s="36">
        <f>COUNTIF(Answers!J3:J602,Answers!Q22)</f>
        <v>219</v>
      </c>
      <c r="V22" s="57">
        <v>9</v>
      </c>
      <c r="W22" s="57">
        <f>COUNTIFS($B$3:$B$602,V22,$G$3:$G$602,"Paid")</f>
        <v>59</v>
      </c>
      <c r="X22" s="57">
        <f>COUNTIFS($B$3:$B$602,V22,$G$3:$G$602,"Due")</f>
        <v>55</v>
      </c>
      <c r="Y22" s="57">
        <f>W22*Questions!L6</f>
        <v>4720</v>
      </c>
    </row>
    <row r="23" spans="1:25">
      <c r="A23" s="8" t="s">
        <v>88</v>
      </c>
      <c r="B23" s="8">
        <v>6</v>
      </c>
      <c r="C23" s="8" t="s">
        <v>13</v>
      </c>
      <c r="D23" s="8">
        <v>126</v>
      </c>
      <c r="E23" s="8" t="s">
        <v>14</v>
      </c>
      <c r="F23" s="8">
        <v>11</v>
      </c>
      <c r="G23" s="8" t="s">
        <v>33</v>
      </c>
      <c r="H23" s="8" t="s">
        <v>16</v>
      </c>
      <c r="I23" s="8" t="s">
        <v>17</v>
      </c>
      <c r="J23" s="8" t="s">
        <v>28</v>
      </c>
      <c r="K23" s="8" t="s">
        <v>19</v>
      </c>
      <c r="L23" s="8" t="str">
        <f t="shared" si="0"/>
        <v>Junior</v>
      </c>
      <c r="M23" s="8" t="str">
        <f t="shared" si="1"/>
        <v>Pending</v>
      </c>
      <c r="N23" s="9">
        <f>VLOOKUP(B23,Questions!$K$2:$L$7,2,FALSE)</f>
        <v>50</v>
      </c>
      <c r="V23" s="57">
        <v>10</v>
      </c>
      <c r="W23" s="57">
        <f>COUNTIFS($B$3:$B$602,V23,$G$3:$G$602,"Paid")</f>
        <v>68</v>
      </c>
      <c r="X23" s="57">
        <f>COUNTIFS($B$3:$B$602,V23,$G$3:$G$602,"Due")</f>
        <v>58</v>
      </c>
      <c r="Y23" s="57">
        <f>W23*Questions!L7</f>
        <v>6120</v>
      </c>
    </row>
    <row r="24" spans="1:25">
      <c r="A24" s="8" t="s">
        <v>243</v>
      </c>
      <c r="B24" s="8">
        <v>6</v>
      </c>
      <c r="C24" s="8" t="s">
        <v>13</v>
      </c>
      <c r="D24" s="8">
        <v>128</v>
      </c>
      <c r="E24" s="8" t="s">
        <v>14</v>
      </c>
      <c r="F24" s="8">
        <v>11</v>
      </c>
      <c r="G24" s="8" t="s">
        <v>33</v>
      </c>
      <c r="H24" s="8" t="s">
        <v>22</v>
      </c>
      <c r="I24" s="8" t="s">
        <v>23</v>
      </c>
      <c r="J24" s="8" t="s">
        <v>49</v>
      </c>
      <c r="K24" s="8" t="s">
        <v>28</v>
      </c>
      <c r="L24" s="8" t="str">
        <f t="shared" si="0"/>
        <v>Junior</v>
      </c>
      <c r="M24" s="8" t="str">
        <f t="shared" si="1"/>
        <v>Pending</v>
      </c>
      <c r="N24" s="9">
        <f>VLOOKUP(B24,Questions!$K$2:$L$7,2,FALSE)</f>
        <v>50</v>
      </c>
    </row>
    <row r="25" spans="1:25">
      <c r="A25" s="8" t="s">
        <v>387</v>
      </c>
      <c r="B25" s="8">
        <v>6</v>
      </c>
      <c r="C25" s="8" t="s">
        <v>13</v>
      </c>
      <c r="D25" s="8">
        <v>132</v>
      </c>
      <c r="E25" s="8" t="s">
        <v>14</v>
      </c>
      <c r="F25" s="8">
        <v>12</v>
      </c>
      <c r="G25" s="8" t="s">
        <v>33</v>
      </c>
      <c r="H25" s="8" t="s">
        <v>16</v>
      </c>
      <c r="I25" s="8" t="s">
        <v>23</v>
      </c>
      <c r="J25" s="8" t="s">
        <v>28</v>
      </c>
      <c r="K25" s="8" t="s">
        <v>19</v>
      </c>
      <c r="L25" s="8" t="str">
        <f t="shared" si="0"/>
        <v>Junior</v>
      </c>
      <c r="M25" s="8" t="str">
        <f t="shared" si="1"/>
        <v>Pending</v>
      </c>
      <c r="N25" s="9">
        <f>VLOOKUP(B25,Questions!$K$2:$L$7,2,FALSE)</f>
        <v>50</v>
      </c>
      <c r="P25" t="s">
        <v>648</v>
      </c>
    </row>
    <row r="26" spans="1:25">
      <c r="A26" s="8" t="s">
        <v>485</v>
      </c>
      <c r="B26" s="8">
        <v>6</v>
      </c>
      <c r="C26" s="8" t="s">
        <v>13</v>
      </c>
      <c r="D26" s="8">
        <v>144</v>
      </c>
      <c r="E26" s="8" t="s">
        <v>27</v>
      </c>
      <c r="F26" s="8">
        <v>12</v>
      </c>
      <c r="G26" s="8" t="s">
        <v>15</v>
      </c>
      <c r="H26" s="8" t="s">
        <v>16</v>
      </c>
      <c r="I26" s="8" t="s">
        <v>17</v>
      </c>
      <c r="J26" s="8" t="s">
        <v>49</v>
      </c>
      <c r="K26" s="8" t="s">
        <v>28</v>
      </c>
      <c r="L26" s="8" t="str">
        <f t="shared" si="0"/>
        <v>Junior</v>
      </c>
      <c r="M26" s="8" t="str">
        <f t="shared" si="1"/>
        <v>OK</v>
      </c>
      <c r="N26" s="9">
        <f>VLOOKUP(B26,Questions!$K$2:$L$7,2,FALSE)</f>
        <v>50</v>
      </c>
      <c r="Q26" s="7" t="s">
        <v>645</v>
      </c>
      <c r="R26" s="5"/>
      <c r="S26" s="5">
        <f>COUNTA(Answers!A3:A602)</f>
        <v>600</v>
      </c>
    </row>
    <row r="27" spans="1:25">
      <c r="A27" s="8" t="s">
        <v>50</v>
      </c>
      <c r="B27" s="8">
        <v>6</v>
      </c>
      <c r="C27" s="8" t="s">
        <v>13</v>
      </c>
      <c r="D27" s="8">
        <v>154</v>
      </c>
      <c r="E27" s="8" t="s">
        <v>14</v>
      </c>
      <c r="F27" s="8">
        <v>11</v>
      </c>
      <c r="G27" s="8" t="s">
        <v>33</v>
      </c>
      <c r="H27" s="8" t="s">
        <v>22</v>
      </c>
      <c r="I27" s="8" t="s">
        <v>17</v>
      </c>
      <c r="J27" s="8" t="s">
        <v>30</v>
      </c>
      <c r="K27" s="8" t="s">
        <v>42</v>
      </c>
      <c r="L27" s="8" t="str">
        <f t="shared" si="0"/>
        <v>Junior</v>
      </c>
      <c r="M27" s="8" t="str">
        <f t="shared" si="1"/>
        <v>Pending</v>
      </c>
      <c r="N27" s="9">
        <f>VLOOKUP(B27,Questions!$K$2:$L$7,2,FALSE)</f>
        <v>50</v>
      </c>
      <c r="Q27" s="7" t="s">
        <v>655</v>
      </c>
      <c r="R27" s="5"/>
      <c r="S27" s="5">
        <f>COUNTIF(Answers!G2:G602,"Paid")</f>
        <v>339</v>
      </c>
    </row>
    <row r="28" spans="1:25">
      <c r="A28" s="8" t="s">
        <v>454</v>
      </c>
      <c r="B28" s="8">
        <v>6</v>
      </c>
      <c r="C28" s="8" t="s">
        <v>13</v>
      </c>
      <c r="D28" s="8">
        <v>158</v>
      </c>
      <c r="E28" s="8" t="s">
        <v>14</v>
      </c>
      <c r="F28" s="8">
        <v>11</v>
      </c>
      <c r="G28" s="8" t="s">
        <v>15</v>
      </c>
      <c r="H28" s="8" t="s">
        <v>22</v>
      </c>
      <c r="I28" s="8" t="s">
        <v>17</v>
      </c>
      <c r="J28" s="8" t="s">
        <v>28</v>
      </c>
      <c r="K28" s="8" t="s">
        <v>31</v>
      </c>
      <c r="L28" s="8" t="str">
        <f t="shared" si="0"/>
        <v>Junior</v>
      </c>
      <c r="M28" s="8" t="str">
        <f t="shared" si="1"/>
        <v>OK</v>
      </c>
      <c r="N28" s="9">
        <f>VLOOKUP(B28,Questions!$K$2:$L$7,2,FALSE)</f>
        <v>50</v>
      </c>
      <c r="Q28" s="7" t="s">
        <v>646</v>
      </c>
      <c r="R28" s="5"/>
      <c r="S28" s="5">
        <f>COUNTIF(Answers!G2:G602,"Due")</f>
        <v>261</v>
      </c>
    </row>
    <row r="29" spans="1:25">
      <c r="A29" s="8" t="s">
        <v>603</v>
      </c>
      <c r="B29" s="8">
        <v>6</v>
      </c>
      <c r="C29" s="8" t="s">
        <v>13</v>
      </c>
      <c r="D29" s="8">
        <v>175</v>
      </c>
      <c r="E29" s="8" t="s">
        <v>14</v>
      </c>
      <c r="F29" s="8">
        <v>11</v>
      </c>
      <c r="G29" s="8" t="s">
        <v>15</v>
      </c>
      <c r="H29" s="8" t="s">
        <v>16</v>
      </c>
      <c r="I29" s="8" t="s">
        <v>23</v>
      </c>
      <c r="J29" s="8" t="s">
        <v>28</v>
      </c>
      <c r="K29" s="8" t="s">
        <v>42</v>
      </c>
      <c r="L29" s="8" t="str">
        <f t="shared" si="0"/>
        <v>Junior</v>
      </c>
      <c r="M29" s="8" t="str">
        <f t="shared" si="1"/>
        <v>OK</v>
      </c>
      <c r="N29" s="9">
        <f>VLOOKUP(B29,Questions!$K$2:$L$7,2,FALSE)</f>
        <v>50</v>
      </c>
      <c r="Q29" s="7" t="s">
        <v>647</v>
      </c>
      <c r="R29" s="5"/>
      <c r="S29" s="5">
        <f>SUMIF(Answers!G3:G602,"Paid",Answers!N3:N602)</f>
        <v>23630</v>
      </c>
    </row>
    <row r="30" spans="1:25">
      <c r="A30" s="8" t="s">
        <v>379</v>
      </c>
      <c r="B30" s="8">
        <v>6</v>
      </c>
      <c r="C30" s="8" t="s">
        <v>13</v>
      </c>
      <c r="D30" s="8">
        <v>181</v>
      </c>
      <c r="E30" s="8" t="s">
        <v>27</v>
      </c>
      <c r="F30" s="8">
        <v>12</v>
      </c>
      <c r="G30" s="8" t="s">
        <v>15</v>
      </c>
      <c r="H30" s="8" t="s">
        <v>22</v>
      </c>
      <c r="I30" s="8" t="s">
        <v>17</v>
      </c>
      <c r="J30" s="8" t="s">
        <v>49</v>
      </c>
      <c r="K30" s="8" t="s">
        <v>28</v>
      </c>
      <c r="L30" s="8" t="str">
        <f t="shared" si="0"/>
        <v>Junior</v>
      </c>
      <c r="M30" s="8" t="str">
        <f t="shared" si="1"/>
        <v>OK</v>
      </c>
      <c r="N30" s="9">
        <f>VLOOKUP(B30,Questions!$K$2:$L$7,2,FALSE)</f>
        <v>50</v>
      </c>
    </row>
    <row r="31" spans="1:25">
      <c r="A31" s="8" t="s">
        <v>128</v>
      </c>
      <c r="B31" s="8">
        <v>6</v>
      </c>
      <c r="C31" s="8" t="s">
        <v>37</v>
      </c>
      <c r="D31" s="8">
        <v>8</v>
      </c>
      <c r="E31" s="8" t="s">
        <v>14</v>
      </c>
      <c r="F31" s="8">
        <v>12</v>
      </c>
      <c r="G31" s="8" t="s">
        <v>15</v>
      </c>
      <c r="H31" s="8" t="s">
        <v>22</v>
      </c>
      <c r="I31" s="8" t="s">
        <v>23</v>
      </c>
      <c r="J31" s="8" t="s">
        <v>18</v>
      </c>
      <c r="K31" s="8" t="s">
        <v>42</v>
      </c>
      <c r="L31" s="8" t="str">
        <f t="shared" si="0"/>
        <v>Junior</v>
      </c>
      <c r="M31" s="8" t="str">
        <f t="shared" si="1"/>
        <v>OK</v>
      </c>
      <c r="N31" s="9">
        <f>VLOOKUP(B31,Questions!$K$2:$L$7,2,FALSE)</f>
        <v>50</v>
      </c>
      <c r="P31" t="s">
        <v>649</v>
      </c>
    </row>
    <row r="32" spans="1:25">
      <c r="A32" s="8" t="s">
        <v>363</v>
      </c>
      <c r="B32" s="8">
        <v>6</v>
      </c>
      <c r="C32" s="8" t="s">
        <v>37</v>
      </c>
      <c r="D32" s="8">
        <v>11</v>
      </c>
      <c r="E32" s="8" t="s">
        <v>14</v>
      </c>
      <c r="F32" s="8">
        <v>11</v>
      </c>
      <c r="G32" s="8" t="s">
        <v>33</v>
      </c>
      <c r="H32" s="8" t="s">
        <v>22</v>
      </c>
      <c r="I32" s="8" t="s">
        <v>17</v>
      </c>
      <c r="J32" s="8" t="s">
        <v>30</v>
      </c>
      <c r="K32" s="8" t="s">
        <v>31</v>
      </c>
      <c r="L32" s="8" t="str">
        <f t="shared" si="0"/>
        <v>Junior</v>
      </c>
      <c r="M32" s="8" t="str">
        <f t="shared" si="1"/>
        <v>Pending</v>
      </c>
      <c r="N32" s="9">
        <f>VLOOKUP(B32,Questions!$K$2:$L$7,2,FALSE)</f>
        <v>50</v>
      </c>
      <c r="Q32" s="2" t="s">
        <v>1</v>
      </c>
      <c r="R32" s="5" t="s">
        <v>15</v>
      </c>
      <c r="S32" s="7" t="s">
        <v>650</v>
      </c>
    </row>
    <row r="33" spans="1:19">
      <c r="A33" s="8" t="s">
        <v>147</v>
      </c>
      <c r="B33" s="8">
        <v>6</v>
      </c>
      <c r="C33" s="8" t="s">
        <v>37</v>
      </c>
      <c r="D33" s="8">
        <v>19</v>
      </c>
      <c r="E33" s="8" t="s">
        <v>27</v>
      </c>
      <c r="F33" s="8">
        <v>12</v>
      </c>
      <c r="G33" s="8" t="s">
        <v>15</v>
      </c>
      <c r="H33" s="8" t="s">
        <v>16</v>
      </c>
      <c r="I33" s="8" t="s">
        <v>23</v>
      </c>
      <c r="J33" s="8" t="s">
        <v>30</v>
      </c>
      <c r="K33" s="8" t="s">
        <v>19</v>
      </c>
      <c r="L33" s="8" t="str">
        <f t="shared" si="0"/>
        <v>Junior</v>
      </c>
      <c r="M33" s="8" t="str">
        <f t="shared" si="1"/>
        <v>OK</v>
      </c>
      <c r="N33" s="9">
        <f>VLOOKUP(B33,Questions!$K$2:$L$7,2,FALSE)</f>
        <v>50</v>
      </c>
      <c r="Q33" s="5">
        <v>10</v>
      </c>
      <c r="R33" s="5">
        <f>COUNTIFS(Answers!B3:B602,Q33,Answers!G3:G602,"Paid")</f>
        <v>68</v>
      </c>
      <c r="S33" s="5">
        <f>COUNTIFS(Answers!B3:B602,Q33,Answers!G3:G602,"Due")</f>
        <v>58</v>
      </c>
    </row>
    <row r="34" spans="1:19">
      <c r="A34" s="8" t="s">
        <v>581</v>
      </c>
      <c r="B34" s="8">
        <v>6</v>
      </c>
      <c r="C34" s="8" t="s">
        <v>37</v>
      </c>
      <c r="D34" s="8">
        <v>24</v>
      </c>
      <c r="E34" s="8" t="s">
        <v>27</v>
      </c>
      <c r="F34" s="8">
        <v>11</v>
      </c>
      <c r="G34" s="8" t="s">
        <v>15</v>
      </c>
      <c r="H34" s="8" t="s">
        <v>16</v>
      </c>
      <c r="I34" s="8" t="s">
        <v>17</v>
      </c>
      <c r="J34" s="8" t="s">
        <v>49</v>
      </c>
      <c r="K34" s="8" t="s">
        <v>28</v>
      </c>
      <c r="L34" s="8" t="str">
        <f t="shared" si="0"/>
        <v>Junior</v>
      </c>
      <c r="M34" s="8" t="str">
        <f t="shared" si="1"/>
        <v>OK</v>
      </c>
      <c r="N34" s="9">
        <f>VLOOKUP(B34,Questions!$K$2:$L$7,2,FALSE)</f>
        <v>50</v>
      </c>
      <c r="Q34" s="1"/>
    </row>
    <row r="35" spans="1:19">
      <c r="A35" s="8" t="s">
        <v>575</v>
      </c>
      <c r="B35" s="8">
        <v>6</v>
      </c>
      <c r="C35" s="8" t="s">
        <v>37</v>
      </c>
      <c r="D35" s="8">
        <v>33</v>
      </c>
      <c r="E35" s="8" t="s">
        <v>14</v>
      </c>
      <c r="F35" s="8">
        <v>12</v>
      </c>
      <c r="G35" s="8" t="s">
        <v>33</v>
      </c>
      <c r="H35" s="8" t="s">
        <v>16</v>
      </c>
      <c r="I35" s="8" t="s">
        <v>23</v>
      </c>
      <c r="J35" s="8" t="s">
        <v>18</v>
      </c>
      <c r="K35" s="8" t="s">
        <v>31</v>
      </c>
      <c r="L35" s="8" t="str">
        <f t="shared" si="0"/>
        <v>Junior</v>
      </c>
      <c r="M35" s="8" t="str">
        <f t="shared" si="1"/>
        <v>Pending</v>
      </c>
      <c r="N35" s="9">
        <f>VLOOKUP(B35,Questions!$K$2:$L$7,2,FALSE)</f>
        <v>50</v>
      </c>
    </row>
    <row r="36" spans="1:19">
      <c r="A36" s="8" t="s">
        <v>86</v>
      </c>
      <c r="B36" s="8">
        <v>6</v>
      </c>
      <c r="C36" s="8" t="s">
        <v>37</v>
      </c>
      <c r="D36" s="8">
        <v>55</v>
      </c>
      <c r="E36" s="8" t="s">
        <v>14</v>
      </c>
      <c r="F36" s="8">
        <v>11</v>
      </c>
      <c r="G36" s="8" t="s">
        <v>33</v>
      </c>
      <c r="H36" s="8" t="s">
        <v>22</v>
      </c>
      <c r="I36" s="8" t="s">
        <v>23</v>
      </c>
      <c r="J36" s="8" t="s">
        <v>30</v>
      </c>
      <c r="K36" s="8" t="s">
        <v>28</v>
      </c>
      <c r="L36" s="8" t="str">
        <f t="shared" si="0"/>
        <v>Junior</v>
      </c>
      <c r="M36" s="8" t="str">
        <f t="shared" si="1"/>
        <v>Pending</v>
      </c>
      <c r="N36" s="9">
        <f>VLOOKUP(B36,Questions!$K$2:$L$7,2,FALSE)</f>
        <v>50</v>
      </c>
    </row>
    <row r="37" spans="1:19">
      <c r="A37" s="8" t="s">
        <v>467</v>
      </c>
      <c r="B37" s="8">
        <v>6</v>
      </c>
      <c r="C37" s="8" t="s">
        <v>37</v>
      </c>
      <c r="D37" s="8">
        <v>63</v>
      </c>
      <c r="E37" s="8" t="s">
        <v>27</v>
      </c>
      <c r="F37" s="8">
        <v>12</v>
      </c>
      <c r="G37" s="8" t="s">
        <v>33</v>
      </c>
      <c r="H37" s="8" t="s">
        <v>16</v>
      </c>
      <c r="I37" s="8" t="s">
        <v>17</v>
      </c>
      <c r="J37" s="8" t="s">
        <v>24</v>
      </c>
      <c r="K37" s="8" t="s">
        <v>42</v>
      </c>
      <c r="L37" s="8" t="str">
        <f t="shared" si="0"/>
        <v>Junior</v>
      </c>
      <c r="M37" s="8" t="str">
        <f t="shared" si="1"/>
        <v>Pending</v>
      </c>
      <c r="N37" s="9">
        <f>VLOOKUP(B37,Questions!$K$2:$L$7,2,FALSE)</f>
        <v>50</v>
      </c>
    </row>
    <row r="38" spans="1:19">
      <c r="A38" s="8" t="s">
        <v>162</v>
      </c>
      <c r="B38" s="8">
        <v>6</v>
      </c>
      <c r="C38" s="8" t="s">
        <v>37</v>
      </c>
      <c r="D38" s="8">
        <v>65</v>
      </c>
      <c r="E38" s="8" t="s">
        <v>14</v>
      </c>
      <c r="F38" s="8">
        <v>12</v>
      </c>
      <c r="G38" s="8" t="s">
        <v>33</v>
      </c>
      <c r="H38" s="8" t="s">
        <v>22</v>
      </c>
      <c r="I38" s="8" t="s">
        <v>23</v>
      </c>
      <c r="J38" s="8" t="s">
        <v>30</v>
      </c>
      <c r="K38" s="8" t="s">
        <v>28</v>
      </c>
      <c r="L38" s="8" t="str">
        <f t="shared" si="0"/>
        <v>Junior</v>
      </c>
      <c r="M38" s="8" t="str">
        <f t="shared" si="1"/>
        <v>Pending</v>
      </c>
      <c r="N38" s="9">
        <f>VLOOKUP(B38,Questions!$K$2:$L$7,2,FALSE)</f>
        <v>50</v>
      </c>
    </row>
    <row r="39" spans="1:19">
      <c r="A39" s="8" t="s">
        <v>426</v>
      </c>
      <c r="B39" s="8">
        <v>6</v>
      </c>
      <c r="C39" s="8" t="s">
        <v>37</v>
      </c>
      <c r="D39" s="8">
        <v>76</v>
      </c>
      <c r="E39" s="8" t="s">
        <v>27</v>
      </c>
      <c r="F39" s="8">
        <v>12</v>
      </c>
      <c r="G39" s="8" t="s">
        <v>15</v>
      </c>
      <c r="H39" s="8" t="s">
        <v>22</v>
      </c>
      <c r="I39" s="8" t="s">
        <v>17</v>
      </c>
      <c r="J39" s="8" t="s">
        <v>49</v>
      </c>
      <c r="K39" s="8" t="s">
        <v>31</v>
      </c>
      <c r="L39" s="8" t="str">
        <f t="shared" si="0"/>
        <v>Junior</v>
      </c>
      <c r="M39" s="8" t="str">
        <f t="shared" si="1"/>
        <v>OK</v>
      </c>
      <c r="N39" s="9">
        <f>VLOOKUP(B39,Questions!$K$2:$L$7,2,FALSE)</f>
        <v>50</v>
      </c>
    </row>
    <row r="40" spans="1:19">
      <c r="A40" s="8" t="s">
        <v>507</v>
      </c>
      <c r="B40" s="8">
        <v>6</v>
      </c>
      <c r="C40" s="8" t="s">
        <v>37</v>
      </c>
      <c r="D40" s="8">
        <v>85</v>
      </c>
      <c r="E40" s="8" t="s">
        <v>27</v>
      </c>
      <c r="F40" s="8">
        <v>12</v>
      </c>
      <c r="G40" s="8" t="s">
        <v>33</v>
      </c>
      <c r="H40" s="8" t="s">
        <v>16</v>
      </c>
      <c r="I40" s="8" t="s">
        <v>23</v>
      </c>
      <c r="J40" s="8" t="s">
        <v>28</v>
      </c>
      <c r="K40" s="8" t="s">
        <v>19</v>
      </c>
      <c r="L40" s="8" t="str">
        <f t="shared" si="0"/>
        <v>Junior</v>
      </c>
      <c r="M40" s="8" t="str">
        <f t="shared" si="1"/>
        <v>Pending</v>
      </c>
      <c r="N40" s="9">
        <f>VLOOKUP(B40,Questions!$K$2:$L$7,2,FALSE)</f>
        <v>50</v>
      </c>
    </row>
    <row r="41" spans="1:19">
      <c r="A41" s="8" t="s">
        <v>564</v>
      </c>
      <c r="B41" s="8">
        <v>6</v>
      </c>
      <c r="C41" s="8" t="s">
        <v>37</v>
      </c>
      <c r="D41" s="8">
        <v>86</v>
      </c>
      <c r="E41" s="8" t="s">
        <v>14</v>
      </c>
      <c r="F41" s="8">
        <v>11</v>
      </c>
      <c r="G41" s="8" t="s">
        <v>15</v>
      </c>
      <c r="H41" s="8" t="s">
        <v>22</v>
      </c>
      <c r="I41" s="8" t="s">
        <v>17</v>
      </c>
      <c r="J41" s="8" t="s">
        <v>28</v>
      </c>
      <c r="K41" s="8" t="s">
        <v>19</v>
      </c>
      <c r="L41" s="8" t="str">
        <f t="shared" si="0"/>
        <v>Junior</v>
      </c>
      <c r="M41" s="8" t="str">
        <f t="shared" si="1"/>
        <v>OK</v>
      </c>
      <c r="N41" s="9">
        <f>VLOOKUP(B41,Questions!$K$2:$L$7,2,FALSE)</f>
        <v>50</v>
      </c>
    </row>
    <row r="42" spans="1:19">
      <c r="A42" s="8" t="s">
        <v>65</v>
      </c>
      <c r="B42" s="8">
        <v>6</v>
      </c>
      <c r="C42" s="8" t="s">
        <v>37</v>
      </c>
      <c r="D42" s="8">
        <v>96</v>
      </c>
      <c r="E42" s="8" t="s">
        <v>14</v>
      </c>
      <c r="F42" s="8">
        <v>11</v>
      </c>
      <c r="G42" s="8" t="s">
        <v>33</v>
      </c>
      <c r="H42" s="8" t="s">
        <v>16</v>
      </c>
      <c r="I42" s="8" t="s">
        <v>17</v>
      </c>
      <c r="J42" s="8" t="s">
        <v>18</v>
      </c>
      <c r="K42" s="8" t="s">
        <v>19</v>
      </c>
      <c r="L42" s="8" t="str">
        <f t="shared" si="0"/>
        <v>Junior</v>
      </c>
      <c r="M42" s="8" t="str">
        <f t="shared" si="1"/>
        <v>Pending</v>
      </c>
      <c r="N42" s="9">
        <f>VLOOKUP(B42,Questions!$K$2:$L$7,2,FALSE)</f>
        <v>50</v>
      </c>
    </row>
    <row r="43" spans="1:19">
      <c r="A43" s="8" t="s">
        <v>61</v>
      </c>
      <c r="B43" s="8">
        <v>6</v>
      </c>
      <c r="C43" s="8" t="s">
        <v>37</v>
      </c>
      <c r="D43" s="8">
        <v>119</v>
      </c>
      <c r="E43" s="8" t="s">
        <v>27</v>
      </c>
      <c r="F43" s="8">
        <v>12</v>
      </c>
      <c r="G43" s="8" t="s">
        <v>15</v>
      </c>
      <c r="H43" s="8" t="s">
        <v>22</v>
      </c>
      <c r="I43" s="8" t="s">
        <v>17</v>
      </c>
      <c r="J43" s="8" t="s">
        <v>18</v>
      </c>
      <c r="K43" s="8" t="s">
        <v>28</v>
      </c>
      <c r="L43" s="8" t="str">
        <f t="shared" si="0"/>
        <v>Junior</v>
      </c>
      <c r="M43" s="8" t="str">
        <f t="shared" si="1"/>
        <v>OK</v>
      </c>
      <c r="N43" s="9">
        <f>VLOOKUP(B43,Questions!$K$2:$L$7,2,FALSE)</f>
        <v>50</v>
      </c>
    </row>
    <row r="44" spans="1:19">
      <c r="A44" s="8" t="s">
        <v>141</v>
      </c>
      <c r="B44" s="8">
        <v>6</v>
      </c>
      <c r="C44" s="8" t="s">
        <v>37</v>
      </c>
      <c r="D44" s="8">
        <v>123</v>
      </c>
      <c r="E44" s="8" t="s">
        <v>14</v>
      </c>
      <c r="F44" s="8">
        <v>11</v>
      </c>
      <c r="G44" s="8" t="s">
        <v>33</v>
      </c>
      <c r="H44" s="8" t="s">
        <v>16</v>
      </c>
      <c r="I44" s="8" t="s">
        <v>17</v>
      </c>
      <c r="J44" s="8" t="s">
        <v>28</v>
      </c>
      <c r="K44" s="8" t="s">
        <v>42</v>
      </c>
      <c r="L44" s="8" t="str">
        <f t="shared" si="0"/>
        <v>Junior</v>
      </c>
      <c r="M44" s="8" t="str">
        <f t="shared" si="1"/>
        <v>Pending</v>
      </c>
      <c r="N44" s="9">
        <f>VLOOKUP(B44,Questions!$K$2:$L$7,2,FALSE)</f>
        <v>50</v>
      </c>
    </row>
    <row r="45" spans="1:19">
      <c r="A45" s="8" t="s">
        <v>500</v>
      </c>
      <c r="B45" s="8">
        <v>6</v>
      </c>
      <c r="C45" s="8" t="s">
        <v>37</v>
      </c>
      <c r="D45" s="8">
        <v>136</v>
      </c>
      <c r="E45" s="8" t="s">
        <v>27</v>
      </c>
      <c r="F45" s="8">
        <v>12</v>
      </c>
      <c r="G45" s="8" t="s">
        <v>15</v>
      </c>
      <c r="H45" s="8" t="s">
        <v>22</v>
      </c>
      <c r="I45" s="8" t="s">
        <v>17</v>
      </c>
      <c r="J45" s="8" t="s">
        <v>18</v>
      </c>
      <c r="K45" s="8" t="s">
        <v>31</v>
      </c>
      <c r="L45" s="8" t="str">
        <f t="shared" si="0"/>
        <v>Junior</v>
      </c>
      <c r="M45" s="8" t="str">
        <f t="shared" si="1"/>
        <v>OK</v>
      </c>
      <c r="N45" s="9">
        <f>VLOOKUP(B45,Questions!$K$2:$L$7,2,FALSE)</f>
        <v>50</v>
      </c>
    </row>
    <row r="46" spans="1:19">
      <c r="A46" s="8" t="s">
        <v>439</v>
      </c>
      <c r="B46" s="8">
        <v>6</v>
      </c>
      <c r="C46" s="8" t="s">
        <v>37</v>
      </c>
      <c r="D46" s="8">
        <v>140</v>
      </c>
      <c r="E46" s="8" t="s">
        <v>27</v>
      </c>
      <c r="F46" s="8">
        <v>11</v>
      </c>
      <c r="G46" s="8" t="s">
        <v>33</v>
      </c>
      <c r="H46" s="8" t="s">
        <v>16</v>
      </c>
      <c r="I46" s="8" t="s">
        <v>23</v>
      </c>
      <c r="J46" s="8" t="s">
        <v>30</v>
      </c>
      <c r="K46" s="8" t="s">
        <v>42</v>
      </c>
      <c r="L46" s="8" t="str">
        <f t="shared" si="0"/>
        <v>Junior</v>
      </c>
      <c r="M46" s="8" t="str">
        <f t="shared" si="1"/>
        <v>Pending</v>
      </c>
      <c r="N46" s="9">
        <f>VLOOKUP(B46,Questions!$K$2:$L$7,2,FALSE)</f>
        <v>50</v>
      </c>
    </row>
    <row r="47" spans="1:19">
      <c r="A47" s="8" t="s">
        <v>462</v>
      </c>
      <c r="B47" s="8">
        <v>6</v>
      </c>
      <c r="C47" s="8" t="s">
        <v>37</v>
      </c>
      <c r="D47" s="8">
        <v>141</v>
      </c>
      <c r="E47" s="8" t="s">
        <v>14</v>
      </c>
      <c r="F47" s="8">
        <v>11</v>
      </c>
      <c r="G47" s="8" t="s">
        <v>33</v>
      </c>
      <c r="H47" s="8" t="s">
        <v>16</v>
      </c>
      <c r="I47" s="8" t="s">
        <v>23</v>
      </c>
      <c r="J47" s="8" t="s">
        <v>49</v>
      </c>
      <c r="K47" s="8" t="s">
        <v>28</v>
      </c>
      <c r="L47" s="8" t="str">
        <f t="shared" si="0"/>
        <v>Junior</v>
      </c>
      <c r="M47" s="8" t="str">
        <f t="shared" si="1"/>
        <v>Pending</v>
      </c>
      <c r="N47" s="9">
        <f>VLOOKUP(B47,Questions!$K$2:$L$7,2,FALSE)</f>
        <v>50</v>
      </c>
    </row>
    <row r="48" spans="1:19">
      <c r="A48" s="8" t="s">
        <v>373</v>
      </c>
      <c r="B48" s="8">
        <v>6</v>
      </c>
      <c r="C48" s="8" t="s">
        <v>37</v>
      </c>
      <c r="D48" s="8">
        <v>143</v>
      </c>
      <c r="E48" s="8" t="s">
        <v>14</v>
      </c>
      <c r="F48" s="8">
        <v>11</v>
      </c>
      <c r="G48" s="8" t="s">
        <v>15</v>
      </c>
      <c r="H48" s="8" t="s">
        <v>22</v>
      </c>
      <c r="I48" s="8" t="s">
        <v>23</v>
      </c>
      <c r="J48" s="8" t="s">
        <v>30</v>
      </c>
      <c r="K48" s="8" t="s">
        <v>28</v>
      </c>
      <c r="L48" s="8" t="str">
        <f t="shared" si="0"/>
        <v>Junior</v>
      </c>
      <c r="M48" s="8" t="str">
        <f t="shared" si="1"/>
        <v>OK</v>
      </c>
      <c r="N48" s="9">
        <f>VLOOKUP(B48,Questions!$K$2:$L$7,2,FALSE)</f>
        <v>50</v>
      </c>
    </row>
    <row r="49" spans="1:14">
      <c r="A49" s="8" t="s">
        <v>469</v>
      </c>
      <c r="B49" s="8">
        <v>6</v>
      </c>
      <c r="C49" s="8" t="s">
        <v>37</v>
      </c>
      <c r="D49" s="8">
        <v>169</v>
      </c>
      <c r="E49" s="8" t="s">
        <v>27</v>
      </c>
      <c r="F49" s="8">
        <v>11</v>
      </c>
      <c r="G49" s="8" t="s">
        <v>15</v>
      </c>
      <c r="H49" s="8" t="s">
        <v>22</v>
      </c>
      <c r="I49" s="8" t="s">
        <v>17</v>
      </c>
      <c r="J49" s="8" t="s">
        <v>18</v>
      </c>
      <c r="K49" s="8" t="s">
        <v>19</v>
      </c>
      <c r="L49" s="8" t="str">
        <f t="shared" si="0"/>
        <v>Junior</v>
      </c>
      <c r="M49" s="8" t="str">
        <f t="shared" si="1"/>
        <v>OK</v>
      </c>
      <c r="N49" s="9">
        <f>VLOOKUP(B49,Questions!$K$2:$L$7,2,FALSE)</f>
        <v>50</v>
      </c>
    </row>
    <row r="50" spans="1:14">
      <c r="A50" s="8" t="s">
        <v>287</v>
      </c>
      <c r="B50" s="8">
        <v>6</v>
      </c>
      <c r="C50" s="8" t="s">
        <v>37</v>
      </c>
      <c r="D50" s="8">
        <v>173</v>
      </c>
      <c r="E50" s="8" t="s">
        <v>27</v>
      </c>
      <c r="F50" s="8">
        <v>11</v>
      </c>
      <c r="G50" s="8" t="s">
        <v>15</v>
      </c>
      <c r="H50" s="8" t="s">
        <v>16</v>
      </c>
      <c r="I50" s="8" t="s">
        <v>17</v>
      </c>
      <c r="J50" s="8" t="s">
        <v>28</v>
      </c>
      <c r="K50" s="8" t="s">
        <v>31</v>
      </c>
      <c r="L50" s="8" t="str">
        <f t="shared" si="0"/>
        <v>Junior</v>
      </c>
      <c r="M50" s="8" t="str">
        <f t="shared" si="1"/>
        <v>OK</v>
      </c>
      <c r="N50" s="9">
        <f>VLOOKUP(B50,Questions!$K$2:$L$7,2,FALSE)</f>
        <v>50</v>
      </c>
    </row>
    <row r="51" spans="1:14">
      <c r="A51" s="8" t="s">
        <v>411</v>
      </c>
      <c r="B51" s="8">
        <v>6</v>
      </c>
      <c r="C51" s="8" t="s">
        <v>37</v>
      </c>
      <c r="D51" s="8">
        <v>180</v>
      </c>
      <c r="E51" s="8" t="s">
        <v>14</v>
      </c>
      <c r="F51" s="8">
        <v>11</v>
      </c>
      <c r="G51" s="8" t="s">
        <v>33</v>
      </c>
      <c r="H51" s="8" t="s">
        <v>16</v>
      </c>
      <c r="I51" s="8" t="s">
        <v>17</v>
      </c>
      <c r="J51" s="8" t="s">
        <v>30</v>
      </c>
      <c r="K51" s="8" t="s">
        <v>42</v>
      </c>
      <c r="L51" s="8" t="str">
        <f t="shared" si="0"/>
        <v>Junior</v>
      </c>
      <c r="M51" s="8" t="str">
        <f t="shared" si="1"/>
        <v>Pending</v>
      </c>
      <c r="N51" s="9">
        <f>VLOOKUP(B51,Questions!$K$2:$L$7,2,FALSE)</f>
        <v>50</v>
      </c>
    </row>
    <row r="52" spans="1:14">
      <c r="A52" s="8" t="s">
        <v>459</v>
      </c>
      <c r="B52" s="8">
        <v>6</v>
      </c>
      <c r="C52" s="8" t="s">
        <v>37</v>
      </c>
      <c r="D52" s="8">
        <v>191</v>
      </c>
      <c r="E52" s="8" t="s">
        <v>27</v>
      </c>
      <c r="F52" s="8">
        <v>12</v>
      </c>
      <c r="G52" s="8" t="s">
        <v>15</v>
      </c>
      <c r="H52" s="8" t="s">
        <v>22</v>
      </c>
      <c r="I52" s="8" t="s">
        <v>17</v>
      </c>
      <c r="J52" s="8" t="s">
        <v>18</v>
      </c>
      <c r="K52" s="8" t="s">
        <v>19</v>
      </c>
      <c r="L52" s="8" t="str">
        <f t="shared" si="0"/>
        <v>Junior</v>
      </c>
      <c r="M52" s="8" t="str">
        <f t="shared" si="1"/>
        <v>OK</v>
      </c>
      <c r="N52" s="9">
        <f>VLOOKUP(B52,Questions!$K$2:$L$7,2,FALSE)</f>
        <v>50</v>
      </c>
    </row>
    <row r="53" spans="1:14">
      <c r="A53" s="8" t="s">
        <v>174</v>
      </c>
      <c r="B53" s="8">
        <v>6</v>
      </c>
      <c r="C53" s="8" t="s">
        <v>37</v>
      </c>
      <c r="D53" s="8">
        <v>192</v>
      </c>
      <c r="E53" s="8" t="s">
        <v>27</v>
      </c>
      <c r="F53" s="8">
        <v>12</v>
      </c>
      <c r="G53" s="8" t="s">
        <v>33</v>
      </c>
      <c r="H53" s="8" t="s">
        <v>22</v>
      </c>
      <c r="I53" s="8" t="s">
        <v>23</v>
      </c>
      <c r="J53" s="8" t="s">
        <v>30</v>
      </c>
      <c r="K53" s="8" t="s">
        <v>19</v>
      </c>
      <c r="L53" s="8" t="str">
        <f t="shared" si="0"/>
        <v>Junior</v>
      </c>
      <c r="M53" s="8" t="str">
        <f t="shared" si="1"/>
        <v>Pending</v>
      </c>
      <c r="N53" s="9">
        <f>VLOOKUP(B53,Questions!$K$2:$L$7,2,FALSE)</f>
        <v>50</v>
      </c>
    </row>
    <row r="54" spans="1:14">
      <c r="A54" s="8" t="s">
        <v>38</v>
      </c>
      <c r="B54" s="8">
        <v>6</v>
      </c>
      <c r="C54" s="8" t="s">
        <v>37</v>
      </c>
      <c r="D54" s="8">
        <v>193</v>
      </c>
      <c r="E54" s="8" t="s">
        <v>27</v>
      </c>
      <c r="F54" s="8">
        <v>11</v>
      </c>
      <c r="G54" s="8" t="s">
        <v>33</v>
      </c>
      <c r="H54" s="8" t="s">
        <v>16</v>
      </c>
      <c r="I54" s="8" t="s">
        <v>23</v>
      </c>
      <c r="J54" s="8" t="s">
        <v>30</v>
      </c>
      <c r="K54" s="8" t="s">
        <v>28</v>
      </c>
      <c r="L54" s="8" t="str">
        <f t="shared" si="0"/>
        <v>Junior</v>
      </c>
      <c r="M54" s="8" t="str">
        <f t="shared" si="1"/>
        <v>Pending</v>
      </c>
      <c r="N54" s="9">
        <f>VLOOKUP(B54,Questions!$K$2:$L$7,2,FALSE)</f>
        <v>50</v>
      </c>
    </row>
    <row r="55" spans="1:14">
      <c r="A55" s="8" t="s">
        <v>210</v>
      </c>
      <c r="B55" s="8">
        <v>6</v>
      </c>
      <c r="C55" s="8" t="s">
        <v>37</v>
      </c>
      <c r="D55" s="8">
        <v>197</v>
      </c>
      <c r="E55" s="8" t="s">
        <v>27</v>
      </c>
      <c r="F55" s="8">
        <v>11</v>
      </c>
      <c r="G55" s="8" t="s">
        <v>15</v>
      </c>
      <c r="H55" s="8" t="s">
        <v>16</v>
      </c>
      <c r="I55" s="8" t="s">
        <v>23</v>
      </c>
      <c r="J55" s="8" t="s">
        <v>30</v>
      </c>
      <c r="K55" s="8" t="s">
        <v>31</v>
      </c>
      <c r="L55" s="8" t="str">
        <f t="shared" si="0"/>
        <v>Junior</v>
      </c>
      <c r="M55" s="8" t="str">
        <f t="shared" si="1"/>
        <v>OK</v>
      </c>
      <c r="N55" s="9">
        <f>VLOOKUP(B55,Questions!$K$2:$L$7,2,FALSE)</f>
        <v>50</v>
      </c>
    </row>
    <row r="56" spans="1:14">
      <c r="A56" s="8" t="s">
        <v>328</v>
      </c>
      <c r="B56" s="8">
        <v>6</v>
      </c>
      <c r="C56" s="8" t="s">
        <v>26</v>
      </c>
      <c r="D56" s="8">
        <v>2</v>
      </c>
      <c r="E56" s="8" t="s">
        <v>27</v>
      </c>
      <c r="F56" s="8">
        <v>11</v>
      </c>
      <c r="G56" s="8" t="s">
        <v>33</v>
      </c>
      <c r="H56" s="8" t="s">
        <v>22</v>
      </c>
      <c r="I56" s="8" t="s">
        <v>23</v>
      </c>
      <c r="J56" s="8" t="s">
        <v>28</v>
      </c>
      <c r="K56" s="8" t="s">
        <v>28</v>
      </c>
      <c r="L56" s="8" t="str">
        <f t="shared" si="0"/>
        <v>Junior</v>
      </c>
      <c r="M56" s="8" t="str">
        <f t="shared" si="1"/>
        <v>Pending</v>
      </c>
      <c r="N56" s="9">
        <f>VLOOKUP(B56,Questions!$K$2:$L$7,2,FALSE)</f>
        <v>50</v>
      </c>
    </row>
    <row r="57" spans="1:14">
      <c r="A57" s="8" t="s">
        <v>182</v>
      </c>
      <c r="B57" s="8">
        <v>6</v>
      </c>
      <c r="C57" s="8" t="s">
        <v>26</v>
      </c>
      <c r="D57" s="8">
        <v>5</v>
      </c>
      <c r="E57" s="8" t="s">
        <v>14</v>
      </c>
      <c r="F57" s="8">
        <v>11</v>
      </c>
      <c r="G57" s="8" t="s">
        <v>33</v>
      </c>
      <c r="H57" s="8" t="s">
        <v>16</v>
      </c>
      <c r="I57" s="8" t="s">
        <v>23</v>
      </c>
      <c r="J57" s="8" t="s">
        <v>30</v>
      </c>
      <c r="K57" s="8" t="s">
        <v>28</v>
      </c>
      <c r="L57" s="8" t="str">
        <f t="shared" si="0"/>
        <v>Junior</v>
      </c>
      <c r="M57" s="8" t="str">
        <f t="shared" si="1"/>
        <v>Pending</v>
      </c>
      <c r="N57" s="9">
        <f>VLOOKUP(B57,Questions!$K$2:$L$7,2,FALSE)</f>
        <v>50</v>
      </c>
    </row>
    <row r="58" spans="1:14">
      <c r="A58" s="8" t="s">
        <v>220</v>
      </c>
      <c r="B58" s="8">
        <v>6</v>
      </c>
      <c r="C58" s="8" t="s">
        <v>26</v>
      </c>
      <c r="D58" s="8">
        <v>10</v>
      </c>
      <c r="E58" s="8" t="s">
        <v>14</v>
      </c>
      <c r="F58" s="8">
        <v>11</v>
      </c>
      <c r="G58" s="8" t="s">
        <v>15</v>
      </c>
      <c r="H58" s="8" t="s">
        <v>22</v>
      </c>
      <c r="I58" s="8" t="s">
        <v>23</v>
      </c>
      <c r="J58" s="8" t="s">
        <v>28</v>
      </c>
      <c r="K58" s="8" t="s">
        <v>31</v>
      </c>
      <c r="L58" s="8" t="str">
        <f t="shared" si="0"/>
        <v>Junior</v>
      </c>
      <c r="M58" s="8" t="str">
        <f t="shared" si="1"/>
        <v>OK</v>
      </c>
      <c r="N58" s="9">
        <f>VLOOKUP(B58,Questions!$K$2:$L$7,2,FALSE)</f>
        <v>50</v>
      </c>
    </row>
    <row r="59" spans="1:14">
      <c r="A59" s="8" t="s">
        <v>77</v>
      </c>
      <c r="B59" s="8">
        <v>6</v>
      </c>
      <c r="C59" s="8" t="s">
        <v>26</v>
      </c>
      <c r="D59" s="8">
        <v>45</v>
      </c>
      <c r="E59" s="8" t="s">
        <v>27</v>
      </c>
      <c r="F59" s="8">
        <v>12</v>
      </c>
      <c r="G59" s="8" t="s">
        <v>15</v>
      </c>
      <c r="H59" s="8" t="s">
        <v>16</v>
      </c>
      <c r="I59" s="8" t="s">
        <v>23</v>
      </c>
      <c r="J59" s="8" t="s">
        <v>18</v>
      </c>
      <c r="K59" s="8" t="s">
        <v>42</v>
      </c>
      <c r="L59" s="8" t="str">
        <f t="shared" si="0"/>
        <v>Junior</v>
      </c>
      <c r="M59" s="8" t="str">
        <f t="shared" si="1"/>
        <v>OK</v>
      </c>
      <c r="N59" s="9">
        <f>VLOOKUP(B59,Questions!$K$2:$L$7,2,FALSE)</f>
        <v>50</v>
      </c>
    </row>
    <row r="60" spans="1:14">
      <c r="A60" s="8" t="s">
        <v>331</v>
      </c>
      <c r="B60" s="8">
        <v>6</v>
      </c>
      <c r="C60" s="8" t="s">
        <v>26</v>
      </c>
      <c r="D60" s="8">
        <v>67</v>
      </c>
      <c r="E60" s="8" t="s">
        <v>27</v>
      </c>
      <c r="F60" s="8">
        <v>11</v>
      </c>
      <c r="G60" s="8" t="s">
        <v>15</v>
      </c>
      <c r="H60" s="8" t="s">
        <v>16</v>
      </c>
      <c r="I60" s="8" t="s">
        <v>17</v>
      </c>
      <c r="J60" s="8" t="s">
        <v>28</v>
      </c>
      <c r="K60" s="8" t="s">
        <v>31</v>
      </c>
      <c r="L60" s="8" t="str">
        <f t="shared" si="0"/>
        <v>Junior</v>
      </c>
      <c r="M60" s="8" t="str">
        <f t="shared" si="1"/>
        <v>OK</v>
      </c>
      <c r="N60" s="9">
        <f>VLOOKUP(B60,Questions!$K$2:$L$7,2,FALSE)</f>
        <v>50</v>
      </c>
    </row>
    <row r="61" spans="1:14">
      <c r="A61" s="8" t="s">
        <v>155</v>
      </c>
      <c r="B61" s="8">
        <v>6</v>
      </c>
      <c r="C61" s="8" t="s">
        <v>26</v>
      </c>
      <c r="D61" s="8">
        <v>68</v>
      </c>
      <c r="E61" s="8" t="s">
        <v>14</v>
      </c>
      <c r="F61" s="8">
        <v>11</v>
      </c>
      <c r="G61" s="8" t="s">
        <v>15</v>
      </c>
      <c r="H61" s="8" t="s">
        <v>16</v>
      </c>
      <c r="I61" s="8" t="s">
        <v>17</v>
      </c>
      <c r="J61" s="8" t="s">
        <v>28</v>
      </c>
      <c r="K61" s="8" t="s">
        <v>28</v>
      </c>
      <c r="L61" s="8" t="str">
        <f t="shared" si="0"/>
        <v>Junior</v>
      </c>
      <c r="M61" s="8" t="str">
        <f t="shared" si="1"/>
        <v>OK</v>
      </c>
      <c r="N61" s="9">
        <f>VLOOKUP(B61,Questions!$K$2:$L$7,2,FALSE)</f>
        <v>50</v>
      </c>
    </row>
    <row r="62" spans="1:14">
      <c r="A62" s="8" t="s">
        <v>423</v>
      </c>
      <c r="B62" s="8">
        <v>6</v>
      </c>
      <c r="C62" s="8" t="s">
        <v>26</v>
      </c>
      <c r="D62" s="8">
        <v>73</v>
      </c>
      <c r="E62" s="8" t="s">
        <v>27</v>
      </c>
      <c r="F62" s="8">
        <v>11</v>
      </c>
      <c r="G62" s="8" t="s">
        <v>33</v>
      </c>
      <c r="H62" s="8" t="s">
        <v>22</v>
      </c>
      <c r="I62" s="8" t="s">
        <v>17</v>
      </c>
      <c r="J62" s="8" t="s">
        <v>28</v>
      </c>
      <c r="K62" s="8" t="s">
        <v>19</v>
      </c>
      <c r="L62" s="8" t="str">
        <f t="shared" si="0"/>
        <v>Junior</v>
      </c>
      <c r="M62" s="8" t="str">
        <f t="shared" si="1"/>
        <v>Pending</v>
      </c>
      <c r="N62" s="9">
        <f>VLOOKUP(B62,Questions!$K$2:$L$7,2,FALSE)</f>
        <v>50</v>
      </c>
    </row>
    <row r="63" spans="1:14">
      <c r="A63" s="8" t="s">
        <v>353</v>
      </c>
      <c r="B63" s="8">
        <v>6</v>
      </c>
      <c r="C63" s="8" t="s">
        <v>26</v>
      </c>
      <c r="D63" s="8">
        <v>84</v>
      </c>
      <c r="E63" s="8" t="s">
        <v>14</v>
      </c>
      <c r="F63" s="8">
        <v>12</v>
      </c>
      <c r="G63" s="8" t="s">
        <v>33</v>
      </c>
      <c r="H63" s="8" t="s">
        <v>22</v>
      </c>
      <c r="I63" s="8" t="s">
        <v>23</v>
      </c>
      <c r="J63" s="8" t="s">
        <v>28</v>
      </c>
      <c r="K63" s="8" t="s">
        <v>28</v>
      </c>
      <c r="L63" s="8" t="str">
        <f t="shared" si="0"/>
        <v>Junior</v>
      </c>
      <c r="M63" s="8" t="str">
        <f t="shared" si="1"/>
        <v>Pending</v>
      </c>
      <c r="N63" s="9">
        <f>VLOOKUP(B63,Questions!$K$2:$L$7,2,FALSE)</f>
        <v>50</v>
      </c>
    </row>
    <row r="64" spans="1:14">
      <c r="A64" s="8" t="s">
        <v>356</v>
      </c>
      <c r="B64" s="8">
        <v>6</v>
      </c>
      <c r="C64" s="8" t="s">
        <v>26</v>
      </c>
      <c r="D64" s="8">
        <v>88</v>
      </c>
      <c r="E64" s="8" t="s">
        <v>27</v>
      </c>
      <c r="F64" s="8">
        <v>12</v>
      </c>
      <c r="G64" s="8" t="s">
        <v>15</v>
      </c>
      <c r="H64" s="8" t="s">
        <v>22</v>
      </c>
      <c r="I64" s="8" t="s">
        <v>23</v>
      </c>
      <c r="J64" s="8" t="s">
        <v>28</v>
      </c>
      <c r="K64" s="8" t="s">
        <v>28</v>
      </c>
      <c r="L64" s="8" t="str">
        <f t="shared" si="0"/>
        <v>Junior</v>
      </c>
      <c r="M64" s="8" t="str">
        <f t="shared" si="1"/>
        <v>OK</v>
      </c>
      <c r="N64" s="9">
        <f>VLOOKUP(B64,Questions!$K$2:$L$7,2,FALSE)</f>
        <v>50</v>
      </c>
    </row>
    <row r="65" spans="1:14">
      <c r="A65" s="8" t="s">
        <v>521</v>
      </c>
      <c r="B65" s="8">
        <v>6</v>
      </c>
      <c r="C65" s="8" t="s">
        <v>26</v>
      </c>
      <c r="D65" s="8">
        <v>112</v>
      </c>
      <c r="E65" s="8" t="s">
        <v>14</v>
      </c>
      <c r="F65" s="8">
        <v>11</v>
      </c>
      <c r="G65" s="8" t="s">
        <v>33</v>
      </c>
      <c r="H65" s="8" t="s">
        <v>16</v>
      </c>
      <c r="I65" s="8" t="s">
        <v>23</v>
      </c>
      <c r="J65" s="8" t="s">
        <v>18</v>
      </c>
      <c r="K65" s="8" t="s">
        <v>19</v>
      </c>
      <c r="L65" s="8" t="str">
        <f t="shared" si="0"/>
        <v>Junior</v>
      </c>
      <c r="M65" s="8" t="str">
        <f t="shared" si="1"/>
        <v>Pending</v>
      </c>
      <c r="N65" s="9">
        <f>VLOOKUP(B65,Questions!$K$2:$L$7,2,FALSE)</f>
        <v>50</v>
      </c>
    </row>
    <row r="66" spans="1:14">
      <c r="A66" s="8" t="s">
        <v>110</v>
      </c>
      <c r="B66" s="8">
        <v>6</v>
      </c>
      <c r="C66" s="8" t="s">
        <v>26</v>
      </c>
      <c r="D66" s="8">
        <v>117</v>
      </c>
      <c r="E66" s="8" t="s">
        <v>14</v>
      </c>
      <c r="F66" s="8">
        <v>12</v>
      </c>
      <c r="G66" s="8" t="s">
        <v>15</v>
      </c>
      <c r="H66" s="8" t="s">
        <v>16</v>
      </c>
      <c r="I66" s="8" t="s">
        <v>23</v>
      </c>
      <c r="J66" s="8" t="s">
        <v>24</v>
      </c>
      <c r="K66" s="8" t="s">
        <v>28</v>
      </c>
      <c r="L66" s="8" t="str">
        <f t="shared" si="0"/>
        <v>Junior</v>
      </c>
      <c r="M66" s="8" t="str">
        <f t="shared" si="1"/>
        <v>OK</v>
      </c>
      <c r="N66" s="9">
        <f>VLOOKUP(B66,Questions!$K$2:$L$7,2,FALSE)</f>
        <v>50</v>
      </c>
    </row>
    <row r="67" spans="1:14">
      <c r="A67" s="8" t="s">
        <v>504</v>
      </c>
      <c r="B67" s="8">
        <v>6</v>
      </c>
      <c r="C67" s="8" t="s">
        <v>26</v>
      </c>
      <c r="D67" s="8">
        <v>133</v>
      </c>
      <c r="E67" s="8" t="s">
        <v>14</v>
      </c>
      <c r="F67" s="8">
        <v>12</v>
      </c>
      <c r="G67" s="8" t="s">
        <v>33</v>
      </c>
      <c r="H67" s="8" t="s">
        <v>16</v>
      </c>
      <c r="I67" s="8" t="s">
        <v>23</v>
      </c>
      <c r="J67" s="8" t="s">
        <v>28</v>
      </c>
      <c r="K67" s="8" t="s">
        <v>28</v>
      </c>
      <c r="L67" s="8" t="str">
        <f t="shared" ref="L67:L130" si="4">IF(B67&lt;=7,"Junior","Senior")</f>
        <v>Junior</v>
      </c>
      <c r="M67" s="8" t="str">
        <f t="shared" si="1"/>
        <v>Pending</v>
      </c>
      <c r="N67" s="9">
        <f>VLOOKUP(B67,Questions!$K$2:$L$7,2,FALSE)</f>
        <v>50</v>
      </c>
    </row>
    <row r="68" spans="1:14">
      <c r="A68" s="8" t="s">
        <v>246</v>
      </c>
      <c r="B68" s="8">
        <v>6</v>
      </c>
      <c r="C68" s="8" t="s">
        <v>26</v>
      </c>
      <c r="D68" s="8">
        <v>137</v>
      </c>
      <c r="E68" s="8" t="s">
        <v>14</v>
      </c>
      <c r="F68" s="8">
        <v>11</v>
      </c>
      <c r="G68" s="8" t="s">
        <v>15</v>
      </c>
      <c r="H68" s="8" t="s">
        <v>16</v>
      </c>
      <c r="I68" s="8" t="s">
        <v>23</v>
      </c>
      <c r="J68" s="8" t="s">
        <v>18</v>
      </c>
      <c r="K68" s="8" t="s">
        <v>31</v>
      </c>
      <c r="L68" s="8" t="str">
        <f t="shared" si="4"/>
        <v>Junior</v>
      </c>
      <c r="M68" s="8" t="str">
        <f t="shared" ref="M68:M131" si="5">IF(G68="Paid","OK","Pending")</f>
        <v>OK</v>
      </c>
      <c r="N68" s="9">
        <f>VLOOKUP(B68,Questions!$K$2:$L$7,2,FALSE)</f>
        <v>50</v>
      </c>
    </row>
    <row r="69" spans="1:14">
      <c r="A69" s="8" t="s">
        <v>510</v>
      </c>
      <c r="B69" s="8">
        <v>6</v>
      </c>
      <c r="C69" s="8" t="s">
        <v>26</v>
      </c>
      <c r="D69" s="8">
        <v>147</v>
      </c>
      <c r="E69" s="8" t="s">
        <v>27</v>
      </c>
      <c r="F69" s="8">
        <v>12</v>
      </c>
      <c r="G69" s="8" t="s">
        <v>33</v>
      </c>
      <c r="H69" s="8" t="s">
        <v>16</v>
      </c>
      <c r="I69" s="8" t="s">
        <v>23</v>
      </c>
      <c r="J69" s="8" t="s">
        <v>18</v>
      </c>
      <c r="K69" s="8" t="s">
        <v>19</v>
      </c>
      <c r="L69" s="8" t="str">
        <f t="shared" si="4"/>
        <v>Junior</v>
      </c>
      <c r="M69" s="8" t="str">
        <f t="shared" si="5"/>
        <v>Pending</v>
      </c>
      <c r="N69" s="9">
        <f>VLOOKUP(B69,Questions!$K$2:$L$7,2,FALSE)</f>
        <v>50</v>
      </c>
    </row>
    <row r="70" spans="1:14">
      <c r="A70" s="8" t="s">
        <v>368</v>
      </c>
      <c r="B70" s="8">
        <v>6</v>
      </c>
      <c r="C70" s="8" t="s">
        <v>26</v>
      </c>
      <c r="D70" s="8">
        <v>153</v>
      </c>
      <c r="E70" s="8" t="s">
        <v>14</v>
      </c>
      <c r="F70" s="8">
        <v>12</v>
      </c>
      <c r="G70" s="8" t="s">
        <v>33</v>
      </c>
      <c r="H70" s="8" t="s">
        <v>16</v>
      </c>
      <c r="I70" s="8" t="s">
        <v>17</v>
      </c>
      <c r="J70" s="8" t="s">
        <v>28</v>
      </c>
      <c r="K70" s="8" t="s">
        <v>28</v>
      </c>
      <c r="L70" s="8" t="str">
        <f t="shared" si="4"/>
        <v>Junior</v>
      </c>
      <c r="M70" s="8" t="str">
        <f t="shared" si="5"/>
        <v>Pending</v>
      </c>
      <c r="N70" s="9">
        <f>VLOOKUP(B70,Questions!$K$2:$L$7,2,FALSE)</f>
        <v>50</v>
      </c>
    </row>
    <row r="71" spans="1:14">
      <c r="A71" s="8" t="s">
        <v>497</v>
      </c>
      <c r="B71" s="8">
        <v>6</v>
      </c>
      <c r="C71" s="8" t="s">
        <v>26</v>
      </c>
      <c r="D71" s="8">
        <v>161</v>
      </c>
      <c r="E71" s="8" t="s">
        <v>27</v>
      </c>
      <c r="F71" s="8">
        <v>11</v>
      </c>
      <c r="G71" s="8" t="s">
        <v>15</v>
      </c>
      <c r="H71" s="8" t="s">
        <v>22</v>
      </c>
      <c r="I71" s="8" t="s">
        <v>23</v>
      </c>
      <c r="J71" s="8" t="s">
        <v>49</v>
      </c>
      <c r="K71" s="8" t="s">
        <v>19</v>
      </c>
      <c r="L71" s="8" t="str">
        <f t="shared" si="4"/>
        <v>Junior</v>
      </c>
      <c r="M71" s="8" t="str">
        <f t="shared" si="5"/>
        <v>OK</v>
      </c>
      <c r="N71" s="9">
        <f>VLOOKUP(B71,Questions!$K$2:$L$7,2,FALSE)</f>
        <v>50</v>
      </c>
    </row>
    <row r="72" spans="1:14">
      <c r="A72" s="8" t="s">
        <v>567</v>
      </c>
      <c r="B72" s="8">
        <v>6</v>
      </c>
      <c r="C72" s="8" t="s">
        <v>26</v>
      </c>
      <c r="D72" s="8">
        <v>164</v>
      </c>
      <c r="E72" s="8" t="s">
        <v>27</v>
      </c>
      <c r="F72" s="8">
        <v>12</v>
      </c>
      <c r="G72" s="8" t="s">
        <v>15</v>
      </c>
      <c r="H72" s="8" t="s">
        <v>22</v>
      </c>
      <c r="I72" s="8" t="s">
        <v>23</v>
      </c>
      <c r="J72" s="8" t="s">
        <v>18</v>
      </c>
      <c r="K72" s="8" t="s">
        <v>28</v>
      </c>
      <c r="L72" s="8" t="str">
        <f t="shared" si="4"/>
        <v>Junior</v>
      </c>
      <c r="M72" s="8" t="str">
        <f t="shared" si="5"/>
        <v>OK</v>
      </c>
      <c r="N72" s="9">
        <f>VLOOKUP(B72,Questions!$K$2:$L$7,2,FALSE)</f>
        <v>50</v>
      </c>
    </row>
    <row r="73" spans="1:14">
      <c r="A73" s="8" t="s">
        <v>129</v>
      </c>
      <c r="B73" s="8">
        <v>6</v>
      </c>
      <c r="C73" s="8" t="s">
        <v>26</v>
      </c>
      <c r="D73" s="8">
        <v>171</v>
      </c>
      <c r="E73" s="8" t="s">
        <v>14</v>
      </c>
      <c r="F73" s="8">
        <v>11</v>
      </c>
      <c r="G73" s="8" t="s">
        <v>15</v>
      </c>
      <c r="H73" s="8" t="s">
        <v>22</v>
      </c>
      <c r="I73" s="8" t="s">
        <v>23</v>
      </c>
      <c r="J73" s="8" t="s">
        <v>49</v>
      </c>
      <c r="K73" s="8" t="s">
        <v>42</v>
      </c>
      <c r="L73" s="8" t="str">
        <f t="shared" si="4"/>
        <v>Junior</v>
      </c>
      <c r="M73" s="8" t="str">
        <f t="shared" si="5"/>
        <v>OK</v>
      </c>
      <c r="N73" s="9">
        <f>VLOOKUP(B73,Questions!$K$2:$L$7,2,FALSE)</f>
        <v>50</v>
      </c>
    </row>
    <row r="74" spans="1:14">
      <c r="A74" s="8" t="s">
        <v>112</v>
      </c>
      <c r="B74" s="8">
        <v>6</v>
      </c>
      <c r="C74" s="8" t="s">
        <v>26</v>
      </c>
      <c r="D74" s="8">
        <v>178</v>
      </c>
      <c r="E74" s="8" t="s">
        <v>14</v>
      </c>
      <c r="F74" s="8">
        <v>12</v>
      </c>
      <c r="G74" s="8" t="s">
        <v>15</v>
      </c>
      <c r="H74" s="8" t="s">
        <v>22</v>
      </c>
      <c r="I74" s="8" t="s">
        <v>17</v>
      </c>
      <c r="J74" s="8" t="s">
        <v>28</v>
      </c>
      <c r="K74" s="8" t="s">
        <v>42</v>
      </c>
      <c r="L74" s="8" t="str">
        <f t="shared" si="4"/>
        <v>Junior</v>
      </c>
      <c r="M74" s="8" t="str">
        <f t="shared" si="5"/>
        <v>OK</v>
      </c>
      <c r="N74" s="9">
        <f>VLOOKUP(B74,Questions!$K$2:$L$7,2,FALSE)</f>
        <v>50</v>
      </c>
    </row>
    <row r="75" spans="1:14">
      <c r="A75" s="8" t="s">
        <v>412</v>
      </c>
      <c r="B75" s="8">
        <v>6</v>
      </c>
      <c r="C75" s="8" t="s">
        <v>26</v>
      </c>
      <c r="D75" s="8">
        <v>195</v>
      </c>
      <c r="E75" s="8" t="s">
        <v>14</v>
      </c>
      <c r="F75" s="8">
        <v>12</v>
      </c>
      <c r="G75" s="8" t="s">
        <v>15</v>
      </c>
      <c r="H75" s="8" t="s">
        <v>22</v>
      </c>
      <c r="I75" s="8" t="s">
        <v>23</v>
      </c>
      <c r="J75" s="8" t="s">
        <v>28</v>
      </c>
      <c r="K75" s="8" t="s">
        <v>42</v>
      </c>
      <c r="L75" s="8" t="str">
        <f t="shared" si="4"/>
        <v>Junior</v>
      </c>
      <c r="M75" s="8" t="str">
        <f t="shared" si="5"/>
        <v>OK</v>
      </c>
      <c r="N75" s="9">
        <f>VLOOKUP(B75,Questions!$K$2:$L$7,2,FALSE)</f>
        <v>50</v>
      </c>
    </row>
    <row r="76" spans="1:14">
      <c r="A76" s="8" t="s">
        <v>529</v>
      </c>
      <c r="B76" s="8">
        <v>6</v>
      </c>
      <c r="C76" s="8" t="s">
        <v>26</v>
      </c>
      <c r="D76" s="8">
        <v>199</v>
      </c>
      <c r="E76" s="8" t="s">
        <v>27</v>
      </c>
      <c r="F76" s="8">
        <v>12</v>
      </c>
      <c r="G76" s="8" t="s">
        <v>15</v>
      </c>
      <c r="H76" s="8" t="s">
        <v>22</v>
      </c>
      <c r="I76" s="8" t="s">
        <v>17</v>
      </c>
      <c r="J76" s="8" t="s">
        <v>24</v>
      </c>
      <c r="K76" s="8" t="s">
        <v>28</v>
      </c>
      <c r="L76" s="8" t="str">
        <f t="shared" si="4"/>
        <v>Junior</v>
      </c>
      <c r="M76" s="8" t="str">
        <f t="shared" si="5"/>
        <v>OK</v>
      </c>
      <c r="N76" s="9">
        <f>VLOOKUP(B76,Questions!$K$2:$L$7,2,FALSE)</f>
        <v>50</v>
      </c>
    </row>
    <row r="77" spans="1:14">
      <c r="A77" s="8" t="s">
        <v>358</v>
      </c>
      <c r="B77" s="8">
        <v>6</v>
      </c>
      <c r="C77" s="8" t="s">
        <v>21</v>
      </c>
      <c r="D77" s="8">
        <v>3</v>
      </c>
      <c r="E77" s="8" t="s">
        <v>14</v>
      </c>
      <c r="F77" s="8">
        <v>11</v>
      </c>
      <c r="G77" s="8" t="s">
        <v>33</v>
      </c>
      <c r="H77" s="8" t="s">
        <v>22</v>
      </c>
      <c r="I77" s="8" t="s">
        <v>17</v>
      </c>
      <c r="J77" s="8" t="s">
        <v>49</v>
      </c>
      <c r="K77" s="8" t="s">
        <v>28</v>
      </c>
      <c r="L77" s="8" t="str">
        <f t="shared" si="4"/>
        <v>Junior</v>
      </c>
      <c r="M77" s="8" t="str">
        <f t="shared" si="5"/>
        <v>Pending</v>
      </c>
      <c r="N77" s="9">
        <f>VLOOKUP(B77,Questions!$K$2:$L$7,2,FALSE)</f>
        <v>50</v>
      </c>
    </row>
    <row r="78" spans="1:14">
      <c r="A78" s="8" t="s">
        <v>137</v>
      </c>
      <c r="B78" s="8">
        <v>6</v>
      </c>
      <c r="C78" s="8" t="s">
        <v>21</v>
      </c>
      <c r="D78" s="8">
        <v>4</v>
      </c>
      <c r="E78" s="8" t="s">
        <v>14</v>
      </c>
      <c r="F78" s="8">
        <v>12</v>
      </c>
      <c r="G78" s="8" t="s">
        <v>33</v>
      </c>
      <c r="H78" s="8" t="s">
        <v>22</v>
      </c>
      <c r="I78" s="8" t="s">
        <v>23</v>
      </c>
      <c r="J78" s="8" t="s">
        <v>28</v>
      </c>
      <c r="K78" s="8" t="s">
        <v>28</v>
      </c>
      <c r="L78" s="8" t="str">
        <f t="shared" si="4"/>
        <v>Junior</v>
      </c>
      <c r="M78" s="8" t="str">
        <f t="shared" si="5"/>
        <v>Pending</v>
      </c>
      <c r="N78" s="9">
        <f>VLOOKUP(B78,Questions!$K$2:$L$7,2,FALSE)</f>
        <v>50</v>
      </c>
    </row>
    <row r="79" spans="1:14">
      <c r="A79" s="8" t="s">
        <v>440</v>
      </c>
      <c r="B79" s="8">
        <v>6</v>
      </c>
      <c r="C79" s="8" t="s">
        <v>21</v>
      </c>
      <c r="D79" s="8">
        <v>17</v>
      </c>
      <c r="E79" s="8" t="s">
        <v>14</v>
      </c>
      <c r="F79" s="8">
        <v>11</v>
      </c>
      <c r="G79" s="8" t="s">
        <v>15</v>
      </c>
      <c r="H79" s="8" t="s">
        <v>16</v>
      </c>
      <c r="I79" s="8" t="s">
        <v>17</v>
      </c>
      <c r="J79" s="8" t="s">
        <v>49</v>
      </c>
      <c r="K79" s="8" t="s">
        <v>31</v>
      </c>
      <c r="L79" s="8" t="str">
        <f t="shared" si="4"/>
        <v>Junior</v>
      </c>
      <c r="M79" s="8" t="str">
        <f t="shared" si="5"/>
        <v>OK</v>
      </c>
      <c r="N79" s="9">
        <f>VLOOKUP(B79,Questions!$K$2:$L$7,2,FALSE)</f>
        <v>50</v>
      </c>
    </row>
    <row r="80" spans="1:14">
      <c r="A80" s="8" t="s">
        <v>573</v>
      </c>
      <c r="B80" s="8">
        <v>6</v>
      </c>
      <c r="C80" s="8" t="s">
        <v>21</v>
      </c>
      <c r="D80" s="8">
        <v>27</v>
      </c>
      <c r="E80" s="8" t="s">
        <v>27</v>
      </c>
      <c r="F80" s="8">
        <v>12</v>
      </c>
      <c r="G80" s="8" t="s">
        <v>15</v>
      </c>
      <c r="H80" s="8" t="s">
        <v>22</v>
      </c>
      <c r="I80" s="8" t="s">
        <v>17</v>
      </c>
      <c r="J80" s="8" t="s">
        <v>30</v>
      </c>
      <c r="K80" s="8" t="s">
        <v>42</v>
      </c>
      <c r="L80" s="8" t="str">
        <f t="shared" si="4"/>
        <v>Junior</v>
      </c>
      <c r="M80" s="8" t="str">
        <f t="shared" si="5"/>
        <v>OK</v>
      </c>
      <c r="N80" s="9">
        <f>VLOOKUP(B80,Questions!$K$2:$L$7,2,FALSE)</f>
        <v>50</v>
      </c>
    </row>
    <row r="81" spans="1:14">
      <c r="A81" s="8" t="s">
        <v>74</v>
      </c>
      <c r="B81" s="8">
        <v>6</v>
      </c>
      <c r="C81" s="8" t="s">
        <v>21</v>
      </c>
      <c r="D81" s="8">
        <v>35</v>
      </c>
      <c r="E81" s="8" t="s">
        <v>14</v>
      </c>
      <c r="F81" s="8">
        <v>11</v>
      </c>
      <c r="G81" s="8" t="s">
        <v>15</v>
      </c>
      <c r="H81" s="8" t="s">
        <v>22</v>
      </c>
      <c r="I81" s="8" t="s">
        <v>23</v>
      </c>
      <c r="J81" s="8" t="s">
        <v>18</v>
      </c>
      <c r="K81" s="8" t="s">
        <v>31</v>
      </c>
      <c r="L81" s="8" t="str">
        <f t="shared" si="4"/>
        <v>Junior</v>
      </c>
      <c r="M81" s="8" t="str">
        <f t="shared" si="5"/>
        <v>OK</v>
      </c>
      <c r="N81" s="9">
        <f>VLOOKUP(B81,Questions!$K$2:$L$7,2,FALSE)</f>
        <v>50</v>
      </c>
    </row>
    <row r="82" spans="1:14">
      <c r="A82" s="8" t="s">
        <v>442</v>
      </c>
      <c r="B82" s="8">
        <v>6</v>
      </c>
      <c r="C82" s="8" t="s">
        <v>21</v>
      </c>
      <c r="D82" s="8">
        <v>54</v>
      </c>
      <c r="E82" s="8" t="s">
        <v>14</v>
      </c>
      <c r="F82" s="8">
        <v>12</v>
      </c>
      <c r="G82" s="8" t="s">
        <v>33</v>
      </c>
      <c r="H82" s="8" t="s">
        <v>22</v>
      </c>
      <c r="I82" s="8" t="s">
        <v>17</v>
      </c>
      <c r="J82" s="8" t="s">
        <v>24</v>
      </c>
      <c r="K82" s="8" t="s">
        <v>28</v>
      </c>
      <c r="L82" s="8" t="str">
        <f t="shared" si="4"/>
        <v>Junior</v>
      </c>
      <c r="M82" s="8" t="str">
        <f t="shared" si="5"/>
        <v>Pending</v>
      </c>
      <c r="N82" s="9">
        <f>VLOOKUP(B82,Questions!$K$2:$L$7,2,FALSE)</f>
        <v>50</v>
      </c>
    </row>
    <row r="83" spans="1:14">
      <c r="A83" s="8" t="s">
        <v>324</v>
      </c>
      <c r="B83" s="8">
        <v>6</v>
      </c>
      <c r="C83" s="8" t="s">
        <v>21</v>
      </c>
      <c r="D83" s="8">
        <v>60</v>
      </c>
      <c r="E83" s="8" t="s">
        <v>27</v>
      </c>
      <c r="F83" s="8">
        <v>11</v>
      </c>
      <c r="G83" s="8" t="s">
        <v>33</v>
      </c>
      <c r="H83" s="8" t="s">
        <v>22</v>
      </c>
      <c r="I83" s="8" t="s">
        <v>17</v>
      </c>
      <c r="J83" s="8" t="s">
        <v>30</v>
      </c>
      <c r="K83" s="8" t="s">
        <v>28</v>
      </c>
      <c r="L83" s="8" t="str">
        <f t="shared" si="4"/>
        <v>Junior</v>
      </c>
      <c r="M83" s="8" t="str">
        <f t="shared" si="5"/>
        <v>Pending</v>
      </c>
      <c r="N83" s="9">
        <f>VLOOKUP(B83,Questions!$K$2:$L$7,2,FALSE)</f>
        <v>50</v>
      </c>
    </row>
    <row r="84" spans="1:14">
      <c r="A84" s="8" t="s">
        <v>565</v>
      </c>
      <c r="B84" s="8">
        <v>6</v>
      </c>
      <c r="C84" s="8" t="s">
        <v>21</v>
      </c>
      <c r="D84" s="8">
        <v>66</v>
      </c>
      <c r="E84" s="8" t="s">
        <v>27</v>
      </c>
      <c r="F84" s="8">
        <v>12</v>
      </c>
      <c r="G84" s="8" t="s">
        <v>15</v>
      </c>
      <c r="H84" s="8" t="s">
        <v>16</v>
      </c>
      <c r="I84" s="8" t="s">
        <v>17</v>
      </c>
      <c r="J84" s="8" t="s">
        <v>28</v>
      </c>
      <c r="K84" s="8" t="s">
        <v>28</v>
      </c>
      <c r="L84" s="8" t="str">
        <f t="shared" si="4"/>
        <v>Junior</v>
      </c>
      <c r="M84" s="8" t="str">
        <f t="shared" si="5"/>
        <v>OK</v>
      </c>
      <c r="N84" s="9">
        <f>VLOOKUP(B84,Questions!$K$2:$L$7,2,FALSE)</f>
        <v>50</v>
      </c>
    </row>
    <row r="85" spans="1:14">
      <c r="A85" s="8" t="s">
        <v>218</v>
      </c>
      <c r="B85" s="8">
        <v>6</v>
      </c>
      <c r="C85" s="8" t="s">
        <v>21</v>
      </c>
      <c r="D85" s="8">
        <v>70</v>
      </c>
      <c r="E85" s="8" t="s">
        <v>27</v>
      </c>
      <c r="F85" s="8">
        <v>11</v>
      </c>
      <c r="G85" s="8" t="s">
        <v>33</v>
      </c>
      <c r="H85" s="8" t="s">
        <v>22</v>
      </c>
      <c r="I85" s="8" t="s">
        <v>23</v>
      </c>
      <c r="J85" s="8" t="s">
        <v>24</v>
      </c>
      <c r="K85" s="8" t="s">
        <v>42</v>
      </c>
      <c r="L85" s="8" t="str">
        <f t="shared" si="4"/>
        <v>Junior</v>
      </c>
      <c r="M85" s="8" t="str">
        <f t="shared" si="5"/>
        <v>Pending</v>
      </c>
      <c r="N85" s="9">
        <f>VLOOKUP(B85,Questions!$K$2:$L$7,2,FALSE)</f>
        <v>50</v>
      </c>
    </row>
    <row r="86" spans="1:14">
      <c r="A86" s="8" t="s">
        <v>435</v>
      </c>
      <c r="B86" s="8">
        <v>6</v>
      </c>
      <c r="C86" s="8" t="s">
        <v>21</v>
      </c>
      <c r="D86" s="8">
        <v>74</v>
      </c>
      <c r="E86" s="8" t="s">
        <v>14</v>
      </c>
      <c r="F86" s="8">
        <v>11</v>
      </c>
      <c r="G86" s="8" t="s">
        <v>33</v>
      </c>
      <c r="H86" s="8" t="s">
        <v>22</v>
      </c>
      <c r="I86" s="8" t="s">
        <v>17</v>
      </c>
      <c r="J86" s="8" t="s">
        <v>28</v>
      </c>
      <c r="K86" s="8" t="s">
        <v>31</v>
      </c>
      <c r="L86" s="8" t="str">
        <f t="shared" si="4"/>
        <v>Junior</v>
      </c>
      <c r="M86" s="8" t="str">
        <f t="shared" si="5"/>
        <v>Pending</v>
      </c>
      <c r="N86" s="9">
        <f>VLOOKUP(B86,Questions!$K$2:$L$7,2,FALSE)</f>
        <v>50</v>
      </c>
    </row>
    <row r="87" spans="1:14">
      <c r="A87" s="8" t="s">
        <v>493</v>
      </c>
      <c r="B87" s="8">
        <v>6</v>
      </c>
      <c r="C87" s="8" t="s">
        <v>21</v>
      </c>
      <c r="D87" s="8">
        <v>80</v>
      </c>
      <c r="E87" s="8" t="s">
        <v>27</v>
      </c>
      <c r="F87" s="8">
        <v>12</v>
      </c>
      <c r="G87" s="8" t="s">
        <v>33</v>
      </c>
      <c r="H87" s="8" t="s">
        <v>22</v>
      </c>
      <c r="I87" s="8" t="s">
        <v>17</v>
      </c>
      <c r="J87" s="8" t="s">
        <v>30</v>
      </c>
      <c r="K87" s="8" t="s">
        <v>31</v>
      </c>
      <c r="L87" s="8" t="str">
        <f t="shared" si="4"/>
        <v>Junior</v>
      </c>
      <c r="M87" s="8" t="str">
        <f t="shared" si="5"/>
        <v>Pending</v>
      </c>
      <c r="N87" s="9">
        <f>VLOOKUP(B87,Questions!$K$2:$L$7,2,FALSE)</f>
        <v>50</v>
      </c>
    </row>
    <row r="88" spans="1:14">
      <c r="A88" s="8" t="s">
        <v>491</v>
      </c>
      <c r="B88" s="8">
        <v>6</v>
      </c>
      <c r="C88" s="8" t="s">
        <v>21</v>
      </c>
      <c r="D88" s="8">
        <v>83</v>
      </c>
      <c r="E88" s="8" t="s">
        <v>27</v>
      </c>
      <c r="F88" s="8">
        <v>12</v>
      </c>
      <c r="G88" s="8" t="s">
        <v>15</v>
      </c>
      <c r="H88" s="8" t="s">
        <v>22</v>
      </c>
      <c r="I88" s="8" t="s">
        <v>17</v>
      </c>
      <c r="J88" s="8" t="s">
        <v>30</v>
      </c>
      <c r="K88" s="8" t="s">
        <v>28</v>
      </c>
      <c r="L88" s="8" t="str">
        <f t="shared" si="4"/>
        <v>Junior</v>
      </c>
      <c r="M88" s="8" t="str">
        <f t="shared" si="5"/>
        <v>OK</v>
      </c>
      <c r="N88" s="9">
        <f>VLOOKUP(B88,Questions!$K$2:$L$7,2,FALSE)</f>
        <v>50</v>
      </c>
    </row>
    <row r="89" spans="1:14">
      <c r="A89" s="8" t="s">
        <v>262</v>
      </c>
      <c r="B89" s="8">
        <v>6</v>
      </c>
      <c r="C89" s="8" t="s">
        <v>21</v>
      </c>
      <c r="D89" s="8">
        <v>91</v>
      </c>
      <c r="E89" s="8" t="s">
        <v>14</v>
      </c>
      <c r="F89" s="8">
        <v>12</v>
      </c>
      <c r="G89" s="8" t="s">
        <v>33</v>
      </c>
      <c r="H89" s="8" t="s">
        <v>16</v>
      </c>
      <c r="I89" s="8" t="s">
        <v>23</v>
      </c>
      <c r="J89" s="8" t="s">
        <v>18</v>
      </c>
      <c r="K89" s="8" t="s">
        <v>28</v>
      </c>
      <c r="L89" s="8" t="str">
        <f t="shared" si="4"/>
        <v>Junior</v>
      </c>
      <c r="M89" s="8" t="str">
        <f t="shared" si="5"/>
        <v>Pending</v>
      </c>
      <c r="N89" s="9">
        <f>VLOOKUP(B89,Questions!$K$2:$L$7,2,FALSE)</f>
        <v>50</v>
      </c>
    </row>
    <row r="90" spans="1:14">
      <c r="A90" s="8" t="s">
        <v>240</v>
      </c>
      <c r="B90" s="8">
        <v>6</v>
      </c>
      <c r="C90" s="8" t="s">
        <v>21</v>
      </c>
      <c r="D90" s="8">
        <v>92</v>
      </c>
      <c r="E90" s="8" t="s">
        <v>27</v>
      </c>
      <c r="F90" s="8">
        <v>11</v>
      </c>
      <c r="G90" s="8" t="s">
        <v>33</v>
      </c>
      <c r="H90" s="8" t="s">
        <v>22</v>
      </c>
      <c r="I90" s="8" t="s">
        <v>23</v>
      </c>
      <c r="J90" s="8" t="s">
        <v>28</v>
      </c>
      <c r="K90" s="8" t="s">
        <v>28</v>
      </c>
      <c r="L90" s="8" t="str">
        <f t="shared" si="4"/>
        <v>Junior</v>
      </c>
      <c r="M90" s="8" t="str">
        <f t="shared" si="5"/>
        <v>Pending</v>
      </c>
      <c r="N90" s="9">
        <f>VLOOKUP(B90,Questions!$K$2:$L$7,2,FALSE)</f>
        <v>50</v>
      </c>
    </row>
    <row r="91" spans="1:14">
      <c r="A91" s="8" t="s">
        <v>75</v>
      </c>
      <c r="B91" s="8">
        <v>6</v>
      </c>
      <c r="C91" s="8" t="s">
        <v>21</v>
      </c>
      <c r="D91" s="8">
        <v>115</v>
      </c>
      <c r="E91" s="8" t="s">
        <v>27</v>
      </c>
      <c r="F91" s="8">
        <v>12</v>
      </c>
      <c r="G91" s="8" t="s">
        <v>15</v>
      </c>
      <c r="H91" s="8" t="s">
        <v>22</v>
      </c>
      <c r="I91" s="8" t="s">
        <v>23</v>
      </c>
      <c r="J91" s="8" t="s">
        <v>30</v>
      </c>
      <c r="K91" s="8" t="s">
        <v>19</v>
      </c>
      <c r="L91" s="8" t="str">
        <f t="shared" si="4"/>
        <v>Junior</v>
      </c>
      <c r="M91" s="8" t="str">
        <f t="shared" si="5"/>
        <v>OK</v>
      </c>
      <c r="N91" s="9">
        <f>VLOOKUP(B91,Questions!$K$2:$L$7,2,FALSE)</f>
        <v>50</v>
      </c>
    </row>
    <row r="92" spans="1:14">
      <c r="A92" s="8" t="s">
        <v>252</v>
      </c>
      <c r="B92" s="8">
        <v>6</v>
      </c>
      <c r="C92" s="8" t="s">
        <v>21</v>
      </c>
      <c r="D92" s="8">
        <v>118</v>
      </c>
      <c r="E92" s="8" t="s">
        <v>27</v>
      </c>
      <c r="F92" s="8">
        <v>12</v>
      </c>
      <c r="G92" s="8" t="s">
        <v>15</v>
      </c>
      <c r="H92" s="8" t="s">
        <v>16</v>
      </c>
      <c r="I92" s="8" t="s">
        <v>23</v>
      </c>
      <c r="J92" s="8" t="s">
        <v>30</v>
      </c>
      <c r="K92" s="8" t="s">
        <v>28</v>
      </c>
      <c r="L92" s="8" t="str">
        <f t="shared" si="4"/>
        <v>Junior</v>
      </c>
      <c r="M92" s="8" t="str">
        <f t="shared" si="5"/>
        <v>OK</v>
      </c>
      <c r="N92" s="9">
        <f>VLOOKUP(B92,Questions!$K$2:$L$7,2,FALSE)</f>
        <v>50</v>
      </c>
    </row>
    <row r="93" spans="1:14">
      <c r="A93" s="8" t="s">
        <v>525</v>
      </c>
      <c r="B93" s="8">
        <v>6</v>
      </c>
      <c r="C93" s="8" t="s">
        <v>21</v>
      </c>
      <c r="D93" s="8">
        <v>120</v>
      </c>
      <c r="E93" s="8" t="s">
        <v>14</v>
      </c>
      <c r="F93" s="8">
        <v>11</v>
      </c>
      <c r="G93" s="8" t="s">
        <v>15</v>
      </c>
      <c r="H93" s="8" t="s">
        <v>16</v>
      </c>
      <c r="I93" s="8" t="s">
        <v>17</v>
      </c>
      <c r="J93" s="8" t="s">
        <v>28</v>
      </c>
      <c r="K93" s="8" t="s">
        <v>19</v>
      </c>
      <c r="L93" s="8" t="str">
        <f t="shared" si="4"/>
        <v>Junior</v>
      </c>
      <c r="M93" s="8" t="str">
        <f t="shared" si="5"/>
        <v>OK</v>
      </c>
      <c r="N93" s="9">
        <f>VLOOKUP(B93,Questions!$K$2:$L$7,2,FALSE)</f>
        <v>50</v>
      </c>
    </row>
    <row r="94" spans="1:14">
      <c r="A94" s="8" t="s">
        <v>398</v>
      </c>
      <c r="B94" s="8">
        <v>6</v>
      </c>
      <c r="C94" s="8" t="s">
        <v>21</v>
      </c>
      <c r="D94" s="8">
        <v>121</v>
      </c>
      <c r="E94" s="8" t="s">
        <v>27</v>
      </c>
      <c r="F94" s="8">
        <v>12</v>
      </c>
      <c r="G94" s="8" t="s">
        <v>15</v>
      </c>
      <c r="H94" s="8" t="s">
        <v>22</v>
      </c>
      <c r="I94" s="8" t="s">
        <v>23</v>
      </c>
      <c r="J94" s="8" t="s">
        <v>49</v>
      </c>
      <c r="K94" s="8" t="s">
        <v>28</v>
      </c>
      <c r="L94" s="8" t="str">
        <f t="shared" si="4"/>
        <v>Junior</v>
      </c>
      <c r="M94" s="8" t="str">
        <f t="shared" si="5"/>
        <v>OK</v>
      </c>
      <c r="N94" s="9">
        <f>VLOOKUP(B94,Questions!$K$2:$L$7,2,FALSE)</f>
        <v>50</v>
      </c>
    </row>
    <row r="95" spans="1:14">
      <c r="A95" s="8" t="s">
        <v>170</v>
      </c>
      <c r="B95" s="8">
        <v>6</v>
      </c>
      <c r="C95" s="8" t="s">
        <v>21</v>
      </c>
      <c r="D95" s="8">
        <v>124</v>
      </c>
      <c r="E95" s="8" t="s">
        <v>27</v>
      </c>
      <c r="F95" s="8">
        <v>12</v>
      </c>
      <c r="G95" s="8" t="s">
        <v>33</v>
      </c>
      <c r="H95" s="8" t="s">
        <v>16</v>
      </c>
      <c r="I95" s="8" t="s">
        <v>23</v>
      </c>
      <c r="J95" s="8" t="s">
        <v>24</v>
      </c>
      <c r="K95" s="8" t="s">
        <v>28</v>
      </c>
      <c r="L95" s="8" t="str">
        <f t="shared" si="4"/>
        <v>Junior</v>
      </c>
      <c r="M95" s="8" t="str">
        <f t="shared" si="5"/>
        <v>Pending</v>
      </c>
      <c r="N95" s="9">
        <f>VLOOKUP(B95,Questions!$K$2:$L$7,2,FALSE)</f>
        <v>50</v>
      </c>
    </row>
    <row r="96" spans="1:14">
      <c r="A96" s="8" t="s">
        <v>314</v>
      </c>
      <c r="B96" s="8">
        <v>6</v>
      </c>
      <c r="C96" s="8" t="s">
        <v>21</v>
      </c>
      <c r="D96" s="8">
        <v>130</v>
      </c>
      <c r="E96" s="8" t="s">
        <v>27</v>
      </c>
      <c r="F96" s="8">
        <v>11</v>
      </c>
      <c r="G96" s="8" t="s">
        <v>15</v>
      </c>
      <c r="H96" s="8" t="s">
        <v>22</v>
      </c>
      <c r="I96" s="8" t="s">
        <v>23</v>
      </c>
      <c r="J96" s="8" t="s">
        <v>24</v>
      </c>
      <c r="K96" s="8" t="s">
        <v>28</v>
      </c>
      <c r="L96" s="8" t="str">
        <f t="shared" si="4"/>
        <v>Junior</v>
      </c>
      <c r="M96" s="8" t="str">
        <f t="shared" si="5"/>
        <v>OK</v>
      </c>
      <c r="N96" s="9">
        <f>VLOOKUP(B96,Questions!$K$2:$L$7,2,FALSE)</f>
        <v>50</v>
      </c>
    </row>
    <row r="97" spans="1:14">
      <c r="A97" s="8" t="s">
        <v>511</v>
      </c>
      <c r="B97" s="8">
        <v>6</v>
      </c>
      <c r="C97" s="8" t="s">
        <v>21</v>
      </c>
      <c r="D97" s="8">
        <v>134</v>
      </c>
      <c r="E97" s="8" t="s">
        <v>14</v>
      </c>
      <c r="F97" s="8">
        <v>12</v>
      </c>
      <c r="G97" s="8" t="s">
        <v>33</v>
      </c>
      <c r="H97" s="8" t="s">
        <v>22</v>
      </c>
      <c r="I97" s="8" t="s">
        <v>23</v>
      </c>
      <c r="J97" s="8" t="s">
        <v>18</v>
      </c>
      <c r="K97" s="8" t="s">
        <v>19</v>
      </c>
      <c r="L97" s="8" t="str">
        <f t="shared" si="4"/>
        <v>Junior</v>
      </c>
      <c r="M97" s="8" t="str">
        <f t="shared" si="5"/>
        <v>Pending</v>
      </c>
      <c r="N97" s="9">
        <f>VLOOKUP(B97,Questions!$K$2:$L$7,2,FALSE)</f>
        <v>50</v>
      </c>
    </row>
    <row r="98" spans="1:14">
      <c r="A98" s="8" t="s">
        <v>179</v>
      </c>
      <c r="B98" s="8">
        <v>6</v>
      </c>
      <c r="C98" s="8" t="s">
        <v>21</v>
      </c>
      <c r="D98" s="8">
        <v>142</v>
      </c>
      <c r="E98" s="8" t="s">
        <v>14</v>
      </c>
      <c r="F98" s="8">
        <v>11</v>
      </c>
      <c r="G98" s="8" t="s">
        <v>15</v>
      </c>
      <c r="H98" s="8" t="s">
        <v>16</v>
      </c>
      <c r="I98" s="8" t="s">
        <v>17</v>
      </c>
      <c r="J98" s="8" t="s">
        <v>28</v>
      </c>
      <c r="K98" s="8" t="s">
        <v>28</v>
      </c>
      <c r="L98" s="8" t="str">
        <f t="shared" si="4"/>
        <v>Junior</v>
      </c>
      <c r="M98" s="8" t="str">
        <f t="shared" si="5"/>
        <v>OK</v>
      </c>
      <c r="N98" s="9">
        <f>VLOOKUP(B98,Questions!$K$2:$L$7,2,FALSE)</f>
        <v>50</v>
      </c>
    </row>
    <row r="99" spans="1:14">
      <c r="A99" s="8" t="s">
        <v>376</v>
      </c>
      <c r="B99" s="8">
        <v>6</v>
      </c>
      <c r="C99" s="8" t="s">
        <v>21</v>
      </c>
      <c r="D99" s="8">
        <v>151</v>
      </c>
      <c r="E99" s="8" t="s">
        <v>27</v>
      </c>
      <c r="F99" s="8">
        <v>11</v>
      </c>
      <c r="G99" s="8" t="s">
        <v>15</v>
      </c>
      <c r="H99" s="8" t="s">
        <v>16</v>
      </c>
      <c r="I99" s="8" t="s">
        <v>17</v>
      </c>
      <c r="J99" s="8" t="s">
        <v>28</v>
      </c>
      <c r="K99" s="8" t="s">
        <v>31</v>
      </c>
      <c r="L99" s="8" t="str">
        <f t="shared" si="4"/>
        <v>Junior</v>
      </c>
      <c r="M99" s="8" t="str">
        <f t="shared" si="5"/>
        <v>OK</v>
      </c>
      <c r="N99" s="9">
        <f>VLOOKUP(B99,Questions!$K$2:$L$7,2,FALSE)</f>
        <v>50</v>
      </c>
    </row>
    <row r="100" spans="1:14">
      <c r="A100" s="8" t="s">
        <v>306</v>
      </c>
      <c r="B100" s="8">
        <v>6</v>
      </c>
      <c r="C100" s="8" t="s">
        <v>21</v>
      </c>
      <c r="D100" s="8">
        <v>152</v>
      </c>
      <c r="E100" s="8" t="s">
        <v>14</v>
      </c>
      <c r="F100" s="8">
        <v>11</v>
      </c>
      <c r="G100" s="8" t="s">
        <v>15</v>
      </c>
      <c r="H100" s="8" t="s">
        <v>16</v>
      </c>
      <c r="I100" s="8" t="s">
        <v>23</v>
      </c>
      <c r="J100" s="8" t="s">
        <v>24</v>
      </c>
      <c r="K100" s="8" t="s">
        <v>31</v>
      </c>
      <c r="L100" s="8" t="str">
        <f t="shared" si="4"/>
        <v>Junior</v>
      </c>
      <c r="M100" s="8" t="str">
        <f t="shared" si="5"/>
        <v>OK</v>
      </c>
      <c r="N100" s="9">
        <f>VLOOKUP(B100,Questions!$K$2:$L$7,2,FALSE)</f>
        <v>50</v>
      </c>
    </row>
    <row r="101" spans="1:14">
      <c r="A101" s="8" t="s">
        <v>251</v>
      </c>
      <c r="B101" s="8">
        <v>6</v>
      </c>
      <c r="C101" s="8" t="s">
        <v>21</v>
      </c>
      <c r="D101" s="8">
        <v>174</v>
      </c>
      <c r="E101" s="8" t="s">
        <v>14</v>
      </c>
      <c r="F101" s="8">
        <v>11</v>
      </c>
      <c r="G101" s="8" t="s">
        <v>15</v>
      </c>
      <c r="H101" s="8" t="s">
        <v>22</v>
      </c>
      <c r="I101" s="8" t="s">
        <v>23</v>
      </c>
      <c r="J101" s="8" t="s">
        <v>28</v>
      </c>
      <c r="K101" s="8" t="s">
        <v>19</v>
      </c>
      <c r="L101" s="8" t="str">
        <f t="shared" si="4"/>
        <v>Junior</v>
      </c>
      <c r="M101" s="8" t="str">
        <f t="shared" si="5"/>
        <v>OK</v>
      </c>
      <c r="N101" s="9">
        <f>VLOOKUP(B101,Questions!$K$2:$L$7,2,FALSE)</f>
        <v>50</v>
      </c>
    </row>
    <row r="102" spans="1:14">
      <c r="A102" s="8" t="s">
        <v>180</v>
      </c>
      <c r="B102" s="8">
        <v>6</v>
      </c>
      <c r="C102" s="8" t="s">
        <v>21</v>
      </c>
      <c r="D102" s="8">
        <v>179</v>
      </c>
      <c r="E102" s="8" t="s">
        <v>27</v>
      </c>
      <c r="F102" s="8">
        <v>12</v>
      </c>
      <c r="G102" s="8" t="s">
        <v>15</v>
      </c>
      <c r="H102" s="8" t="s">
        <v>16</v>
      </c>
      <c r="I102" s="8" t="s">
        <v>17</v>
      </c>
      <c r="J102" s="8" t="s">
        <v>18</v>
      </c>
      <c r="K102" s="8" t="s">
        <v>31</v>
      </c>
      <c r="L102" s="8" t="str">
        <f t="shared" si="4"/>
        <v>Junior</v>
      </c>
      <c r="M102" s="8" t="str">
        <f t="shared" si="5"/>
        <v>OK</v>
      </c>
      <c r="N102" s="9">
        <f>VLOOKUP(B102,Questions!$K$2:$L$7,2,FALSE)</f>
        <v>50</v>
      </c>
    </row>
    <row r="103" spans="1:14">
      <c r="A103" s="8" t="s">
        <v>512</v>
      </c>
      <c r="B103" s="8">
        <v>6</v>
      </c>
      <c r="C103" s="8" t="s">
        <v>21</v>
      </c>
      <c r="D103" s="8">
        <v>182</v>
      </c>
      <c r="E103" s="8" t="s">
        <v>27</v>
      </c>
      <c r="F103" s="8">
        <v>11</v>
      </c>
      <c r="G103" s="8" t="s">
        <v>33</v>
      </c>
      <c r="H103" s="8" t="s">
        <v>16</v>
      </c>
      <c r="I103" s="8" t="s">
        <v>23</v>
      </c>
      <c r="J103" s="8" t="s">
        <v>24</v>
      </c>
      <c r="K103" s="8" t="s">
        <v>42</v>
      </c>
      <c r="L103" s="8" t="str">
        <f t="shared" si="4"/>
        <v>Junior</v>
      </c>
      <c r="M103" s="8" t="str">
        <f t="shared" si="5"/>
        <v>Pending</v>
      </c>
      <c r="N103" s="9">
        <f>VLOOKUP(B103,Questions!$K$2:$L$7,2,FALSE)</f>
        <v>50</v>
      </c>
    </row>
    <row r="104" spans="1:14">
      <c r="A104" s="8" t="s">
        <v>216</v>
      </c>
      <c r="B104" s="8">
        <v>6</v>
      </c>
      <c r="C104" s="8" t="s">
        <v>21</v>
      </c>
      <c r="D104" s="8">
        <v>183</v>
      </c>
      <c r="E104" s="8" t="s">
        <v>14</v>
      </c>
      <c r="F104" s="8">
        <v>11</v>
      </c>
      <c r="G104" s="8" t="s">
        <v>33</v>
      </c>
      <c r="H104" s="8" t="s">
        <v>16</v>
      </c>
      <c r="I104" s="8" t="s">
        <v>23</v>
      </c>
      <c r="J104" s="8" t="s">
        <v>30</v>
      </c>
      <c r="K104" s="8" t="s">
        <v>19</v>
      </c>
      <c r="L104" s="8" t="str">
        <f t="shared" si="4"/>
        <v>Junior</v>
      </c>
      <c r="M104" s="8" t="str">
        <f t="shared" si="5"/>
        <v>Pending</v>
      </c>
      <c r="N104" s="9">
        <f>VLOOKUP(B104,Questions!$K$2:$L$7,2,FALSE)</f>
        <v>50</v>
      </c>
    </row>
    <row r="105" spans="1:14">
      <c r="A105" s="8" t="s">
        <v>87</v>
      </c>
      <c r="B105" s="8">
        <v>6</v>
      </c>
      <c r="C105" s="8" t="s">
        <v>21</v>
      </c>
      <c r="D105" s="8">
        <v>184</v>
      </c>
      <c r="E105" s="8" t="s">
        <v>14</v>
      </c>
      <c r="F105" s="8">
        <v>12</v>
      </c>
      <c r="G105" s="8" t="s">
        <v>15</v>
      </c>
      <c r="H105" s="8" t="s">
        <v>22</v>
      </c>
      <c r="I105" s="8" t="s">
        <v>17</v>
      </c>
      <c r="J105" s="8" t="s">
        <v>30</v>
      </c>
      <c r="K105" s="8" t="s">
        <v>31</v>
      </c>
      <c r="L105" s="8" t="str">
        <f t="shared" si="4"/>
        <v>Junior</v>
      </c>
      <c r="M105" s="8" t="str">
        <f t="shared" si="5"/>
        <v>OK</v>
      </c>
      <c r="N105" s="9">
        <f>VLOOKUP(B105,Questions!$K$2:$L$7,2,FALSE)</f>
        <v>50</v>
      </c>
    </row>
    <row r="106" spans="1:14">
      <c r="A106" s="8" t="s">
        <v>179</v>
      </c>
      <c r="B106" s="8">
        <v>6</v>
      </c>
      <c r="C106" s="8" t="s">
        <v>21</v>
      </c>
      <c r="D106" s="8">
        <v>187</v>
      </c>
      <c r="E106" s="8" t="s">
        <v>14</v>
      </c>
      <c r="F106" s="8">
        <v>11</v>
      </c>
      <c r="G106" s="8" t="s">
        <v>15</v>
      </c>
      <c r="H106" s="8" t="s">
        <v>16</v>
      </c>
      <c r="I106" s="8" t="s">
        <v>23</v>
      </c>
      <c r="J106" s="8" t="s">
        <v>49</v>
      </c>
      <c r="K106" s="8" t="s">
        <v>28</v>
      </c>
      <c r="L106" s="8" t="str">
        <f t="shared" si="4"/>
        <v>Junior</v>
      </c>
      <c r="M106" s="8" t="str">
        <f t="shared" si="5"/>
        <v>OK</v>
      </c>
      <c r="N106" s="9">
        <f>VLOOKUP(B106,Questions!$K$2:$L$7,2,FALSE)</f>
        <v>50</v>
      </c>
    </row>
    <row r="107" spans="1:14">
      <c r="A107" s="8" t="s">
        <v>401</v>
      </c>
      <c r="B107" s="8">
        <v>6</v>
      </c>
      <c r="C107" s="8" t="s">
        <v>21</v>
      </c>
      <c r="D107" s="8">
        <v>189</v>
      </c>
      <c r="E107" s="8" t="s">
        <v>14</v>
      </c>
      <c r="F107" s="8">
        <v>12</v>
      </c>
      <c r="G107" s="8" t="s">
        <v>15</v>
      </c>
      <c r="H107" s="8" t="s">
        <v>22</v>
      </c>
      <c r="I107" s="8" t="s">
        <v>17</v>
      </c>
      <c r="J107" s="8" t="s">
        <v>30</v>
      </c>
      <c r="K107" s="8" t="s">
        <v>28</v>
      </c>
      <c r="L107" s="8" t="str">
        <f t="shared" si="4"/>
        <v>Junior</v>
      </c>
      <c r="M107" s="8" t="str">
        <f t="shared" si="5"/>
        <v>OK</v>
      </c>
      <c r="N107" s="9">
        <f>VLOOKUP(B107,Questions!$K$2:$L$7,2,FALSE)</f>
        <v>50</v>
      </c>
    </row>
    <row r="108" spans="1:14">
      <c r="A108" s="8" t="s">
        <v>390</v>
      </c>
      <c r="B108" s="8">
        <v>6</v>
      </c>
      <c r="C108" s="8" t="s">
        <v>21</v>
      </c>
      <c r="D108" s="8">
        <v>190</v>
      </c>
      <c r="E108" s="8" t="s">
        <v>27</v>
      </c>
      <c r="F108" s="8">
        <v>12</v>
      </c>
      <c r="G108" s="8" t="s">
        <v>15</v>
      </c>
      <c r="H108" s="8" t="s">
        <v>22</v>
      </c>
      <c r="I108" s="8" t="s">
        <v>17</v>
      </c>
      <c r="J108" s="8" t="s">
        <v>28</v>
      </c>
      <c r="K108" s="8" t="s">
        <v>28</v>
      </c>
      <c r="L108" s="8" t="str">
        <f t="shared" si="4"/>
        <v>Junior</v>
      </c>
      <c r="M108" s="8" t="str">
        <f t="shared" si="5"/>
        <v>OK</v>
      </c>
      <c r="N108" s="9">
        <f>VLOOKUP(B108,Questions!$K$2:$L$7,2,FALSE)</f>
        <v>50</v>
      </c>
    </row>
    <row r="109" spans="1:14">
      <c r="A109" s="8" t="s">
        <v>169</v>
      </c>
      <c r="B109" s="8">
        <v>7</v>
      </c>
      <c r="C109" s="8" t="s">
        <v>13</v>
      </c>
      <c r="D109" s="8">
        <v>2</v>
      </c>
      <c r="E109" s="8" t="s">
        <v>14</v>
      </c>
      <c r="F109" s="8">
        <v>13</v>
      </c>
      <c r="G109" s="8" t="s">
        <v>33</v>
      </c>
      <c r="H109" s="8" t="s">
        <v>22</v>
      </c>
      <c r="I109" s="8" t="s">
        <v>23</v>
      </c>
      <c r="J109" s="8" t="s">
        <v>28</v>
      </c>
      <c r="K109" s="8" t="s">
        <v>31</v>
      </c>
      <c r="L109" s="8" t="str">
        <f t="shared" si="4"/>
        <v>Junior</v>
      </c>
      <c r="M109" s="8" t="str">
        <f t="shared" si="5"/>
        <v>Pending</v>
      </c>
      <c r="N109" s="9">
        <f>VLOOKUP(B109,Questions!$K$2:$L$7,2,FALSE)</f>
        <v>60</v>
      </c>
    </row>
    <row r="110" spans="1:14">
      <c r="A110" s="8" t="s">
        <v>303</v>
      </c>
      <c r="B110" s="8">
        <v>7</v>
      </c>
      <c r="C110" s="8" t="s">
        <v>13</v>
      </c>
      <c r="D110" s="8">
        <v>11</v>
      </c>
      <c r="E110" s="8" t="s">
        <v>14</v>
      </c>
      <c r="F110" s="8">
        <v>12</v>
      </c>
      <c r="G110" s="8" t="s">
        <v>15</v>
      </c>
      <c r="H110" s="8" t="s">
        <v>22</v>
      </c>
      <c r="I110" s="8" t="s">
        <v>17</v>
      </c>
      <c r="J110" s="8" t="s">
        <v>30</v>
      </c>
      <c r="K110" s="8" t="s">
        <v>28</v>
      </c>
      <c r="L110" s="8" t="str">
        <f t="shared" si="4"/>
        <v>Junior</v>
      </c>
      <c r="M110" s="8" t="str">
        <f t="shared" si="5"/>
        <v>OK</v>
      </c>
      <c r="N110" s="9">
        <f>VLOOKUP(B110,Questions!$K$2:$L$7,2,FALSE)</f>
        <v>60</v>
      </c>
    </row>
    <row r="111" spans="1:14">
      <c r="A111" s="8" t="s">
        <v>152</v>
      </c>
      <c r="B111" s="8">
        <v>7</v>
      </c>
      <c r="C111" s="8" t="s">
        <v>13</v>
      </c>
      <c r="D111" s="8">
        <v>12</v>
      </c>
      <c r="E111" s="8" t="s">
        <v>14</v>
      </c>
      <c r="F111" s="8">
        <v>12</v>
      </c>
      <c r="G111" s="8" t="s">
        <v>33</v>
      </c>
      <c r="H111" s="8" t="s">
        <v>16</v>
      </c>
      <c r="I111" s="8" t="s">
        <v>23</v>
      </c>
      <c r="J111" s="8" t="s">
        <v>28</v>
      </c>
      <c r="K111" s="8" t="s">
        <v>28</v>
      </c>
      <c r="L111" s="8" t="str">
        <f t="shared" si="4"/>
        <v>Junior</v>
      </c>
      <c r="M111" s="8" t="str">
        <f t="shared" si="5"/>
        <v>Pending</v>
      </c>
      <c r="N111" s="9">
        <f>VLOOKUP(B111,Questions!$K$2:$L$7,2,FALSE)</f>
        <v>60</v>
      </c>
    </row>
    <row r="112" spans="1:14">
      <c r="A112" s="8" t="s">
        <v>463</v>
      </c>
      <c r="B112" s="8">
        <v>7</v>
      </c>
      <c r="C112" s="8" t="s">
        <v>13</v>
      </c>
      <c r="D112" s="8">
        <v>18</v>
      </c>
      <c r="E112" s="8" t="s">
        <v>14</v>
      </c>
      <c r="F112" s="8">
        <v>12</v>
      </c>
      <c r="G112" s="8" t="s">
        <v>15</v>
      </c>
      <c r="H112" s="8" t="s">
        <v>22</v>
      </c>
      <c r="I112" s="8" t="s">
        <v>23</v>
      </c>
      <c r="J112" s="8" t="s">
        <v>49</v>
      </c>
      <c r="K112" s="8" t="s">
        <v>19</v>
      </c>
      <c r="L112" s="8" t="str">
        <f t="shared" si="4"/>
        <v>Junior</v>
      </c>
      <c r="M112" s="8" t="str">
        <f t="shared" si="5"/>
        <v>OK</v>
      </c>
      <c r="N112" s="9">
        <f>VLOOKUP(B112,Questions!$K$2:$L$7,2,FALSE)</f>
        <v>60</v>
      </c>
    </row>
    <row r="113" spans="1:14">
      <c r="A113" s="8" t="s">
        <v>377</v>
      </c>
      <c r="B113" s="8">
        <v>7</v>
      </c>
      <c r="C113" s="8" t="s">
        <v>13</v>
      </c>
      <c r="D113" s="8">
        <v>25</v>
      </c>
      <c r="E113" s="8" t="s">
        <v>27</v>
      </c>
      <c r="F113" s="8">
        <v>13</v>
      </c>
      <c r="G113" s="8" t="s">
        <v>15</v>
      </c>
      <c r="H113" s="8" t="s">
        <v>22</v>
      </c>
      <c r="I113" s="8" t="s">
        <v>23</v>
      </c>
      <c r="J113" s="8" t="s">
        <v>28</v>
      </c>
      <c r="K113" s="8" t="s">
        <v>19</v>
      </c>
      <c r="L113" s="8" t="str">
        <f t="shared" si="4"/>
        <v>Junior</v>
      </c>
      <c r="M113" s="8" t="str">
        <f t="shared" si="5"/>
        <v>OK</v>
      </c>
      <c r="N113" s="9">
        <f>VLOOKUP(B113,Questions!$K$2:$L$7,2,FALSE)</f>
        <v>60</v>
      </c>
    </row>
    <row r="114" spans="1:14">
      <c r="A114" s="8" t="s">
        <v>178</v>
      </c>
      <c r="B114" s="8">
        <v>7</v>
      </c>
      <c r="C114" s="8" t="s">
        <v>13</v>
      </c>
      <c r="D114" s="8">
        <v>28</v>
      </c>
      <c r="E114" s="8" t="s">
        <v>14</v>
      </c>
      <c r="F114" s="8">
        <v>12</v>
      </c>
      <c r="G114" s="8" t="s">
        <v>33</v>
      </c>
      <c r="H114" s="8" t="s">
        <v>16</v>
      </c>
      <c r="I114" s="8" t="s">
        <v>23</v>
      </c>
      <c r="J114" s="8" t="s">
        <v>30</v>
      </c>
      <c r="K114" s="8" t="s">
        <v>19</v>
      </c>
      <c r="L114" s="8" t="str">
        <f t="shared" si="4"/>
        <v>Junior</v>
      </c>
      <c r="M114" s="8" t="str">
        <f t="shared" si="5"/>
        <v>Pending</v>
      </c>
      <c r="N114" s="9">
        <f>VLOOKUP(B114,Questions!$K$2:$L$7,2,FALSE)</f>
        <v>60</v>
      </c>
    </row>
    <row r="115" spans="1:14">
      <c r="A115" s="8" t="s">
        <v>335</v>
      </c>
      <c r="B115" s="8">
        <v>7</v>
      </c>
      <c r="C115" s="8" t="s">
        <v>13</v>
      </c>
      <c r="D115" s="8">
        <v>31</v>
      </c>
      <c r="E115" s="8" t="s">
        <v>14</v>
      </c>
      <c r="F115" s="8">
        <v>12</v>
      </c>
      <c r="G115" s="8" t="s">
        <v>33</v>
      </c>
      <c r="H115" s="8" t="s">
        <v>16</v>
      </c>
      <c r="I115" s="8" t="s">
        <v>17</v>
      </c>
      <c r="J115" s="8" t="s">
        <v>49</v>
      </c>
      <c r="K115" s="8" t="s">
        <v>31</v>
      </c>
      <c r="L115" s="8" t="str">
        <f t="shared" si="4"/>
        <v>Junior</v>
      </c>
      <c r="M115" s="8" t="str">
        <f t="shared" si="5"/>
        <v>Pending</v>
      </c>
      <c r="N115" s="9">
        <f>VLOOKUP(B115,Questions!$K$2:$L$7,2,FALSE)</f>
        <v>60</v>
      </c>
    </row>
    <row r="116" spans="1:14">
      <c r="A116" s="8" t="s">
        <v>296</v>
      </c>
      <c r="B116" s="8">
        <v>7</v>
      </c>
      <c r="C116" s="8" t="s">
        <v>13</v>
      </c>
      <c r="D116" s="8">
        <v>32</v>
      </c>
      <c r="E116" s="8" t="s">
        <v>14</v>
      </c>
      <c r="F116" s="8">
        <v>12</v>
      </c>
      <c r="G116" s="8" t="s">
        <v>15</v>
      </c>
      <c r="H116" s="8" t="s">
        <v>22</v>
      </c>
      <c r="I116" s="8" t="s">
        <v>17</v>
      </c>
      <c r="J116" s="8" t="s">
        <v>24</v>
      </c>
      <c r="K116" s="8" t="s">
        <v>28</v>
      </c>
      <c r="L116" s="8" t="str">
        <f t="shared" si="4"/>
        <v>Junior</v>
      </c>
      <c r="M116" s="8" t="str">
        <f t="shared" si="5"/>
        <v>OK</v>
      </c>
      <c r="N116" s="9">
        <f>VLOOKUP(B116,Questions!$K$2:$L$7,2,FALSE)</f>
        <v>60</v>
      </c>
    </row>
    <row r="117" spans="1:14">
      <c r="A117" s="8" t="s">
        <v>181</v>
      </c>
      <c r="B117" s="8">
        <v>7</v>
      </c>
      <c r="C117" s="8" t="s">
        <v>13</v>
      </c>
      <c r="D117" s="8">
        <v>33</v>
      </c>
      <c r="E117" s="8" t="s">
        <v>14</v>
      </c>
      <c r="F117" s="8">
        <v>13</v>
      </c>
      <c r="G117" s="8" t="s">
        <v>15</v>
      </c>
      <c r="H117" s="8" t="s">
        <v>22</v>
      </c>
      <c r="I117" s="8" t="s">
        <v>17</v>
      </c>
      <c r="J117" s="8" t="s">
        <v>18</v>
      </c>
      <c r="K117" s="8" t="s">
        <v>28</v>
      </c>
      <c r="L117" s="8" t="str">
        <f t="shared" si="4"/>
        <v>Junior</v>
      </c>
      <c r="M117" s="8" t="str">
        <f t="shared" si="5"/>
        <v>OK</v>
      </c>
      <c r="N117" s="9">
        <f>VLOOKUP(B117,Questions!$K$2:$L$7,2,FALSE)</f>
        <v>60</v>
      </c>
    </row>
    <row r="118" spans="1:14">
      <c r="A118" s="8" t="s">
        <v>71</v>
      </c>
      <c r="B118" s="8">
        <v>7</v>
      </c>
      <c r="C118" s="8" t="s">
        <v>13</v>
      </c>
      <c r="D118" s="8">
        <v>40</v>
      </c>
      <c r="E118" s="8" t="s">
        <v>27</v>
      </c>
      <c r="F118" s="8">
        <v>13</v>
      </c>
      <c r="G118" s="8" t="s">
        <v>15</v>
      </c>
      <c r="H118" s="8" t="s">
        <v>16</v>
      </c>
      <c r="I118" s="8" t="s">
        <v>23</v>
      </c>
      <c r="J118" s="8" t="s">
        <v>49</v>
      </c>
      <c r="K118" s="8" t="s">
        <v>28</v>
      </c>
      <c r="L118" s="8" t="str">
        <f t="shared" si="4"/>
        <v>Junior</v>
      </c>
      <c r="M118" s="8" t="str">
        <f t="shared" si="5"/>
        <v>OK</v>
      </c>
      <c r="N118" s="9">
        <f>VLOOKUP(B118,Questions!$K$2:$L$7,2,FALSE)</f>
        <v>60</v>
      </c>
    </row>
    <row r="119" spans="1:14">
      <c r="A119" s="8" t="s">
        <v>556</v>
      </c>
      <c r="B119" s="8">
        <v>7</v>
      </c>
      <c r="C119" s="8" t="s">
        <v>13</v>
      </c>
      <c r="D119" s="8">
        <v>44</v>
      </c>
      <c r="E119" s="8" t="s">
        <v>27</v>
      </c>
      <c r="F119" s="8">
        <v>13</v>
      </c>
      <c r="G119" s="8" t="s">
        <v>33</v>
      </c>
      <c r="H119" s="8" t="s">
        <v>22</v>
      </c>
      <c r="I119" s="8" t="s">
        <v>23</v>
      </c>
      <c r="J119" s="8" t="s">
        <v>18</v>
      </c>
      <c r="K119" s="8" t="s">
        <v>28</v>
      </c>
      <c r="L119" s="8" t="str">
        <f t="shared" si="4"/>
        <v>Junior</v>
      </c>
      <c r="M119" s="8" t="str">
        <f t="shared" si="5"/>
        <v>Pending</v>
      </c>
      <c r="N119" s="9">
        <f>VLOOKUP(B119,Questions!$K$2:$L$7,2,FALSE)</f>
        <v>60</v>
      </c>
    </row>
    <row r="120" spans="1:14">
      <c r="A120" s="8" t="s">
        <v>207</v>
      </c>
      <c r="B120" s="8">
        <v>7</v>
      </c>
      <c r="C120" s="8" t="s">
        <v>13</v>
      </c>
      <c r="D120" s="8">
        <v>45</v>
      </c>
      <c r="E120" s="8" t="s">
        <v>14</v>
      </c>
      <c r="F120" s="8">
        <v>13</v>
      </c>
      <c r="G120" s="8" t="s">
        <v>15</v>
      </c>
      <c r="H120" s="8" t="s">
        <v>22</v>
      </c>
      <c r="I120" s="8" t="s">
        <v>23</v>
      </c>
      <c r="J120" s="8" t="s">
        <v>30</v>
      </c>
      <c r="K120" s="8" t="s">
        <v>28</v>
      </c>
      <c r="L120" s="8" t="str">
        <f t="shared" si="4"/>
        <v>Junior</v>
      </c>
      <c r="M120" s="8" t="str">
        <f t="shared" si="5"/>
        <v>OK</v>
      </c>
      <c r="N120" s="9">
        <f>VLOOKUP(B120,Questions!$K$2:$L$7,2,FALSE)</f>
        <v>60</v>
      </c>
    </row>
    <row r="121" spans="1:14">
      <c r="A121" s="8" t="s">
        <v>549</v>
      </c>
      <c r="B121" s="8">
        <v>7</v>
      </c>
      <c r="C121" s="8" t="s">
        <v>13</v>
      </c>
      <c r="D121" s="8">
        <v>61</v>
      </c>
      <c r="E121" s="8" t="s">
        <v>27</v>
      </c>
      <c r="F121" s="8">
        <v>13</v>
      </c>
      <c r="G121" s="8" t="s">
        <v>15</v>
      </c>
      <c r="H121" s="8" t="s">
        <v>22</v>
      </c>
      <c r="I121" s="8" t="s">
        <v>17</v>
      </c>
      <c r="J121" s="8" t="s">
        <v>24</v>
      </c>
      <c r="K121" s="8" t="s">
        <v>19</v>
      </c>
      <c r="L121" s="8" t="str">
        <f t="shared" si="4"/>
        <v>Junior</v>
      </c>
      <c r="M121" s="8" t="str">
        <f t="shared" si="5"/>
        <v>OK</v>
      </c>
      <c r="N121" s="9">
        <f>VLOOKUP(B121,Questions!$K$2:$L$7,2,FALSE)</f>
        <v>60</v>
      </c>
    </row>
    <row r="122" spans="1:14">
      <c r="A122" s="8" t="s">
        <v>211</v>
      </c>
      <c r="B122" s="8">
        <v>7</v>
      </c>
      <c r="C122" s="8" t="s">
        <v>13</v>
      </c>
      <c r="D122" s="8">
        <v>75</v>
      </c>
      <c r="E122" s="8" t="s">
        <v>14</v>
      </c>
      <c r="F122" s="8">
        <v>12</v>
      </c>
      <c r="G122" s="8" t="s">
        <v>15</v>
      </c>
      <c r="H122" s="8" t="s">
        <v>22</v>
      </c>
      <c r="I122" s="8" t="s">
        <v>17</v>
      </c>
      <c r="J122" s="8" t="s">
        <v>28</v>
      </c>
      <c r="K122" s="8" t="s">
        <v>42</v>
      </c>
      <c r="L122" s="8" t="str">
        <f t="shared" si="4"/>
        <v>Junior</v>
      </c>
      <c r="M122" s="8" t="str">
        <f t="shared" si="5"/>
        <v>OK</v>
      </c>
      <c r="N122" s="9">
        <f>VLOOKUP(B122,Questions!$K$2:$L$7,2,FALSE)</f>
        <v>60</v>
      </c>
    </row>
    <row r="123" spans="1:14">
      <c r="A123" s="8" t="s">
        <v>244</v>
      </c>
      <c r="B123" s="8">
        <v>7</v>
      </c>
      <c r="C123" s="8" t="s">
        <v>13</v>
      </c>
      <c r="D123" s="8">
        <v>87</v>
      </c>
      <c r="E123" s="8" t="s">
        <v>27</v>
      </c>
      <c r="F123" s="8">
        <v>13</v>
      </c>
      <c r="G123" s="8" t="s">
        <v>15</v>
      </c>
      <c r="H123" s="8" t="s">
        <v>22</v>
      </c>
      <c r="I123" s="8" t="s">
        <v>17</v>
      </c>
      <c r="J123" s="8" t="s">
        <v>28</v>
      </c>
      <c r="K123" s="8" t="s">
        <v>19</v>
      </c>
      <c r="L123" s="8" t="str">
        <f t="shared" si="4"/>
        <v>Junior</v>
      </c>
      <c r="M123" s="8" t="str">
        <f t="shared" si="5"/>
        <v>OK</v>
      </c>
      <c r="N123" s="9">
        <f>VLOOKUP(B123,Questions!$K$2:$L$7,2,FALSE)</f>
        <v>60</v>
      </c>
    </row>
    <row r="124" spans="1:14">
      <c r="A124" s="8" t="s">
        <v>480</v>
      </c>
      <c r="B124" s="8">
        <v>7</v>
      </c>
      <c r="C124" s="8" t="s">
        <v>13</v>
      </c>
      <c r="D124" s="8">
        <v>92</v>
      </c>
      <c r="E124" s="8" t="s">
        <v>14</v>
      </c>
      <c r="F124" s="8">
        <v>13</v>
      </c>
      <c r="G124" s="8" t="s">
        <v>15</v>
      </c>
      <c r="H124" s="8" t="s">
        <v>16</v>
      </c>
      <c r="I124" s="8" t="s">
        <v>23</v>
      </c>
      <c r="J124" s="8" t="s">
        <v>30</v>
      </c>
      <c r="K124" s="8" t="s">
        <v>42</v>
      </c>
      <c r="L124" s="8" t="str">
        <f t="shared" si="4"/>
        <v>Junior</v>
      </c>
      <c r="M124" s="8" t="str">
        <f t="shared" si="5"/>
        <v>OK</v>
      </c>
      <c r="N124" s="9">
        <f>VLOOKUP(B124,Questions!$K$2:$L$7,2,FALSE)</f>
        <v>60</v>
      </c>
    </row>
    <row r="125" spans="1:14">
      <c r="A125" s="8" t="s">
        <v>545</v>
      </c>
      <c r="B125" s="8">
        <v>7</v>
      </c>
      <c r="C125" s="8" t="s">
        <v>13</v>
      </c>
      <c r="D125" s="8">
        <v>95</v>
      </c>
      <c r="E125" s="8" t="s">
        <v>14</v>
      </c>
      <c r="F125" s="8">
        <v>13</v>
      </c>
      <c r="G125" s="8" t="s">
        <v>33</v>
      </c>
      <c r="H125" s="8" t="s">
        <v>16</v>
      </c>
      <c r="I125" s="8" t="s">
        <v>23</v>
      </c>
      <c r="J125" s="8" t="s">
        <v>28</v>
      </c>
      <c r="K125" s="8" t="s">
        <v>31</v>
      </c>
      <c r="L125" s="8" t="str">
        <f t="shared" si="4"/>
        <v>Junior</v>
      </c>
      <c r="M125" s="8" t="str">
        <f t="shared" si="5"/>
        <v>Pending</v>
      </c>
      <c r="N125" s="9">
        <f>VLOOKUP(B125,Questions!$K$2:$L$7,2,FALSE)</f>
        <v>60</v>
      </c>
    </row>
    <row r="126" spans="1:14">
      <c r="A126" s="8" t="s">
        <v>548</v>
      </c>
      <c r="B126" s="8">
        <v>7</v>
      </c>
      <c r="C126" s="8" t="s">
        <v>13</v>
      </c>
      <c r="D126" s="8">
        <v>107</v>
      </c>
      <c r="E126" s="8" t="s">
        <v>14</v>
      </c>
      <c r="F126" s="8">
        <v>12</v>
      </c>
      <c r="G126" s="8" t="s">
        <v>33</v>
      </c>
      <c r="H126" s="8" t="s">
        <v>22</v>
      </c>
      <c r="I126" s="8" t="s">
        <v>23</v>
      </c>
      <c r="J126" s="8" t="s">
        <v>28</v>
      </c>
      <c r="K126" s="8" t="s">
        <v>42</v>
      </c>
      <c r="L126" s="8" t="str">
        <f t="shared" si="4"/>
        <v>Junior</v>
      </c>
      <c r="M126" s="8" t="str">
        <f t="shared" si="5"/>
        <v>Pending</v>
      </c>
      <c r="N126" s="9">
        <f>VLOOKUP(B126,Questions!$K$2:$L$7,2,FALSE)</f>
        <v>60</v>
      </c>
    </row>
    <row r="127" spans="1:14">
      <c r="A127" s="8" t="s">
        <v>576</v>
      </c>
      <c r="B127" s="8">
        <v>7</v>
      </c>
      <c r="C127" s="8" t="s">
        <v>13</v>
      </c>
      <c r="D127" s="8">
        <v>110</v>
      </c>
      <c r="E127" s="8" t="s">
        <v>27</v>
      </c>
      <c r="F127" s="8">
        <v>13</v>
      </c>
      <c r="G127" s="8" t="s">
        <v>33</v>
      </c>
      <c r="H127" s="8" t="s">
        <v>16</v>
      </c>
      <c r="I127" s="8" t="s">
        <v>23</v>
      </c>
      <c r="J127" s="8" t="s">
        <v>30</v>
      </c>
      <c r="K127" s="8" t="s">
        <v>28</v>
      </c>
      <c r="L127" s="8" t="str">
        <f t="shared" si="4"/>
        <v>Junior</v>
      </c>
      <c r="M127" s="8" t="str">
        <f t="shared" si="5"/>
        <v>Pending</v>
      </c>
      <c r="N127" s="9">
        <f>VLOOKUP(B127,Questions!$K$2:$L$7,2,FALSE)</f>
        <v>60</v>
      </c>
    </row>
    <row r="128" spans="1:14">
      <c r="A128" s="8" t="s">
        <v>560</v>
      </c>
      <c r="B128" s="8">
        <v>7</v>
      </c>
      <c r="C128" s="8" t="s">
        <v>13</v>
      </c>
      <c r="D128" s="8">
        <v>111</v>
      </c>
      <c r="E128" s="8" t="s">
        <v>14</v>
      </c>
      <c r="F128" s="8">
        <v>13</v>
      </c>
      <c r="G128" s="8" t="s">
        <v>15</v>
      </c>
      <c r="H128" s="8" t="s">
        <v>16</v>
      </c>
      <c r="I128" s="8" t="s">
        <v>23</v>
      </c>
      <c r="J128" s="8" t="s">
        <v>30</v>
      </c>
      <c r="K128" s="8" t="s">
        <v>19</v>
      </c>
      <c r="L128" s="8" t="str">
        <f t="shared" si="4"/>
        <v>Junior</v>
      </c>
      <c r="M128" s="8" t="str">
        <f t="shared" si="5"/>
        <v>OK</v>
      </c>
      <c r="N128" s="9">
        <f>VLOOKUP(B128,Questions!$K$2:$L$7,2,FALSE)</f>
        <v>60</v>
      </c>
    </row>
    <row r="129" spans="1:14">
      <c r="A129" s="8" t="s">
        <v>204</v>
      </c>
      <c r="B129" s="8">
        <v>7</v>
      </c>
      <c r="C129" s="8" t="s">
        <v>13</v>
      </c>
      <c r="D129" s="8">
        <v>112</v>
      </c>
      <c r="E129" s="8" t="s">
        <v>27</v>
      </c>
      <c r="F129" s="8">
        <v>12</v>
      </c>
      <c r="G129" s="8" t="s">
        <v>15</v>
      </c>
      <c r="H129" s="8" t="s">
        <v>16</v>
      </c>
      <c r="I129" s="8" t="s">
        <v>23</v>
      </c>
      <c r="J129" s="8" t="s">
        <v>28</v>
      </c>
      <c r="K129" s="8" t="s">
        <v>28</v>
      </c>
      <c r="L129" s="8" t="str">
        <f t="shared" si="4"/>
        <v>Junior</v>
      </c>
      <c r="M129" s="8" t="str">
        <f t="shared" si="5"/>
        <v>OK</v>
      </c>
      <c r="N129" s="9">
        <f>VLOOKUP(B129,Questions!$K$2:$L$7,2,FALSE)</f>
        <v>60</v>
      </c>
    </row>
    <row r="130" spans="1:14">
      <c r="A130" s="8" t="s">
        <v>588</v>
      </c>
      <c r="B130" s="8">
        <v>7</v>
      </c>
      <c r="C130" s="8" t="s">
        <v>13</v>
      </c>
      <c r="D130" s="8">
        <v>119</v>
      </c>
      <c r="E130" s="8" t="s">
        <v>14</v>
      </c>
      <c r="F130" s="8">
        <v>13</v>
      </c>
      <c r="G130" s="8" t="s">
        <v>15</v>
      </c>
      <c r="H130" s="8" t="s">
        <v>22</v>
      </c>
      <c r="I130" s="8" t="s">
        <v>17</v>
      </c>
      <c r="J130" s="8" t="s">
        <v>24</v>
      </c>
      <c r="K130" s="8" t="s">
        <v>28</v>
      </c>
      <c r="L130" s="8" t="str">
        <f t="shared" si="4"/>
        <v>Junior</v>
      </c>
      <c r="M130" s="8" t="str">
        <f t="shared" si="5"/>
        <v>OK</v>
      </c>
      <c r="N130" s="9">
        <f>VLOOKUP(B130,Questions!$K$2:$L$7,2,FALSE)</f>
        <v>60</v>
      </c>
    </row>
    <row r="131" spans="1:14">
      <c r="A131" s="8" t="s">
        <v>271</v>
      </c>
      <c r="B131" s="8">
        <v>7</v>
      </c>
      <c r="C131" s="8" t="s">
        <v>13</v>
      </c>
      <c r="D131" s="8">
        <v>134</v>
      </c>
      <c r="E131" s="8" t="s">
        <v>27</v>
      </c>
      <c r="F131" s="8">
        <v>13</v>
      </c>
      <c r="G131" s="8" t="s">
        <v>33</v>
      </c>
      <c r="H131" s="8" t="s">
        <v>22</v>
      </c>
      <c r="I131" s="8" t="s">
        <v>23</v>
      </c>
      <c r="J131" s="8" t="s">
        <v>18</v>
      </c>
      <c r="K131" s="8" t="s">
        <v>42</v>
      </c>
      <c r="L131" s="8" t="str">
        <f t="shared" ref="L131:L194" si="6">IF(B131&lt;=7,"Junior","Senior")</f>
        <v>Junior</v>
      </c>
      <c r="M131" s="8" t="str">
        <f t="shared" si="5"/>
        <v>Pending</v>
      </c>
      <c r="N131" s="9">
        <f>VLOOKUP(B131,Questions!$K$2:$L$7,2,FALSE)</f>
        <v>60</v>
      </c>
    </row>
    <row r="132" spans="1:14">
      <c r="A132" s="8" t="s">
        <v>76</v>
      </c>
      <c r="B132" s="8">
        <v>7</v>
      </c>
      <c r="C132" s="8" t="s">
        <v>13</v>
      </c>
      <c r="D132" s="8">
        <v>147</v>
      </c>
      <c r="E132" s="8" t="s">
        <v>14</v>
      </c>
      <c r="F132" s="8">
        <v>12</v>
      </c>
      <c r="G132" s="8" t="s">
        <v>15</v>
      </c>
      <c r="H132" s="8" t="s">
        <v>22</v>
      </c>
      <c r="I132" s="8" t="s">
        <v>17</v>
      </c>
      <c r="J132" s="8" t="s">
        <v>18</v>
      </c>
      <c r="K132" s="8" t="s">
        <v>19</v>
      </c>
      <c r="L132" s="8" t="str">
        <f t="shared" si="6"/>
        <v>Junior</v>
      </c>
      <c r="M132" s="8" t="str">
        <f t="shared" ref="M132:M195" si="7">IF(G132="Paid","OK","Pending")</f>
        <v>OK</v>
      </c>
      <c r="N132" s="9">
        <f>VLOOKUP(B132,Questions!$K$2:$L$7,2,FALSE)</f>
        <v>60</v>
      </c>
    </row>
    <row r="133" spans="1:14">
      <c r="A133" s="8" t="s">
        <v>239</v>
      </c>
      <c r="B133" s="8">
        <v>7</v>
      </c>
      <c r="C133" s="8" t="s">
        <v>13</v>
      </c>
      <c r="D133" s="8">
        <v>155</v>
      </c>
      <c r="E133" s="8" t="s">
        <v>14</v>
      </c>
      <c r="F133" s="8">
        <v>12</v>
      </c>
      <c r="G133" s="8" t="s">
        <v>15</v>
      </c>
      <c r="H133" s="8" t="s">
        <v>22</v>
      </c>
      <c r="I133" s="8" t="s">
        <v>17</v>
      </c>
      <c r="J133" s="8" t="s">
        <v>18</v>
      </c>
      <c r="K133" s="8" t="s">
        <v>42</v>
      </c>
      <c r="L133" s="8" t="str">
        <f t="shared" si="6"/>
        <v>Junior</v>
      </c>
      <c r="M133" s="8" t="str">
        <f t="shared" si="7"/>
        <v>OK</v>
      </c>
      <c r="N133" s="9">
        <f>VLOOKUP(B133,Questions!$K$2:$L$7,2,FALSE)</f>
        <v>60</v>
      </c>
    </row>
    <row r="134" spans="1:14">
      <c r="A134" s="8" t="s">
        <v>247</v>
      </c>
      <c r="B134" s="8">
        <v>7</v>
      </c>
      <c r="C134" s="8" t="s">
        <v>13</v>
      </c>
      <c r="D134" s="8">
        <v>156</v>
      </c>
      <c r="E134" s="8" t="s">
        <v>14</v>
      </c>
      <c r="F134" s="8">
        <v>13</v>
      </c>
      <c r="G134" s="8" t="s">
        <v>15</v>
      </c>
      <c r="H134" s="8" t="s">
        <v>22</v>
      </c>
      <c r="I134" s="8" t="s">
        <v>17</v>
      </c>
      <c r="J134" s="8" t="s">
        <v>28</v>
      </c>
      <c r="K134" s="8" t="s">
        <v>28</v>
      </c>
      <c r="L134" s="8" t="str">
        <f t="shared" si="6"/>
        <v>Junior</v>
      </c>
      <c r="M134" s="8" t="str">
        <f t="shared" si="7"/>
        <v>OK</v>
      </c>
      <c r="N134" s="9">
        <f>VLOOKUP(B134,Questions!$K$2:$L$7,2,FALSE)</f>
        <v>60</v>
      </c>
    </row>
    <row r="135" spans="1:14">
      <c r="A135" s="8" t="s">
        <v>123</v>
      </c>
      <c r="B135" s="8">
        <v>7</v>
      </c>
      <c r="C135" s="8" t="s">
        <v>13</v>
      </c>
      <c r="D135" s="8">
        <v>164</v>
      </c>
      <c r="E135" s="8" t="s">
        <v>14</v>
      </c>
      <c r="F135" s="8">
        <v>13</v>
      </c>
      <c r="G135" s="8" t="s">
        <v>15</v>
      </c>
      <c r="H135" s="8" t="s">
        <v>22</v>
      </c>
      <c r="I135" s="8" t="s">
        <v>23</v>
      </c>
      <c r="J135" s="8" t="s">
        <v>28</v>
      </c>
      <c r="K135" s="8" t="s">
        <v>31</v>
      </c>
      <c r="L135" s="8" t="str">
        <f t="shared" si="6"/>
        <v>Junior</v>
      </c>
      <c r="M135" s="8" t="str">
        <f t="shared" si="7"/>
        <v>OK</v>
      </c>
      <c r="N135" s="9">
        <f>VLOOKUP(B135,Questions!$K$2:$L$7,2,FALSE)</f>
        <v>60</v>
      </c>
    </row>
    <row r="136" spans="1:14">
      <c r="A136" s="8" t="s">
        <v>582</v>
      </c>
      <c r="B136" s="8">
        <v>7</v>
      </c>
      <c r="C136" s="8" t="s">
        <v>13</v>
      </c>
      <c r="D136" s="8">
        <v>168</v>
      </c>
      <c r="E136" s="8" t="s">
        <v>14</v>
      </c>
      <c r="F136" s="8">
        <v>13</v>
      </c>
      <c r="G136" s="8" t="s">
        <v>33</v>
      </c>
      <c r="H136" s="8" t="s">
        <v>16</v>
      </c>
      <c r="I136" s="8" t="s">
        <v>23</v>
      </c>
      <c r="J136" s="8" t="s">
        <v>24</v>
      </c>
      <c r="K136" s="8" t="s">
        <v>28</v>
      </c>
      <c r="L136" s="8" t="str">
        <f t="shared" si="6"/>
        <v>Junior</v>
      </c>
      <c r="M136" s="8" t="str">
        <f t="shared" si="7"/>
        <v>Pending</v>
      </c>
      <c r="N136" s="9">
        <f>VLOOKUP(B136,Questions!$K$2:$L$7,2,FALSE)</f>
        <v>60</v>
      </c>
    </row>
    <row r="137" spans="1:14">
      <c r="A137" s="8" t="s">
        <v>332</v>
      </c>
      <c r="B137" s="8">
        <v>7</v>
      </c>
      <c r="C137" s="8" t="s">
        <v>13</v>
      </c>
      <c r="D137" s="8">
        <v>169</v>
      </c>
      <c r="E137" s="8" t="s">
        <v>14</v>
      </c>
      <c r="F137" s="8">
        <v>12</v>
      </c>
      <c r="G137" s="8" t="s">
        <v>15</v>
      </c>
      <c r="H137" s="8" t="s">
        <v>22</v>
      </c>
      <c r="I137" s="8" t="s">
        <v>23</v>
      </c>
      <c r="J137" s="8" t="s">
        <v>28</v>
      </c>
      <c r="K137" s="8" t="s">
        <v>28</v>
      </c>
      <c r="L137" s="8" t="str">
        <f t="shared" si="6"/>
        <v>Junior</v>
      </c>
      <c r="M137" s="8" t="str">
        <f t="shared" si="7"/>
        <v>OK</v>
      </c>
      <c r="N137" s="9">
        <f>VLOOKUP(B137,Questions!$K$2:$L$7,2,FALSE)</f>
        <v>60</v>
      </c>
    </row>
    <row r="138" spans="1:14">
      <c r="A138" s="8" t="s">
        <v>297</v>
      </c>
      <c r="B138" s="8">
        <v>7</v>
      </c>
      <c r="C138" s="8" t="s">
        <v>13</v>
      </c>
      <c r="D138" s="8">
        <v>170</v>
      </c>
      <c r="E138" s="8" t="s">
        <v>27</v>
      </c>
      <c r="F138" s="8">
        <v>13</v>
      </c>
      <c r="G138" s="8" t="s">
        <v>15</v>
      </c>
      <c r="H138" s="8" t="s">
        <v>16</v>
      </c>
      <c r="I138" s="8" t="s">
        <v>17</v>
      </c>
      <c r="J138" s="8" t="s">
        <v>30</v>
      </c>
      <c r="K138" s="8" t="s">
        <v>31</v>
      </c>
      <c r="L138" s="8" t="str">
        <f t="shared" si="6"/>
        <v>Junior</v>
      </c>
      <c r="M138" s="8" t="str">
        <f t="shared" si="7"/>
        <v>OK</v>
      </c>
      <c r="N138" s="9">
        <f>VLOOKUP(B138,Questions!$K$2:$L$7,2,FALSE)</f>
        <v>60</v>
      </c>
    </row>
    <row r="139" spans="1:14">
      <c r="A139" s="8" t="s">
        <v>138</v>
      </c>
      <c r="B139" s="8">
        <v>7</v>
      </c>
      <c r="C139" s="8" t="s">
        <v>13</v>
      </c>
      <c r="D139" s="8">
        <v>172</v>
      </c>
      <c r="E139" s="8" t="s">
        <v>14</v>
      </c>
      <c r="F139" s="8">
        <v>12</v>
      </c>
      <c r="G139" s="8" t="s">
        <v>15</v>
      </c>
      <c r="H139" s="8" t="s">
        <v>22</v>
      </c>
      <c r="I139" s="8" t="s">
        <v>17</v>
      </c>
      <c r="J139" s="8" t="s">
        <v>18</v>
      </c>
      <c r="K139" s="8" t="s">
        <v>31</v>
      </c>
      <c r="L139" s="8" t="str">
        <f t="shared" si="6"/>
        <v>Junior</v>
      </c>
      <c r="M139" s="8" t="str">
        <f t="shared" si="7"/>
        <v>OK</v>
      </c>
      <c r="N139" s="9">
        <f>VLOOKUP(B139,Questions!$K$2:$L$7,2,FALSE)</f>
        <v>60</v>
      </c>
    </row>
    <row r="140" spans="1:14">
      <c r="A140" s="8" t="s">
        <v>167</v>
      </c>
      <c r="B140" s="8">
        <v>7</v>
      </c>
      <c r="C140" s="8" t="s">
        <v>13</v>
      </c>
      <c r="D140" s="8">
        <v>177</v>
      </c>
      <c r="E140" s="8" t="s">
        <v>27</v>
      </c>
      <c r="F140" s="8">
        <v>12</v>
      </c>
      <c r="G140" s="8" t="s">
        <v>33</v>
      </c>
      <c r="H140" s="8" t="s">
        <v>22</v>
      </c>
      <c r="I140" s="8" t="s">
        <v>17</v>
      </c>
      <c r="J140" s="8" t="s">
        <v>24</v>
      </c>
      <c r="K140" s="8" t="s">
        <v>28</v>
      </c>
      <c r="L140" s="8" t="str">
        <f t="shared" si="6"/>
        <v>Junior</v>
      </c>
      <c r="M140" s="8" t="str">
        <f t="shared" si="7"/>
        <v>Pending</v>
      </c>
      <c r="N140" s="9">
        <f>VLOOKUP(B140,Questions!$K$2:$L$7,2,FALSE)</f>
        <v>60</v>
      </c>
    </row>
    <row r="141" spans="1:14">
      <c r="A141" s="8" t="s">
        <v>584</v>
      </c>
      <c r="B141" s="8">
        <v>7</v>
      </c>
      <c r="C141" s="8" t="s">
        <v>13</v>
      </c>
      <c r="D141" s="8">
        <v>187</v>
      </c>
      <c r="E141" s="8" t="s">
        <v>14</v>
      </c>
      <c r="F141" s="8">
        <v>12</v>
      </c>
      <c r="G141" s="8" t="s">
        <v>15</v>
      </c>
      <c r="H141" s="8" t="s">
        <v>16</v>
      </c>
      <c r="I141" s="8" t="s">
        <v>17</v>
      </c>
      <c r="J141" s="8" t="s">
        <v>24</v>
      </c>
      <c r="K141" s="8" t="s">
        <v>31</v>
      </c>
      <c r="L141" s="8" t="str">
        <f t="shared" si="6"/>
        <v>Junior</v>
      </c>
      <c r="M141" s="8" t="str">
        <f t="shared" si="7"/>
        <v>OK</v>
      </c>
      <c r="N141" s="9">
        <f>VLOOKUP(B141,Questions!$K$2:$L$7,2,FALSE)</f>
        <v>60</v>
      </c>
    </row>
    <row r="142" spans="1:14">
      <c r="A142" s="8" t="s">
        <v>608</v>
      </c>
      <c r="B142" s="8">
        <v>7</v>
      </c>
      <c r="C142" s="8" t="s">
        <v>13</v>
      </c>
      <c r="D142" s="8">
        <v>190</v>
      </c>
      <c r="E142" s="8" t="s">
        <v>27</v>
      </c>
      <c r="F142" s="8">
        <v>13</v>
      </c>
      <c r="G142" s="8" t="s">
        <v>15</v>
      </c>
      <c r="H142" s="8" t="s">
        <v>16</v>
      </c>
      <c r="I142" s="8" t="s">
        <v>17</v>
      </c>
      <c r="J142" s="8" t="s">
        <v>24</v>
      </c>
      <c r="K142" s="8" t="s">
        <v>31</v>
      </c>
      <c r="L142" s="8" t="str">
        <f t="shared" si="6"/>
        <v>Junior</v>
      </c>
      <c r="M142" s="8" t="str">
        <f t="shared" si="7"/>
        <v>OK</v>
      </c>
      <c r="N142" s="9">
        <f>VLOOKUP(B142,Questions!$K$2:$L$7,2,FALSE)</f>
        <v>60</v>
      </c>
    </row>
    <row r="143" spans="1:14">
      <c r="A143" s="8" t="s">
        <v>248</v>
      </c>
      <c r="B143" s="8">
        <v>7</v>
      </c>
      <c r="C143" s="8" t="s">
        <v>37</v>
      </c>
      <c r="D143" s="8">
        <v>14</v>
      </c>
      <c r="E143" s="8" t="s">
        <v>14</v>
      </c>
      <c r="F143" s="8">
        <v>13</v>
      </c>
      <c r="G143" s="8" t="s">
        <v>15</v>
      </c>
      <c r="H143" s="8" t="s">
        <v>22</v>
      </c>
      <c r="I143" s="8" t="s">
        <v>23</v>
      </c>
      <c r="J143" s="8" t="s">
        <v>28</v>
      </c>
      <c r="K143" s="8" t="s">
        <v>28</v>
      </c>
      <c r="L143" s="8" t="str">
        <f t="shared" si="6"/>
        <v>Junior</v>
      </c>
      <c r="M143" s="8" t="str">
        <f t="shared" si="7"/>
        <v>OK</v>
      </c>
      <c r="N143" s="9">
        <f>VLOOKUP(B143,Questions!$K$2:$L$7,2,FALSE)</f>
        <v>60</v>
      </c>
    </row>
    <row r="144" spans="1:14">
      <c r="A144" s="8" t="s">
        <v>593</v>
      </c>
      <c r="B144" s="8">
        <v>7</v>
      </c>
      <c r="C144" s="8" t="s">
        <v>37</v>
      </c>
      <c r="D144" s="8">
        <v>17</v>
      </c>
      <c r="E144" s="8" t="s">
        <v>14</v>
      </c>
      <c r="F144" s="8">
        <v>12</v>
      </c>
      <c r="G144" s="8" t="s">
        <v>15</v>
      </c>
      <c r="H144" s="8" t="s">
        <v>16</v>
      </c>
      <c r="I144" s="8" t="s">
        <v>17</v>
      </c>
      <c r="J144" s="8" t="s">
        <v>24</v>
      </c>
      <c r="K144" s="8" t="s">
        <v>28</v>
      </c>
      <c r="L144" s="8" t="str">
        <f t="shared" si="6"/>
        <v>Junior</v>
      </c>
      <c r="M144" s="8" t="str">
        <f t="shared" si="7"/>
        <v>OK</v>
      </c>
      <c r="N144" s="9">
        <f>VLOOKUP(B144,Questions!$K$2:$L$7,2,FALSE)</f>
        <v>60</v>
      </c>
    </row>
    <row r="145" spans="1:14">
      <c r="A145" s="8" t="s">
        <v>498</v>
      </c>
      <c r="B145" s="8">
        <v>7</v>
      </c>
      <c r="C145" s="8" t="s">
        <v>37</v>
      </c>
      <c r="D145" s="8">
        <v>36</v>
      </c>
      <c r="E145" s="8" t="s">
        <v>14</v>
      </c>
      <c r="F145" s="8">
        <v>13</v>
      </c>
      <c r="G145" s="8" t="s">
        <v>15</v>
      </c>
      <c r="H145" s="8" t="s">
        <v>22</v>
      </c>
      <c r="I145" s="8" t="s">
        <v>17</v>
      </c>
      <c r="J145" s="8" t="s">
        <v>30</v>
      </c>
      <c r="K145" s="8" t="s">
        <v>31</v>
      </c>
      <c r="L145" s="8" t="str">
        <f t="shared" si="6"/>
        <v>Junior</v>
      </c>
      <c r="M145" s="8" t="str">
        <f t="shared" si="7"/>
        <v>OK</v>
      </c>
      <c r="N145" s="9">
        <f>VLOOKUP(B145,Questions!$K$2:$L$7,2,FALSE)</f>
        <v>60</v>
      </c>
    </row>
    <row r="146" spans="1:14">
      <c r="A146" s="8" t="s">
        <v>496</v>
      </c>
      <c r="B146" s="8">
        <v>7</v>
      </c>
      <c r="C146" s="8" t="s">
        <v>37</v>
      </c>
      <c r="D146" s="8">
        <v>37</v>
      </c>
      <c r="E146" s="8" t="s">
        <v>27</v>
      </c>
      <c r="F146" s="8">
        <v>13</v>
      </c>
      <c r="G146" s="8" t="s">
        <v>33</v>
      </c>
      <c r="H146" s="8" t="s">
        <v>22</v>
      </c>
      <c r="I146" s="8" t="s">
        <v>17</v>
      </c>
      <c r="J146" s="8" t="s">
        <v>28</v>
      </c>
      <c r="K146" s="8" t="s">
        <v>28</v>
      </c>
      <c r="L146" s="8" t="str">
        <f t="shared" si="6"/>
        <v>Junior</v>
      </c>
      <c r="M146" s="8" t="str">
        <f t="shared" si="7"/>
        <v>Pending</v>
      </c>
      <c r="N146" s="9">
        <f>VLOOKUP(B146,Questions!$K$2:$L$7,2,FALSE)</f>
        <v>60</v>
      </c>
    </row>
    <row r="147" spans="1:14">
      <c r="A147" s="8" t="s">
        <v>139</v>
      </c>
      <c r="B147" s="8">
        <v>7</v>
      </c>
      <c r="C147" s="8" t="s">
        <v>37</v>
      </c>
      <c r="D147" s="8">
        <v>38</v>
      </c>
      <c r="E147" s="8" t="s">
        <v>27</v>
      </c>
      <c r="F147" s="8">
        <v>12</v>
      </c>
      <c r="G147" s="8" t="s">
        <v>15</v>
      </c>
      <c r="H147" s="8" t="s">
        <v>16</v>
      </c>
      <c r="I147" s="8" t="s">
        <v>17</v>
      </c>
      <c r="J147" s="8" t="s">
        <v>28</v>
      </c>
      <c r="K147" s="8" t="s">
        <v>28</v>
      </c>
      <c r="L147" s="8" t="str">
        <f t="shared" si="6"/>
        <v>Junior</v>
      </c>
      <c r="M147" s="8" t="str">
        <f t="shared" si="7"/>
        <v>OK</v>
      </c>
      <c r="N147" s="9">
        <f>VLOOKUP(B147,Questions!$K$2:$L$7,2,FALSE)</f>
        <v>60</v>
      </c>
    </row>
    <row r="148" spans="1:14">
      <c r="A148" s="8" t="s">
        <v>448</v>
      </c>
      <c r="B148" s="8">
        <v>7</v>
      </c>
      <c r="C148" s="8" t="s">
        <v>37</v>
      </c>
      <c r="D148" s="8">
        <v>48</v>
      </c>
      <c r="E148" s="8" t="s">
        <v>27</v>
      </c>
      <c r="F148" s="8">
        <v>12</v>
      </c>
      <c r="G148" s="8" t="s">
        <v>33</v>
      </c>
      <c r="H148" s="8" t="s">
        <v>16</v>
      </c>
      <c r="I148" s="8" t="s">
        <v>17</v>
      </c>
      <c r="J148" s="8" t="s">
        <v>28</v>
      </c>
      <c r="K148" s="8" t="s">
        <v>28</v>
      </c>
      <c r="L148" s="8" t="str">
        <f t="shared" si="6"/>
        <v>Junior</v>
      </c>
      <c r="M148" s="8" t="str">
        <f t="shared" si="7"/>
        <v>Pending</v>
      </c>
      <c r="N148" s="9">
        <f>VLOOKUP(B148,Questions!$K$2:$L$7,2,FALSE)</f>
        <v>60</v>
      </c>
    </row>
    <row r="149" spans="1:14">
      <c r="A149" s="8" t="s">
        <v>596</v>
      </c>
      <c r="B149" s="8">
        <v>7</v>
      </c>
      <c r="C149" s="8" t="s">
        <v>37</v>
      </c>
      <c r="D149" s="8">
        <v>49</v>
      </c>
      <c r="E149" s="8" t="s">
        <v>27</v>
      </c>
      <c r="F149" s="8">
        <v>12</v>
      </c>
      <c r="G149" s="8" t="s">
        <v>15</v>
      </c>
      <c r="H149" s="8" t="s">
        <v>16</v>
      </c>
      <c r="I149" s="8" t="s">
        <v>17</v>
      </c>
      <c r="J149" s="8" t="s">
        <v>24</v>
      </c>
      <c r="K149" s="8" t="s">
        <v>42</v>
      </c>
      <c r="L149" s="8" t="str">
        <f t="shared" si="6"/>
        <v>Junior</v>
      </c>
      <c r="M149" s="8" t="str">
        <f t="shared" si="7"/>
        <v>OK</v>
      </c>
      <c r="N149" s="9">
        <f>VLOOKUP(B149,Questions!$K$2:$L$7,2,FALSE)</f>
        <v>60</v>
      </c>
    </row>
    <row r="150" spans="1:14">
      <c r="A150" s="8" t="s">
        <v>201</v>
      </c>
      <c r="B150" s="8">
        <v>7</v>
      </c>
      <c r="C150" s="8" t="s">
        <v>37</v>
      </c>
      <c r="D150" s="8">
        <v>50</v>
      </c>
      <c r="E150" s="8" t="s">
        <v>27</v>
      </c>
      <c r="F150" s="8">
        <v>12</v>
      </c>
      <c r="G150" s="8" t="s">
        <v>33</v>
      </c>
      <c r="H150" s="8" t="s">
        <v>16</v>
      </c>
      <c r="I150" s="8" t="s">
        <v>17</v>
      </c>
      <c r="J150" s="8" t="s">
        <v>18</v>
      </c>
      <c r="K150" s="8" t="s">
        <v>19</v>
      </c>
      <c r="L150" s="8" t="str">
        <f t="shared" si="6"/>
        <v>Junior</v>
      </c>
      <c r="M150" s="8" t="str">
        <f t="shared" si="7"/>
        <v>Pending</v>
      </c>
      <c r="N150" s="9">
        <f>VLOOKUP(B150,Questions!$K$2:$L$7,2,FALSE)</f>
        <v>60</v>
      </c>
    </row>
    <row r="151" spans="1:14">
      <c r="A151" s="8" t="s">
        <v>68</v>
      </c>
      <c r="B151" s="8">
        <v>7</v>
      </c>
      <c r="C151" s="8" t="s">
        <v>37</v>
      </c>
      <c r="D151" s="8">
        <v>55</v>
      </c>
      <c r="E151" s="8" t="s">
        <v>27</v>
      </c>
      <c r="F151" s="8">
        <v>12</v>
      </c>
      <c r="G151" s="8" t="s">
        <v>15</v>
      </c>
      <c r="H151" s="8" t="s">
        <v>16</v>
      </c>
      <c r="I151" s="8" t="s">
        <v>17</v>
      </c>
      <c r="J151" s="8" t="s">
        <v>24</v>
      </c>
      <c r="K151" s="8" t="s">
        <v>28</v>
      </c>
      <c r="L151" s="8" t="str">
        <f t="shared" si="6"/>
        <v>Junior</v>
      </c>
      <c r="M151" s="8" t="str">
        <f t="shared" si="7"/>
        <v>OK</v>
      </c>
      <c r="N151" s="9">
        <f>VLOOKUP(B151,Questions!$K$2:$L$7,2,FALSE)</f>
        <v>60</v>
      </c>
    </row>
    <row r="152" spans="1:14">
      <c r="A152" s="8" t="s">
        <v>318</v>
      </c>
      <c r="B152" s="8">
        <v>7</v>
      </c>
      <c r="C152" s="8" t="s">
        <v>37</v>
      </c>
      <c r="D152" s="8">
        <v>57</v>
      </c>
      <c r="E152" s="8" t="s">
        <v>14</v>
      </c>
      <c r="F152" s="8">
        <v>13</v>
      </c>
      <c r="G152" s="8" t="s">
        <v>15</v>
      </c>
      <c r="H152" s="8" t="s">
        <v>16</v>
      </c>
      <c r="I152" s="8" t="s">
        <v>17</v>
      </c>
      <c r="J152" s="8" t="s">
        <v>30</v>
      </c>
      <c r="K152" s="8" t="s">
        <v>28</v>
      </c>
      <c r="L152" s="8" t="str">
        <f t="shared" si="6"/>
        <v>Junior</v>
      </c>
      <c r="M152" s="8" t="str">
        <f t="shared" si="7"/>
        <v>OK</v>
      </c>
      <c r="N152" s="9">
        <f>VLOOKUP(B152,Questions!$K$2:$L$7,2,FALSE)</f>
        <v>60</v>
      </c>
    </row>
    <row r="153" spans="1:14">
      <c r="A153" s="8" t="s">
        <v>157</v>
      </c>
      <c r="B153" s="8">
        <v>7</v>
      </c>
      <c r="C153" s="8" t="s">
        <v>37</v>
      </c>
      <c r="D153" s="8">
        <v>63</v>
      </c>
      <c r="E153" s="8" t="s">
        <v>27</v>
      </c>
      <c r="F153" s="8">
        <v>12</v>
      </c>
      <c r="G153" s="8" t="s">
        <v>15</v>
      </c>
      <c r="H153" s="8" t="s">
        <v>16</v>
      </c>
      <c r="I153" s="8" t="s">
        <v>23</v>
      </c>
      <c r="J153" s="8" t="s">
        <v>18</v>
      </c>
      <c r="K153" s="8" t="s">
        <v>42</v>
      </c>
      <c r="L153" s="8" t="str">
        <f t="shared" si="6"/>
        <v>Junior</v>
      </c>
      <c r="M153" s="8" t="str">
        <f t="shared" si="7"/>
        <v>OK</v>
      </c>
      <c r="N153" s="9">
        <f>VLOOKUP(B153,Questions!$K$2:$L$7,2,FALSE)</f>
        <v>60</v>
      </c>
    </row>
    <row r="154" spans="1:14">
      <c r="A154" s="8" t="s">
        <v>183</v>
      </c>
      <c r="B154" s="8">
        <v>7</v>
      </c>
      <c r="C154" s="8" t="s">
        <v>37</v>
      </c>
      <c r="D154" s="8">
        <v>67</v>
      </c>
      <c r="E154" s="8" t="s">
        <v>27</v>
      </c>
      <c r="F154" s="8">
        <v>12</v>
      </c>
      <c r="G154" s="8" t="s">
        <v>33</v>
      </c>
      <c r="H154" s="8" t="s">
        <v>16</v>
      </c>
      <c r="I154" s="8" t="s">
        <v>23</v>
      </c>
      <c r="J154" s="8" t="s">
        <v>24</v>
      </c>
      <c r="K154" s="8" t="s">
        <v>42</v>
      </c>
      <c r="L154" s="8" t="str">
        <f t="shared" si="6"/>
        <v>Junior</v>
      </c>
      <c r="M154" s="8" t="str">
        <f t="shared" si="7"/>
        <v>Pending</v>
      </c>
      <c r="N154" s="9">
        <f>VLOOKUP(B154,Questions!$K$2:$L$7,2,FALSE)</f>
        <v>60</v>
      </c>
    </row>
    <row r="155" spans="1:14">
      <c r="A155" s="8" t="s">
        <v>458</v>
      </c>
      <c r="B155" s="8">
        <v>7</v>
      </c>
      <c r="C155" s="8" t="s">
        <v>37</v>
      </c>
      <c r="D155" s="8">
        <v>68</v>
      </c>
      <c r="E155" s="8" t="s">
        <v>14</v>
      </c>
      <c r="F155" s="8">
        <v>13</v>
      </c>
      <c r="G155" s="8" t="s">
        <v>33</v>
      </c>
      <c r="H155" s="8" t="s">
        <v>16</v>
      </c>
      <c r="I155" s="8" t="s">
        <v>17</v>
      </c>
      <c r="J155" s="8" t="s">
        <v>49</v>
      </c>
      <c r="K155" s="8" t="s">
        <v>31</v>
      </c>
      <c r="L155" s="8" t="str">
        <f t="shared" si="6"/>
        <v>Junior</v>
      </c>
      <c r="M155" s="8" t="str">
        <f t="shared" si="7"/>
        <v>Pending</v>
      </c>
      <c r="N155" s="9">
        <f>VLOOKUP(B155,Questions!$K$2:$L$7,2,FALSE)</f>
        <v>60</v>
      </c>
    </row>
    <row r="156" spans="1:14">
      <c r="A156" s="8" t="s">
        <v>133</v>
      </c>
      <c r="B156" s="8">
        <v>7</v>
      </c>
      <c r="C156" s="8" t="s">
        <v>37</v>
      </c>
      <c r="D156" s="8">
        <v>70</v>
      </c>
      <c r="E156" s="8" t="s">
        <v>27</v>
      </c>
      <c r="F156" s="8">
        <v>13</v>
      </c>
      <c r="G156" s="8" t="s">
        <v>33</v>
      </c>
      <c r="H156" s="8" t="s">
        <v>22</v>
      </c>
      <c r="I156" s="8" t="s">
        <v>17</v>
      </c>
      <c r="J156" s="8" t="s">
        <v>30</v>
      </c>
      <c r="K156" s="8" t="s">
        <v>42</v>
      </c>
      <c r="L156" s="8" t="str">
        <f t="shared" si="6"/>
        <v>Junior</v>
      </c>
      <c r="M156" s="8" t="str">
        <f t="shared" si="7"/>
        <v>Pending</v>
      </c>
      <c r="N156" s="9">
        <f>VLOOKUP(B156,Questions!$K$2:$L$7,2,FALSE)</f>
        <v>60</v>
      </c>
    </row>
    <row r="157" spans="1:14">
      <c r="A157" s="8" t="s">
        <v>499</v>
      </c>
      <c r="B157" s="8">
        <v>7</v>
      </c>
      <c r="C157" s="8" t="s">
        <v>37</v>
      </c>
      <c r="D157" s="8">
        <v>73</v>
      </c>
      <c r="E157" s="8" t="s">
        <v>27</v>
      </c>
      <c r="F157" s="8">
        <v>12</v>
      </c>
      <c r="G157" s="8" t="s">
        <v>15</v>
      </c>
      <c r="H157" s="8" t="s">
        <v>16</v>
      </c>
      <c r="I157" s="8" t="s">
        <v>23</v>
      </c>
      <c r="J157" s="8" t="s">
        <v>28</v>
      </c>
      <c r="K157" s="8" t="s">
        <v>31</v>
      </c>
      <c r="L157" s="8" t="str">
        <f t="shared" si="6"/>
        <v>Junior</v>
      </c>
      <c r="M157" s="8" t="str">
        <f t="shared" si="7"/>
        <v>OK</v>
      </c>
      <c r="N157" s="9">
        <f>VLOOKUP(B157,Questions!$K$2:$L$7,2,FALSE)</f>
        <v>60</v>
      </c>
    </row>
    <row r="158" spans="1:14">
      <c r="A158" s="8" t="s">
        <v>401</v>
      </c>
      <c r="B158" s="8">
        <v>7</v>
      </c>
      <c r="C158" s="8" t="s">
        <v>37</v>
      </c>
      <c r="D158" s="8">
        <v>77</v>
      </c>
      <c r="E158" s="8" t="s">
        <v>14</v>
      </c>
      <c r="F158" s="8">
        <v>12</v>
      </c>
      <c r="G158" s="8" t="s">
        <v>15</v>
      </c>
      <c r="H158" s="8" t="s">
        <v>22</v>
      </c>
      <c r="I158" s="8" t="s">
        <v>17</v>
      </c>
      <c r="J158" s="8" t="s">
        <v>28</v>
      </c>
      <c r="K158" s="8" t="s">
        <v>28</v>
      </c>
      <c r="L158" s="8" t="str">
        <f t="shared" si="6"/>
        <v>Junior</v>
      </c>
      <c r="M158" s="8" t="str">
        <f t="shared" si="7"/>
        <v>OK</v>
      </c>
      <c r="N158" s="9">
        <f>VLOOKUP(B158,Questions!$K$2:$L$7,2,FALSE)</f>
        <v>60</v>
      </c>
    </row>
    <row r="159" spans="1:14">
      <c r="A159" s="8" t="s">
        <v>75</v>
      </c>
      <c r="B159" s="8">
        <v>7</v>
      </c>
      <c r="C159" s="8" t="s">
        <v>37</v>
      </c>
      <c r="D159" s="8">
        <v>79</v>
      </c>
      <c r="E159" s="8" t="s">
        <v>27</v>
      </c>
      <c r="F159" s="8">
        <v>12</v>
      </c>
      <c r="G159" s="8" t="s">
        <v>33</v>
      </c>
      <c r="H159" s="8" t="s">
        <v>16</v>
      </c>
      <c r="I159" s="8" t="s">
        <v>17</v>
      </c>
      <c r="J159" s="8" t="s">
        <v>18</v>
      </c>
      <c r="K159" s="8" t="s">
        <v>31</v>
      </c>
      <c r="L159" s="8" t="str">
        <f t="shared" si="6"/>
        <v>Junior</v>
      </c>
      <c r="M159" s="8" t="str">
        <f t="shared" si="7"/>
        <v>Pending</v>
      </c>
      <c r="N159" s="9">
        <f>VLOOKUP(B159,Questions!$K$2:$L$7,2,FALSE)</f>
        <v>60</v>
      </c>
    </row>
    <row r="160" spans="1:14">
      <c r="A160" s="8" t="s">
        <v>73</v>
      </c>
      <c r="B160" s="8">
        <v>7</v>
      </c>
      <c r="C160" s="8" t="s">
        <v>37</v>
      </c>
      <c r="D160" s="8">
        <v>94</v>
      </c>
      <c r="E160" s="8" t="s">
        <v>14</v>
      </c>
      <c r="F160" s="8">
        <v>13</v>
      </c>
      <c r="G160" s="8" t="s">
        <v>15</v>
      </c>
      <c r="H160" s="8" t="s">
        <v>16</v>
      </c>
      <c r="I160" s="8" t="s">
        <v>17</v>
      </c>
      <c r="J160" s="8" t="s">
        <v>49</v>
      </c>
      <c r="K160" s="8" t="s">
        <v>31</v>
      </c>
      <c r="L160" s="8" t="str">
        <f t="shared" si="6"/>
        <v>Junior</v>
      </c>
      <c r="M160" s="8" t="str">
        <f t="shared" si="7"/>
        <v>OK</v>
      </c>
      <c r="N160" s="9">
        <f>VLOOKUP(B160,Questions!$K$2:$L$7,2,FALSE)</f>
        <v>60</v>
      </c>
    </row>
    <row r="161" spans="1:14">
      <c r="A161" s="8" t="s">
        <v>292</v>
      </c>
      <c r="B161" s="8">
        <v>7</v>
      </c>
      <c r="C161" s="8" t="s">
        <v>37</v>
      </c>
      <c r="D161" s="8">
        <v>98</v>
      </c>
      <c r="E161" s="8" t="s">
        <v>14</v>
      </c>
      <c r="F161" s="8">
        <v>12</v>
      </c>
      <c r="G161" s="8" t="s">
        <v>15</v>
      </c>
      <c r="H161" s="8" t="s">
        <v>22</v>
      </c>
      <c r="I161" s="8" t="s">
        <v>23</v>
      </c>
      <c r="J161" s="8" t="s">
        <v>30</v>
      </c>
      <c r="K161" s="8" t="s">
        <v>19</v>
      </c>
      <c r="L161" s="8" t="str">
        <f t="shared" si="6"/>
        <v>Junior</v>
      </c>
      <c r="M161" s="8" t="str">
        <f t="shared" si="7"/>
        <v>OK</v>
      </c>
      <c r="N161" s="9">
        <f>VLOOKUP(B161,Questions!$K$2:$L$7,2,FALSE)</f>
        <v>60</v>
      </c>
    </row>
    <row r="162" spans="1:14">
      <c r="A162" s="8" t="s">
        <v>515</v>
      </c>
      <c r="B162" s="8">
        <v>7</v>
      </c>
      <c r="C162" s="8" t="s">
        <v>37</v>
      </c>
      <c r="D162" s="8">
        <v>100</v>
      </c>
      <c r="E162" s="8" t="s">
        <v>14</v>
      </c>
      <c r="F162" s="8">
        <v>12</v>
      </c>
      <c r="G162" s="8" t="s">
        <v>33</v>
      </c>
      <c r="H162" s="8" t="s">
        <v>16</v>
      </c>
      <c r="I162" s="8" t="s">
        <v>23</v>
      </c>
      <c r="J162" s="8" t="s">
        <v>18</v>
      </c>
      <c r="K162" s="8" t="s">
        <v>28</v>
      </c>
      <c r="L162" s="8" t="str">
        <f t="shared" si="6"/>
        <v>Junior</v>
      </c>
      <c r="M162" s="8" t="str">
        <f t="shared" si="7"/>
        <v>Pending</v>
      </c>
      <c r="N162" s="9">
        <f>VLOOKUP(B162,Questions!$K$2:$L$7,2,FALSE)</f>
        <v>60</v>
      </c>
    </row>
    <row r="163" spans="1:14">
      <c r="A163" s="8" t="s">
        <v>457</v>
      </c>
      <c r="B163" s="8">
        <v>7</v>
      </c>
      <c r="C163" s="8" t="s">
        <v>37</v>
      </c>
      <c r="D163" s="8">
        <v>104</v>
      </c>
      <c r="E163" s="8" t="s">
        <v>27</v>
      </c>
      <c r="F163" s="8">
        <v>12</v>
      </c>
      <c r="G163" s="8" t="s">
        <v>33</v>
      </c>
      <c r="H163" s="8" t="s">
        <v>16</v>
      </c>
      <c r="I163" s="8" t="s">
        <v>17</v>
      </c>
      <c r="J163" s="8" t="s">
        <v>30</v>
      </c>
      <c r="K163" s="8" t="s">
        <v>28</v>
      </c>
      <c r="L163" s="8" t="str">
        <f t="shared" si="6"/>
        <v>Junior</v>
      </c>
      <c r="M163" s="8" t="str">
        <f t="shared" si="7"/>
        <v>Pending</v>
      </c>
      <c r="N163" s="9">
        <f>VLOOKUP(B163,Questions!$K$2:$L$7,2,FALSE)</f>
        <v>60</v>
      </c>
    </row>
    <row r="164" spans="1:14">
      <c r="A164" s="8" t="s">
        <v>561</v>
      </c>
      <c r="B164" s="8">
        <v>7</v>
      </c>
      <c r="C164" s="8" t="s">
        <v>37</v>
      </c>
      <c r="D164" s="8">
        <v>114</v>
      </c>
      <c r="E164" s="8" t="s">
        <v>27</v>
      </c>
      <c r="F164" s="8">
        <v>13</v>
      </c>
      <c r="G164" s="8" t="s">
        <v>15</v>
      </c>
      <c r="H164" s="8" t="s">
        <v>22</v>
      </c>
      <c r="I164" s="8" t="s">
        <v>23</v>
      </c>
      <c r="J164" s="8" t="s">
        <v>28</v>
      </c>
      <c r="K164" s="8" t="s">
        <v>31</v>
      </c>
      <c r="L164" s="8" t="str">
        <f t="shared" si="6"/>
        <v>Junior</v>
      </c>
      <c r="M164" s="8" t="str">
        <f t="shared" si="7"/>
        <v>OK</v>
      </c>
      <c r="N164" s="9">
        <f>VLOOKUP(B164,Questions!$K$2:$L$7,2,FALSE)</f>
        <v>60</v>
      </c>
    </row>
    <row r="165" spans="1:14">
      <c r="A165" s="8" t="s">
        <v>334</v>
      </c>
      <c r="B165" s="8">
        <v>7</v>
      </c>
      <c r="C165" s="8" t="s">
        <v>37</v>
      </c>
      <c r="D165" s="8">
        <v>122</v>
      </c>
      <c r="E165" s="8" t="s">
        <v>14</v>
      </c>
      <c r="F165" s="8">
        <v>13</v>
      </c>
      <c r="G165" s="8" t="s">
        <v>15</v>
      </c>
      <c r="H165" s="8" t="s">
        <v>22</v>
      </c>
      <c r="I165" s="8" t="s">
        <v>17</v>
      </c>
      <c r="J165" s="8" t="s">
        <v>24</v>
      </c>
      <c r="K165" s="8" t="s">
        <v>28</v>
      </c>
      <c r="L165" s="8" t="str">
        <f t="shared" si="6"/>
        <v>Junior</v>
      </c>
      <c r="M165" s="8" t="str">
        <f t="shared" si="7"/>
        <v>OK</v>
      </c>
      <c r="N165" s="9">
        <f>VLOOKUP(B165,Questions!$K$2:$L$7,2,FALSE)</f>
        <v>60</v>
      </c>
    </row>
    <row r="166" spans="1:14">
      <c r="A166" s="8" t="s">
        <v>231</v>
      </c>
      <c r="B166" s="8">
        <v>7</v>
      </c>
      <c r="C166" s="8" t="s">
        <v>37</v>
      </c>
      <c r="D166" s="8">
        <v>123</v>
      </c>
      <c r="E166" s="8" t="s">
        <v>27</v>
      </c>
      <c r="F166" s="8">
        <v>12</v>
      </c>
      <c r="G166" s="8" t="s">
        <v>15</v>
      </c>
      <c r="H166" s="8" t="s">
        <v>22</v>
      </c>
      <c r="I166" s="8" t="s">
        <v>17</v>
      </c>
      <c r="J166" s="8" t="s">
        <v>28</v>
      </c>
      <c r="K166" s="8" t="s">
        <v>42</v>
      </c>
      <c r="L166" s="8" t="str">
        <f t="shared" si="6"/>
        <v>Junior</v>
      </c>
      <c r="M166" s="8" t="str">
        <f t="shared" si="7"/>
        <v>OK</v>
      </c>
      <c r="N166" s="9">
        <f>VLOOKUP(B166,Questions!$K$2:$L$7,2,FALSE)</f>
        <v>60</v>
      </c>
    </row>
    <row r="167" spans="1:14">
      <c r="A167" s="8" t="s">
        <v>348</v>
      </c>
      <c r="B167" s="8">
        <v>7</v>
      </c>
      <c r="C167" s="8" t="s">
        <v>37</v>
      </c>
      <c r="D167" s="8">
        <v>139</v>
      </c>
      <c r="E167" s="8" t="s">
        <v>14</v>
      </c>
      <c r="F167" s="8">
        <v>12</v>
      </c>
      <c r="G167" s="8" t="s">
        <v>33</v>
      </c>
      <c r="H167" s="8" t="s">
        <v>16</v>
      </c>
      <c r="I167" s="8" t="s">
        <v>17</v>
      </c>
      <c r="J167" s="8" t="s">
        <v>28</v>
      </c>
      <c r="K167" s="8" t="s">
        <v>31</v>
      </c>
      <c r="L167" s="8" t="str">
        <f t="shared" si="6"/>
        <v>Junior</v>
      </c>
      <c r="M167" s="8" t="str">
        <f t="shared" si="7"/>
        <v>Pending</v>
      </c>
      <c r="N167" s="9">
        <f>VLOOKUP(B167,Questions!$K$2:$L$7,2,FALSE)</f>
        <v>60</v>
      </c>
    </row>
    <row r="168" spans="1:14">
      <c r="A168" s="8" t="s">
        <v>233</v>
      </c>
      <c r="B168" s="8">
        <v>7</v>
      </c>
      <c r="C168" s="8" t="s">
        <v>37</v>
      </c>
      <c r="D168" s="8">
        <v>142</v>
      </c>
      <c r="E168" s="8" t="s">
        <v>27</v>
      </c>
      <c r="F168" s="8">
        <v>13</v>
      </c>
      <c r="G168" s="8" t="s">
        <v>33</v>
      </c>
      <c r="H168" s="8" t="s">
        <v>16</v>
      </c>
      <c r="I168" s="8" t="s">
        <v>23</v>
      </c>
      <c r="J168" s="8" t="s">
        <v>28</v>
      </c>
      <c r="K168" s="8" t="s">
        <v>42</v>
      </c>
      <c r="L168" s="8" t="str">
        <f t="shared" si="6"/>
        <v>Junior</v>
      </c>
      <c r="M168" s="8" t="str">
        <f t="shared" si="7"/>
        <v>Pending</v>
      </c>
      <c r="N168" s="9">
        <f>VLOOKUP(B168,Questions!$K$2:$L$7,2,FALSE)</f>
        <v>60</v>
      </c>
    </row>
    <row r="169" spans="1:14">
      <c r="A169" s="8" t="s">
        <v>36</v>
      </c>
      <c r="B169" s="8">
        <v>7</v>
      </c>
      <c r="C169" s="8" t="s">
        <v>37</v>
      </c>
      <c r="D169" s="8">
        <v>149</v>
      </c>
      <c r="E169" s="8" t="s">
        <v>27</v>
      </c>
      <c r="F169" s="8">
        <v>12</v>
      </c>
      <c r="G169" s="8" t="s">
        <v>15</v>
      </c>
      <c r="H169" s="8" t="s">
        <v>16</v>
      </c>
      <c r="I169" s="8" t="s">
        <v>23</v>
      </c>
      <c r="J169" s="8" t="s">
        <v>24</v>
      </c>
      <c r="K169" s="8" t="s">
        <v>31</v>
      </c>
      <c r="L169" s="8" t="str">
        <f t="shared" si="6"/>
        <v>Junior</v>
      </c>
      <c r="M169" s="8" t="str">
        <f t="shared" si="7"/>
        <v>OK</v>
      </c>
      <c r="N169" s="9">
        <f>VLOOKUP(B169,Questions!$K$2:$L$7,2,FALSE)</f>
        <v>60</v>
      </c>
    </row>
    <row r="170" spans="1:14">
      <c r="A170" s="8" t="s">
        <v>384</v>
      </c>
      <c r="B170" s="8">
        <v>7</v>
      </c>
      <c r="C170" s="8" t="s">
        <v>37</v>
      </c>
      <c r="D170" s="8">
        <v>157</v>
      </c>
      <c r="E170" s="8" t="s">
        <v>14</v>
      </c>
      <c r="F170" s="8">
        <v>13</v>
      </c>
      <c r="G170" s="8" t="s">
        <v>33</v>
      </c>
      <c r="H170" s="8" t="s">
        <v>22</v>
      </c>
      <c r="I170" s="8" t="s">
        <v>17</v>
      </c>
      <c r="J170" s="8" t="s">
        <v>28</v>
      </c>
      <c r="K170" s="8" t="s">
        <v>42</v>
      </c>
      <c r="L170" s="8" t="str">
        <f t="shared" si="6"/>
        <v>Junior</v>
      </c>
      <c r="M170" s="8" t="str">
        <f t="shared" si="7"/>
        <v>Pending</v>
      </c>
      <c r="N170" s="9">
        <f>VLOOKUP(B170,Questions!$K$2:$L$7,2,FALSE)</f>
        <v>60</v>
      </c>
    </row>
    <row r="171" spans="1:14">
      <c r="A171" s="8" t="s">
        <v>51</v>
      </c>
      <c r="B171" s="8">
        <v>7</v>
      </c>
      <c r="C171" s="8" t="s">
        <v>37</v>
      </c>
      <c r="D171" s="8">
        <v>161</v>
      </c>
      <c r="E171" s="8" t="s">
        <v>14</v>
      </c>
      <c r="F171" s="8">
        <v>13</v>
      </c>
      <c r="G171" s="8" t="s">
        <v>15</v>
      </c>
      <c r="H171" s="8" t="s">
        <v>16</v>
      </c>
      <c r="I171" s="8" t="s">
        <v>23</v>
      </c>
      <c r="J171" s="8" t="s">
        <v>30</v>
      </c>
      <c r="K171" s="8" t="s">
        <v>28</v>
      </c>
      <c r="L171" s="8" t="str">
        <f t="shared" si="6"/>
        <v>Junior</v>
      </c>
      <c r="M171" s="8" t="str">
        <f t="shared" si="7"/>
        <v>OK</v>
      </c>
      <c r="N171" s="9">
        <f>VLOOKUP(B171,Questions!$K$2:$L$7,2,FALSE)</f>
        <v>60</v>
      </c>
    </row>
    <row r="172" spans="1:14">
      <c r="A172" s="8" t="s">
        <v>542</v>
      </c>
      <c r="B172" s="8">
        <v>7</v>
      </c>
      <c r="C172" s="8" t="s">
        <v>37</v>
      </c>
      <c r="D172" s="8">
        <v>163</v>
      </c>
      <c r="E172" s="8" t="s">
        <v>14</v>
      </c>
      <c r="F172" s="8">
        <v>12</v>
      </c>
      <c r="G172" s="8" t="s">
        <v>15</v>
      </c>
      <c r="H172" s="8" t="s">
        <v>22</v>
      </c>
      <c r="I172" s="8" t="s">
        <v>17</v>
      </c>
      <c r="J172" s="8" t="s">
        <v>28</v>
      </c>
      <c r="K172" s="8" t="s">
        <v>31</v>
      </c>
      <c r="L172" s="8" t="str">
        <f t="shared" si="6"/>
        <v>Junior</v>
      </c>
      <c r="M172" s="8" t="str">
        <f t="shared" si="7"/>
        <v>OK</v>
      </c>
      <c r="N172" s="9">
        <f>VLOOKUP(B172,Questions!$K$2:$L$7,2,FALSE)</f>
        <v>60</v>
      </c>
    </row>
    <row r="173" spans="1:14">
      <c r="A173" s="8" t="s">
        <v>455</v>
      </c>
      <c r="B173" s="8">
        <v>7</v>
      </c>
      <c r="C173" s="8" t="s">
        <v>37</v>
      </c>
      <c r="D173" s="8">
        <v>166</v>
      </c>
      <c r="E173" s="8" t="s">
        <v>14</v>
      </c>
      <c r="F173" s="8">
        <v>12</v>
      </c>
      <c r="G173" s="8" t="s">
        <v>33</v>
      </c>
      <c r="H173" s="8" t="s">
        <v>16</v>
      </c>
      <c r="I173" s="8" t="s">
        <v>17</v>
      </c>
      <c r="J173" s="8" t="s">
        <v>28</v>
      </c>
      <c r="K173" s="8" t="s">
        <v>31</v>
      </c>
      <c r="L173" s="8" t="str">
        <f t="shared" si="6"/>
        <v>Junior</v>
      </c>
      <c r="M173" s="8" t="str">
        <f t="shared" si="7"/>
        <v>Pending</v>
      </c>
      <c r="N173" s="9">
        <f>VLOOKUP(B173,Questions!$K$2:$L$7,2,FALSE)</f>
        <v>60</v>
      </c>
    </row>
    <row r="174" spans="1:14">
      <c r="A174" s="8" t="s">
        <v>161</v>
      </c>
      <c r="B174" s="8">
        <v>7</v>
      </c>
      <c r="C174" s="8" t="s">
        <v>37</v>
      </c>
      <c r="D174" s="8">
        <v>189</v>
      </c>
      <c r="E174" s="8" t="s">
        <v>14</v>
      </c>
      <c r="F174" s="8">
        <v>12</v>
      </c>
      <c r="G174" s="8" t="s">
        <v>15</v>
      </c>
      <c r="H174" s="8" t="s">
        <v>16</v>
      </c>
      <c r="I174" s="8" t="s">
        <v>23</v>
      </c>
      <c r="J174" s="8" t="s">
        <v>49</v>
      </c>
      <c r="K174" s="8" t="s">
        <v>28</v>
      </c>
      <c r="L174" s="8" t="str">
        <f t="shared" si="6"/>
        <v>Junior</v>
      </c>
      <c r="M174" s="8" t="str">
        <f t="shared" si="7"/>
        <v>OK</v>
      </c>
      <c r="N174" s="9">
        <f>VLOOKUP(B174,Questions!$K$2:$L$7,2,FALSE)</f>
        <v>60</v>
      </c>
    </row>
    <row r="175" spans="1:14">
      <c r="A175" s="8" t="s">
        <v>255</v>
      </c>
      <c r="B175" s="8">
        <v>7</v>
      </c>
      <c r="C175" s="8" t="s">
        <v>37</v>
      </c>
      <c r="D175" s="8">
        <v>193</v>
      </c>
      <c r="E175" s="8" t="s">
        <v>27</v>
      </c>
      <c r="F175" s="8">
        <v>12</v>
      </c>
      <c r="G175" s="8" t="s">
        <v>15</v>
      </c>
      <c r="H175" s="8" t="s">
        <v>16</v>
      </c>
      <c r="I175" s="8" t="s">
        <v>23</v>
      </c>
      <c r="J175" s="8" t="s">
        <v>24</v>
      </c>
      <c r="K175" s="8" t="s">
        <v>31</v>
      </c>
      <c r="L175" s="8" t="str">
        <f t="shared" si="6"/>
        <v>Junior</v>
      </c>
      <c r="M175" s="8" t="str">
        <f t="shared" si="7"/>
        <v>OK</v>
      </c>
      <c r="N175" s="9">
        <f>VLOOKUP(B175,Questions!$K$2:$L$7,2,FALSE)</f>
        <v>60</v>
      </c>
    </row>
    <row r="176" spans="1:14">
      <c r="A176" s="8" t="s">
        <v>543</v>
      </c>
      <c r="B176" s="8">
        <v>7</v>
      </c>
      <c r="C176" s="8" t="s">
        <v>37</v>
      </c>
      <c r="D176" s="8">
        <v>196</v>
      </c>
      <c r="E176" s="8" t="s">
        <v>27</v>
      </c>
      <c r="F176" s="8">
        <v>13</v>
      </c>
      <c r="G176" s="8" t="s">
        <v>15</v>
      </c>
      <c r="H176" s="8" t="s">
        <v>16</v>
      </c>
      <c r="I176" s="8" t="s">
        <v>23</v>
      </c>
      <c r="J176" s="8" t="s">
        <v>18</v>
      </c>
      <c r="K176" s="8" t="s">
        <v>28</v>
      </c>
      <c r="L176" s="8" t="str">
        <f t="shared" si="6"/>
        <v>Junior</v>
      </c>
      <c r="M176" s="8" t="str">
        <f t="shared" si="7"/>
        <v>OK</v>
      </c>
      <c r="N176" s="9">
        <f>VLOOKUP(B176,Questions!$K$2:$L$7,2,FALSE)</f>
        <v>60</v>
      </c>
    </row>
    <row r="177" spans="1:14">
      <c r="A177" s="8" t="s">
        <v>522</v>
      </c>
      <c r="B177" s="8">
        <v>7</v>
      </c>
      <c r="C177" s="8" t="s">
        <v>26</v>
      </c>
      <c r="D177" s="8">
        <v>3</v>
      </c>
      <c r="E177" s="8" t="s">
        <v>27</v>
      </c>
      <c r="F177" s="8">
        <v>12</v>
      </c>
      <c r="G177" s="8" t="s">
        <v>15</v>
      </c>
      <c r="H177" s="8" t="s">
        <v>22</v>
      </c>
      <c r="I177" s="8" t="s">
        <v>23</v>
      </c>
      <c r="J177" s="8" t="s">
        <v>49</v>
      </c>
      <c r="K177" s="8" t="s">
        <v>28</v>
      </c>
      <c r="L177" s="8" t="str">
        <f t="shared" si="6"/>
        <v>Junior</v>
      </c>
      <c r="M177" s="8" t="str">
        <f t="shared" si="7"/>
        <v>OK</v>
      </c>
      <c r="N177" s="9">
        <f>VLOOKUP(B177,Questions!$K$2:$L$7,2,FALSE)</f>
        <v>60</v>
      </c>
    </row>
    <row r="178" spans="1:14">
      <c r="A178" s="8" t="s">
        <v>478</v>
      </c>
      <c r="B178" s="8">
        <v>7</v>
      </c>
      <c r="C178" s="8" t="s">
        <v>26</v>
      </c>
      <c r="D178" s="8">
        <v>4</v>
      </c>
      <c r="E178" s="8" t="s">
        <v>14</v>
      </c>
      <c r="F178" s="8">
        <v>12</v>
      </c>
      <c r="G178" s="8" t="s">
        <v>33</v>
      </c>
      <c r="H178" s="8" t="s">
        <v>22</v>
      </c>
      <c r="I178" s="8" t="s">
        <v>17</v>
      </c>
      <c r="J178" s="8" t="s">
        <v>28</v>
      </c>
      <c r="K178" s="8" t="s">
        <v>28</v>
      </c>
      <c r="L178" s="8" t="str">
        <f t="shared" si="6"/>
        <v>Junior</v>
      </c>
      <c r="M178" s="8" t="str">
        <f t="shared" si="7"/>
        <v>Pending</v>
      </c>
      <c r="N178" s="9">
        <f>VLOOKUP(B178,Questions!$K$2:$L$7,2,FALSE)</f>
        <v>60</v>
      </c>
    </row>
    <row r="179" spans="1:14">
      <c r="A179" s="8" t="s">
        <v>238</v>
      </c>
      <c r="B179" s="8">
        <v>7</v>
      </c>
      <c r="C179" s="8" t="s">
        <v>26</v>
      </c>
      <c r="D179" s="8">
        <v>10</v>
      </c>
      <c r="E179" s="8" t="s">
        <v>14</v>
      </c>
      <c r="F179" s="8">
        <v>13</v>
      </c>
      <c r="G179" s="8" t="s">
        <v>15</v>
      </c>
      <c r="H179" s="8" t="s">
        <v>16</v>
      </c>
      <c r="I179" s="8" t="s">
        <v>23</v>
      </c>
      <c r="J179" s="8" t="s">
        <v>18</v>
      </c>
      <c r="K179" s="8" t="s">
        <v>28</v>
      </c>
      <c r="L179" s="8" t="str">
        <f t="shared" si="6"/>
        <v>Junior</v>
      </c>
      <c r="M179" s="8" t="str">
        <f t="shared" si="7"/>
        <v>OK</v>
      </c>
      <c r="N179" s="9">
        <f>VLOOKUP(B179,Questions!$K$2:$L$7,2,FALSE)</f>
        <v>60</v>
      </c>
    </row>
    <row r="180" spans="1:14">
      <c r="A180" s="8" t="s">
        <v>350</v>
      </c>
      <c r="B180" s="8">
        <v>7</v>
      </c>
      <c r="C180" s="8" t="s">
        <v>26</v>
      </c>
      <c r="D180" s="8">
        <v>15</v>
      </c>
      <c r="E180" s="8" t="s">
        <v>27</v>
      </c>
      <c r="F180" s="8">
        <v>12</v>
      </c>
      <c r="G180" s="8" t="s">
        <v>15</v>
      </c>
      <c r="H180" s="8" t="s">
        <v>22</v>
      </c>
      <c r="I180" s="8" t="s">
        <v>23</v>
      </c>
      <c r="J180" s="8" t="s">
        <v>28</v>
      </c>
      <c r="K180" s="8" t="s">
        <v>28</v>
      </c>
      <c r="L180" s="8" t="str">
        <f t="shared" si="6"/>
        <v>Junior</v>
      </c>
      <c r="M180" s="8" t="str">
        <f t="shared" si="7"/>
        <v>OK</v>
      </c>
      <c r="N180" s="9">
        <f>VLOOKUP(B180,Questions!$K$2:$L$7,2,FALSE)</f>
        <v>60</v>
      </c>
    </row>
    <row r="181" spans="1:14">
      <c r="A181" s="8" t="s">
        <v>456</v>
      </c>
      <c r="B181" s="8">
        <v>7</v>
      </c>
      <c r="C181" s="8" t="s">
        <v>26</v>
      </c>
      <c r="D181" s="8">
        <v>16</v>
      </c>
      <c r="E181" s="8" t="s">
        <v>27</v>
      </c>
      <c r="F181" s="8">
        <v>13</v>
      </c>
      <c r="G181" s="8" t="s">
        <v>15</v>
      </c>
      <c r="H181" s="8" t="s">
        <v>16</v>
      </c>
      <c r="I181" s="8" t="s">
        <v>17</v>
      </c>
      <c r="J181" s="8" t="s">
        <v>30</v>
      </c>
      <c r="K181" s="8" t="s">
        <v>28</v>
      </c>
      <c r="L181" s="8" t="str">
        <f t="shared" si="6"/>
        <v>Junior</v>
      </c>
      <c r="M181" s="8" t="str">
        <f t="shared" si="7"/>
        <v>OK</v>
      </c>
      <c r="N181" s="9">
        <f>VLOOKUP(B181,Questions!$K$2:$L$7,2,FALSE)</f>
        <v>60</v>
      </c>
    </row>
    <row r="182" spans="1:14">
      <c r="A182" s="8" t="s">
        <v>146</v>
      </c>
      <c r="B182" s="8">
        <v>7</v>
      </c>
      <c r="C182" s="8" t="s">
        <v>26</v>
      </c>
      <c r="D182" s="8">
        <v>24</v>
      </c>
      <c r="E182" s="8" t="s">
        <v>14</v>
      </c>
      <c r="F182" s="8">
        <v>12</v>
      </c>
      <c r="G182" s="8" t="s">
        <v>15</v>
      </c>
      <c r="H182" s="8" t="s">
        <v>22</v>
      </c>
      <c r="I182" s="8" t="s">
        <v>23</v>
      </c>
      <c r="J182" s="8" t="s">
        <v>30</v>
      </c>
      <c r="K182" s="8" t="s">
        <v>19</v>
      </c>
      <c r="L182" s="8" t="str">
        <f t="shared" si="6"/>
        <v>Junior</v>
      </c>
      <c r="M182" s="8" t="str">
        <f t="shared" si="7"/>
        <v>OK</v>
      </c>
      <c r="N182" s="9">
        <f>VLOOKUP(B182,Questions!$K$2:$L$7,2,FALSE)</f>
        <v>60</v>
      </c>
    </row>
    <row r="183" spans="1:14">
      <c r="A183" s="8" t="s">
        <v>366</v>
      </c>
      <c r="B183" s="8">
        <v>7</v>
      </c>
      <c r="C183" s="8" t="s">
        <v>26</v>
      </c>
      <c r="D183" s="8">
        <v>30</v>
      </c>
      <c r="E183" s="8" t="s">
        <v>14</v>
      </c>
      <c r="F183" s="8">
        <v>13</v>
      </c>
      <c r="G183" s="8" t="s">
        <v>15</v>
      </c>
      <c r="H183" s="8" t="s">
        <v>16</v>
      </c>
      <c r="I183" s="8" t="s">
        <v>17</v>
      </c>
      <c r="J183" s="8" t="s">
        <v>24</v>
      </c>
      <c r="K183" s="8" t="s">
        <v>19</v>
      </c>
      <c r="L183" s="8" t="str">
        <f t="shared" si="6"/>
        <v>Junior</v>
      </c>
      <c r="M183" s="8" t="str">
        <f t="shared" si="7"/>
        <v>OK</v>
      </c>
      <c r="N183" s="9">
        <f>VLOOKUP(B183,Questions!$K$2:$L$7,2,FALSE)</f>
        <v>60</v>
      </c>
    </row>
    <row r="184" spans="1:14">
      <c r="A184" s="8" t="s">
        <v>601</v>
      </c>
      <c r="B184" s="8">
        <v>7</v>
      </c>
      <c r="C184" s="8" t="s">
        <v>26</v>
      </c>
      <c r="D184" s="8">
        <v>35</v>
      </c>
      <c r="E184" s="8" t="s">
        <v>27</v>
      </c>
      <c r="F184" s="8">
        <v>12</v>
      </c>
      <c r="G184" s="8" t="s">
        <v>15</v>
      </c>
      <c r="H184" s="8" t="s">
        <v>16</v>
      </c>
      <c r="I184" s="8" t="s">
        <v>17</v>
      </c>
      <c r="J184" s="8" t="s">
        <v>28</v>
      </c>
      <c r="K184" s="8" t="s">
        <v>42</v>
      </c>
      <c r="L184" s="8" t="str">
        <f t="shared" si="6"/>
        <v>Junior</v>
      </c>
      <c r="M184" s="8" t="str">
        <f t="shared" si="7"/>
        <v>OK</v>
      </c>
      <c r="N184" s="9">
        <f>VLOOKUP(B184,Questions!$K$2:$L$7,2,FALSE)</f>
        <v>60</v>
      </c>
    </row>
    <row r="185" spans="1:14">
      <c r="A185" s="8" t="s">
        <v>298</v>
      </c>
      <c r="B185" s="8">
        <v>7</v>
      </c>
      <c r="C185" s="8" t="s">
        <v>26</v>
      </c>
      <c r="D185" s="8">
        <v>39</v>
      </c>
      <c r="E185" s="8" t="s">
        <v>27</v>
      </c>
      <c r="F185" s="8">
        <v>13</v>
      </c>
      <c r="G185" s="8" t="s">
        <v>15</v>
      </c>
      <c r="H185" s="8" t="s">
        <v>16</v>
      </c>
      <c r="I185" s="8" t="s">
        <v>17</v>
      </c>
      <c r="J185" s="8" t="s">
        <v>28</v>
      </c>
      <c r="K185" s="8" t="s">
        <v>31</v>
      </c>
      <c r="L185" s="8" t="str">
        <f t="shared" si="6"/>
        <v>Junior</v>
      </c>
      <c r="M185" s="8" t="str">
        <f t="shared" si="7"/>
        <v>OK</v>
      </c>
      <c r="N185" s="9">
        <f>VLOOKUP(B185,Questions!$K$2:$L$7,2,FALSE)</f>
        <v>60</v>
      </c>
    </row>
    <row r="186" spans="1:14">
      <c r="A186" s="8" t="s">
        <v>150</v>
      </c>
      <c r="B186" s="8">
        <v>7</v>
      </c>
      <c r="C186" s="8" t="s">
        <v>26</v>
      </c>
      <c r="D186" s="8">
        <v>60</v>
      </c>
      <c r="E186" s="8" t="s">
        <v>27</v>
      </c>
      <c r="F186" s="8">
        <v>13</v>
      </c>
      <c r="G186" s="8" t="s">
        <v>15</v>
      </c>
      <c r="H186" s="8" t="s">
        <v>16</v>
      </c>
      <c r="I186" s="8" t="s">
        <v>17</v>
      </c>
      <c r="J186" s="8" t="s">
        <v>30</v>
      </c>
      <c r="K186" s="8" t="s">
        <v>28</v>
      </c>
      <c r="L186" s="8" t="str">
        <f t="shared" si="6"/>
        <v>Junior</v>
      </c>
      <c r="M186" s="8" t="str">
        <f t="shared" si="7"/>
        <v>OK</v>
      </c>
      <c r="N186" s="9">
        <f>VLOOKUP(B186,Questions!$K$2:$L$7,2,FALSE)</f>
        <v>60</v>
      </c>
    </row>
    <row r="187" spans="1:14">
      <c r="A187" s="8" t="s">
        <v>370</v>
      </c>
      <c r="B187" s="8">
        <v>7</v>
      </c>
      <c r="C187" s="8" t="s">
        <v>26</v>
      </c>
      <c r="D187" s="8">
        <v>62</v>
      </c>
      <c r="E187" s="8" t="s">
        <v>14</v>
      </c>
      <c r="F187" s="8">
        <v>12</v>
      </c>
      <c r="G187" s="8" t="s">
        <v>15</v>
      </c>
      <c r="H187" s="8" t="s">
        <v>22</v>
      </c>
      <c r="I187" s="8" t="s">
        <v>23</v>
      </c>
      <c r="J187" s="8" t="s">
        <v>28</v>
      </c>
      <c r="K187" s="8" t="s">
        <v>28</v>
      </c>
      <c r="L187" s="8" t="str">
        <f t="shared" si="6"/>
        <v>Junior</v>
      </c>
      <c r="M187" s="8" t="str">
        <f t="shared" si="7"/>
        <v>OK</v>
      </c>
      <c r="N187" s="9">
        <f>VLOOKUP(B187,Questions!$K$2:$L$7,2,FALSE)</f>
        <v>60</v>
      </c>
    </row>
    <row r="188" spans="1:14">
      <c r="A188" s="8" t="s">
        <v>301</v>
      </c>
      <c r="B188" s="8">
        <v>7</v>
      </c>
      <c r="C188" s="8" t="s">
        <v>26</v>
      </c>
      <c r="D188" s="8">
        <v>65</v>
      </c>
      <c r="E188" s="8" t="s">
        <v>14</v>
      </c>
      <c r="F188" s="8">
        <v>12</v>
      </c>
      <c r="G188" s="8" t="s">
        <v>15</v>
      </c>
      <c r="H188" s="8" t="s">
        <v>16</v>
      </c>
      <c r="I188" s="8" t="s">
        <v>23</v>
      </c>
      <c r="J188" s="8" t="s">
        <v>49</v>
      </c>
      <c r="K188" s="8" t="s">
        <v>31</v>
      </c>
      <c r="L188" s="8" t="str">
        <f t="shared" si="6"/>
        <v>Junior</v>
      </c>
      <c r="M188" s="8" t="str">
        <f t="shared" si="7"/>
        <v>OK</v>
      </c>
      <c r="N188" s="9">
        <f>VLOOKUP(B188,Questions!$K$2:$L$7,2,FALSE)</f>
        <v>60</v>
      </c>
    </row>
    <row r="189" spans="1:14">
      <c r="A189" s="8" t="s">
        <v>505</v>
      </c>
      <c r="B189" s="8">
        <v>7</v>
      </c>
      <c r="C189" s="8" t="s">
        <v>26</v>
      </c>
      <c r="D189" s="8">
        <v>76</v>
      </c>
      <c r="E189" s="8" t="s">
        <v>14</v>
      </c>
      <c r="F189" s="8">
        <v>13</v>
      </c>
      <c r="G189" s="8" t="s">
        <v>33</v>
      </c>
      <c r="H189" s="8" t="s">
        <v>16</v>
      </c>
      <c r="I189" s="8" t="s">
        <v>17</v>
      </c>
      <c r="J189" s="8" t="s">
        <v>28</v>
      </c>
      <c r="K189" s="8" t="s">
        <v>28</v>
      </c>
      <c r="L189" s="8" t="str">
        <f t="shared" si="6"/>
        <v>Junior</v>
      </c>
      <c r="M189" s="8" t="str">
        <f t="shared" si="7"/>
        <v>Pending</v>
      </c>
      <c r="N189" s="9">
        <f>VLOOKUP(B189,Questions!$K$2:$L$7,2,FALSE)</f>
        <v>60</v>
      </c>
    </row>
    <row r="190" spans="1:14">
      <c r="A190" s="8" t="s">
        <v>275</v>
      </c>
      <c r="B190" s="8">
        <v>7</v>
      </c>
      <c r="C190" s="8" t="s">
        <v>26</v>
      </c>
      <c r="D190" s="8">
        <v>82</v>
      </c>
      <c r="E190" s="8" t="s">
        <v>27</v>
      </c>
      <c r="F190" s="8">
        <v>12</v>
      </c>
      <c r="G190" s="8" t="s">
        <v>15</v>
      </c>
      <c r="H190" s="8" t="s">
        <v>22</v>
      </c>
      <c r="I190" s="8" t="s">
        <v>17</v>
      </c>
      <c r="J190" s="8" t="s">
        <v>28</v>
      </c>
      <c r="K190" s="8" t="s">
        <v>42</v>
      </c>
      <c r="L190" s="8" t="str">
        <f t="shared" si="6"/>
        <v>Junior</v>
      </c>
      <c r="M190" s="8" t="str">
        <f t="shared" si="7"/>
        <v>OK</v>
      </c>
      <c r="N190" s="9">
        <f>VLOOKUP(B190,Questions!$K$2:$L$7,2,FALSE)</f>
        <v>60</v>
      </c>
    </row>
    <row r="191" spans="1:14">
      <c r="A191" s="8" t="s">
        <v>140</v>
      </c>
      <c r="B191" s="8">
        <v>7</v>
      </c>
      <c r="C191" s="8" t="s">
        <v>26</v>
      </c>
      <c r="D191" s="8">
        <v>84</v>
      </c>
      <c r="E191" s="8" t="s">
        <v>14</v>
      </c>
      <c r="F191" s="8">
        <v>12</v>
      </c>
      <c r="G191" s="8" t="s">
        <v>15</v>
      </c>
      <c r="H191" s="8" t="s">
        <v>16</v>
      </c>
      <c r="I191" s="8" t="s">
        <v>23</v>
      </c>
      <c r="J191" s="8" t="s">
        <v>28</v>
      </c>
      <c r="K191" s="8" t="s">
        <v>28</v>
      </c>
      <c r="L191" s="8" t="str">
        <f t="shared" si="6"/>
        <v>Junior</v>
      </c>
      <c r="M191" s="8" t="str">
        <f t="shared" si="7"/>
        <v>OK</v>
      </c>
      <c r="N191" s="9">
        <f>VLOOKUP(B191,Questions!$K$2:$L$7,2,FALSE)</f>
        <v>60</v>
      </c>
    </row>
    <row r="192" spans="1:14">
      <c r="A192" s="8" t="s">
        <v>431</v>
      </c>
      <c r="B192" s="8">
        <v>7</v>
      </c>
      <c r="C192" s="8" t="s">
        <v>26</v>
      </c>
      <c r="D192" s="8">
        <v>101</v>
      </c>
      <c r="E192" s="8" t="s">
        <v>27</v>
      </c>
      <c r="F192" s="8">
        <v>12</v>
      </c>
      <c r="G192" s="8" t="s">
        <v>33</v>
      </c>
      <c r="H192" s="8" t="s">
        <v>16</v>
      </c>
      <c r="I192" s="8" t="s">
        <v>23</v>
      </c>
      <c r="J192" s="8" t="s">
        <v>24</v>
      </c>
      <c r="K192" s="8" t="s">
        <v>28</v>
      </c>
      <c r="L192" s="8" t="str">
        <f t="shared" si="6"/>
        <v>Junior</v>
      </c>
      <c r="M192" s="8" t="str">
        <f t="shared" si="7"/>
        <v>Pending</v>
      </c>
      <c r="N192" s="9">
        <f>VLOOKUP(B192,Questions!$K$2:$L$7,2,FALSE)</f>
        <v>60</v>
      </c>
    </row>
    <row r="193" spans="1:14">
      <c r="A193" s="8" t="s">
        <v>422</v>
      </c>
      <c r="B193" s="8">
        <v>7</v>
      </c>
      <c r="C193" s="8" t="s">
        <v>26</v>
      </c>
      <c r="D193" s="8">
        <v>108</v>
      </c>
      <c r="E193" s="8" t="s">
        <v>27</v>
      </c>
      <c r="F193" s="8">
        <v>13</v>
      </c>
      <c r="G193" s="8" t="s">
        <v>33</v>
      </c>
      <c r="H193" s="8" t="s">
        <v>16</v>
      </c>
      <c r="I193" s="8" t="s">
        <v>17</v>
      </c>
      <c r="J193" s="8" t="s">
        <v>30</v>
      </c>
      <c r="K193" s="8" t="s">
        <v>19</v>
      </c>
      <c r="L193" s="8" t="str">
        <f t="shared" si="6"/>
        <v>Junior</v>
      </c>
      <c r="M193" s="8" t="str">
        <f t="shared" si="7"/>
        <v>Pending</v>
      </c>
      <c r="N193" s="9">
        <f>VLOOKUP(B193,Questions!$K$2:$L$7,2,FALSE)</f>
        <v>60</v>
      </c>
    </row>
    <row r="194" spans="1:14">
      <c r="A194" s="8" t="s">
        <v>470</v>
      </c>
      <c r="B194" s="8">
        <v>7</v>
      </c>
      <c r="C194" s="8" t="s">
        <v>26</v>
      </c>
      <c r="D194" s="8">
        <v>109</v>
      </c>
      <c r="E194" s="8" t="s">
        <v>27</v>
      </c>
      <c r="F194" s="8">
        <v>12</v>
      </c>
      <c r="G194" s="8" t="s">
        <v>33</v>
      </c>
      <c r="H194" s="8" t="s">
        <v>16</v>
      </c>
      <c r="I194" s="8" t="s">
        <v>23</v>
      </c>
      <c r="J194" s="8" t="s">
        <v>28</v>
      </c>
      <c r="K194" s="8" t="s">
        <v>19</v>
      </c>
      <c r="L194" s="8" t="str">
        <f t="shared" si="6"/>
        <v>Junior</v>
      </c>
      <c r="M194" s="8" t="str">
        <f t="shared" si="7"/>
        <v>Pending</v>
      </c>
      <c r="N194" s="9">
        <f>VLOOKUP(B194,Questions!$K$2:$L$7,2,FALSE)</f>
        <v>60</v>
      </c>
    </row>
    <row r="195" spans="1:14">
      <c r="A195" s="8" t="s">
        <v>172</v>
      </c>
      <c r="B195" s="8">
        <v>7</v>
      </c>
      <c r="C195" s="8" t="s">
        <v>26</v>
      </c>
      <c r="D195" s="8">
        <v>117</v>
      </c>
      <c r="E195" s="8" t="s">
        <v>14</v>
      </c>
      <c r="F195" s="8">
        <v>13</v>
      </c>
      <c r="G195" s="8" t="s">
        <v>33</v>
      </c>
      <c r="H195" s="8" t="s">
        <v>16</v>
      </c>
      <c r="I195" s="8" t="s">
        <v>17</v>
      </c>
      <c r="J195" s="8" t="s">
        <v>28</v>
      </c>
      <c r="K195" s="8" t="s">
        <v>19</v>
      </c>
      <c r="L195" s="8" t="str">
        <f t="shared" ref="L195:L258" si="8">IF(B195&lt;=7,"Junior","Senior")</f>
        <v>Junior</v>
      </c>
      <c r="M195" s="8" t="str">
        <f t="shared" si="7"/>
        <v>Pending</v>
      </c>
      <c r="N195" s="9">
        <f>VLOOKUP(B195,Questions!$K$2:$L$7,2,FALSE)</f>
        <v>60</v>
      </c>
    </row>
    <row r="196" spans="1:14">
      <c r="A196" s="8" t="s">
        <v>371</v>
      </c>
      <c r="B196" s="8">
        <v>7</v>
      </c>
      <c r="C196" s="8" t="s">
        <v>26</v>
      </c>
      <c r="D196" s="8">
        <v>128</v>
      </c>
      <c r="E196" s="8" t="s">
        <v>27</v>
      </c>
      <c r="F196" s="8">
        <v>12</v>
      </c>
      <c r="G196" s="8" t="s">
        <v>15</v>
      </c>
      <c r="H196" s="8" t="s">
        <v>16</v>
      </c>
      <c r="I196" s="8" t="s">
        <v>23</v>
      </c>
      <c r="J196" s="8" t="s">
        <v>18</v>
      </c>
      <c r="K196" s="8" t="s">
        <v>28</v>
      </c>
      <c r="L196" s="8" t="str">
        <f t="shared" si="8"/>
        <v>Junior</v>
      </c>
      <c r="M196" s="8" t="str">
        <f t="shared" ref="M196:M259" si="9">IF(G196="Paid","OK","Pending")</f>
        <v>OK</v>
      </c>
      <c r="N196" s="9">
        <f>VLOOKUP(B196,Questions!$K$2:$L$7,2,FALSE)</f>
        <v>60</v>
      </c>
    </row>
    <row r="197" spans="1:14">
      <c r="A197" s="8" t="s">
        <v>381</v>
      </c>
      <c r="B197" s="8">
        <v>7</v>
      </c>
      <c r="C197" s="8" t="s">
        <v>26</v>
      </c>
      <c r="D197" s="8">
        <v>131</v>
      </c>
      <c r="E197" s="8" t="s">
        <v>27</v>
      </c>
      <c r="F197" s="8">
        <v>13</v>
      </c>
      <c r="G197" s="8" t="s">
        <v>15</v>
      </c>
      <c r="H197" s="8" t="s">
        <v>22</v>
      </c>
      <c r="I197" s="8" t="s">
        <v>23</v>
      </c>
      <c r="J197" s="8" t="s">
        <v>30</v>
      </c>
      <c r="K197" s="8" t="s">
        <v>28</v>
      </c>
      <c r="L197" s="8" t="str">
        <f t="shared" si="8"/>
        <v>Junior</v>
      </c>
      <c r="M197" s="8" t="str">
        <f t="shared" si="9"/>
        <v>OK</v>
      </c>
      <c r="N197" s="9">
        <f>VLOOKUP(B197,Questions!$K$2:$L$7,2,FALSE)</f>
        <v>60</v>
      </c>
    </row>
    <row r="198" spans="1:14">
      <c r="A198" s="8" t="s">
        <v>397</v>
      </c>
      <c r="B198" s="8">
        <v>7</v>
      </c>
      <c r="C198" s="8" t="s">
        <v>26</v>
      </c>
      <c r="D198" s="8">
        <v>148</v>
      </c>
      <c r="E198" s="8" t="s">
        <v>14</v>
      </c>
      <c r="F198" s="8">
        <v>13</v>
      </c>
      <c r="G198" s="8" t="s">
        <v>15</v>
      </c>
      <c r="H198" s="8" t="s">
        <v>22</v>
      </c>
      <c r="I198" s="8" t="s">
        <v>17</v>
      </c>
      <c r="J198" s="8" t="s">
        <v>28</v>
      </c>
      <c r="K198" s="8" t="s">
        <v>19</v>
      </c>
      <c r="L198" s="8" t="str">
        <f t="shared" si="8"/>
        <v>Junior</v>
      </c>
      <c r="M198" s="8" t="str">
        <f t="shared" si="9"/>
        <v>OK</v>
      </c>
      <c r="N198" s="9">
        <f>VLOOKUP(B198,Questions!$K$2:$L$7,2,FALSE)</f>
        <v>60</v>
      </c>
    </row>
    <row r="199" spans="1:14">
      <c r="A199" s="8" t="s">
        <v>288</v>
      </c>
      <c r="B199" s="8">
        <v>7</v>
      </c>
      <c r="C199" s="8" t="s">
        <v>26</v>
      </c>
      <c r="D199" s="8">
        <v>152</v>
      </c>
      <c r="E199" s="8" t="s">
        <v>27</v>
      </c>
      <c r="F199" s="8">
        <v>13</v>
      </c>
      <c r="G199" s="8" t="s">
        <v>33</v>
      </c>
      <c r="H199" s="8" t="s">
        <v>16</v>
      </c>
      <c r="I199" s="8" t="s">
        <v>23</v>
      </c>
      <c r="J199" s="8" t="s">
        <v>30</v>
      </c>
      <c r="K199" s="8" t="s">
        <v>19</v>
      </c>
      <c r="L199" s="8" t="str">
        <f t="shared" si="8"/>
        <v>Junior</v>
      </c>
      <c r="M199" s="8" t="str">
        <f t="shared" si="9"/>
        <v>Pending</v>
      </c>
      <c r="N199" s="9">
        <f>VLOOKUP(B199,Questions!$K$2:$L$7,2,FALSE)</f>
        <v>60</v>
      </c>
    </row>
    <row r="200" spans="1:14">
      <c r="A200" s="8" t="s">
        <v>354</v>
      </c>
      <c r="B200" s="8">
        <v>7</v>
      </c>
      <c r="C200" s="8" t="s">
        <v>26</v>
      </c>
      <c r="D200" s="8">
        <v>153</v>
      </c>
      <c r="E200" s="8" t="s">
        <v>14</v>
      </c>
      <c r="F200" s="8">
        <v>13</v>
      </c>
      <c r="G200" s="8" t="s">
        <v>15</v>
      </c>
      <c r="H200" s="8" t="s">
        <v>22</v>
      </c>
      <c r="I200" s="8" t="s">
        <v>23</v>
      </c>
      <c r="J200" s="8" t="s">
        <v>49</v>
      </c>
      <c r="K200" s="8" t="s">
        <v>28</v>
      </c>
      <c r="L200" s="8" t="str">
        <f t="shared" si="8"/>
        <v>Junior</v>
      </c>
      <c r="M200" s="8" t="str">
        <f t="shared" si="9"/>
        <v>OK</v>
      </c>
      <c r="N200" s="9">
        <f>VLOOKUP(B200,Questions!$K$2:$L$7,2,FALSE)</f>
        <v>60</v>
      </c>
    </row>
    <row r="201" spans="1:14">
      <c r="A201" s="8" t="s">
        <v>95</v>
      </c>
      <c r="B201" s="8">
        <v>7</v>
      </c>
      <c r="C201" s="8" t="s">
        <v>26</v>
      </c>
      <c r="D201" s="8">
        <v>154</v>
      </c>
      <c r="E201" s="8" t="s">
        <v>27</v>
      </c>
      <c r="F201" s="8">
        <v>12</v>
      </c>
      <c r="G201" s="8" t="s">
        <v>15</v>
      </c>
      <c r="H201" s="8" t="s">
        <v>16</v>
      </c>
      <c r="I201" s="8" t="s">
        <v>17</v>
      </c>
      <c r="J201" s="8" t="s">
        <v>18</v>
      </c>
      <c r="K201" s="8" t="s">
        <v>19</v>
      </c>
      <c r="L201" s="8" t="str">
        <f t="shared" si="8"/>
        <v>Junior</v>
      </c>
      <c r="M201" s="8" t="str">
        <f t="shared" si="9"/>
        <v>OK</v>
      </c>
      <c r="N201" s="9">
        <f>VLOOKUP(B201,Questions!$K$2:$L$7,2,FALSE)</f>
        <v>60</v>
      </c>
    </row>
    <row r="202" spans="1:14">
      <c r="A202" s="8" t="s">
        <v>451</v>
      </c>
      <c r="B202" s="8">
        <v>7</v>
      </c>
      <c r="C202" s="8" t="s">
        <v>26</v>
      </c>
      <c r="D202" s="8">
        <v>174</v>
      </c>
      <c r="E202" s="8" t="s">
        <v>14</v>
      </c>
      <c r="F202" s="8">
        <v>12</v>
      </c>
      <c r="G202" s="8" t="s">
        <v>15</v>
      </c>
      <c r="H202" s="8" t="s">
        <v>22</v>
      </c>
      <c r="I202" s="8" t="s">
        <v>17</v>
      </c>
      <c r="J202" s="8" t="s">
        <v>24</v>
      </c>
      <c r="K202" s="8" t="s">
        <v>28</v>
      </c>
      <c r="L202" s="8" t="str">
        <f t="shared" si="8"/>
        <v>Junior</v>
      </c>
      <c r="M202" s="8" t="str">
        <f t="shared" si="9"/>
        <v>OK</v>
      </c>
      <c r="N202" s="9">
        <f>VLOOKUP(B202,Questions!$K$2:$L$7,2,FALSE)</f>
        <v>60</v>
      </c>
    </row>
    <row r="203" spans="1:14">
      <c r="A203" s="8" t="s">
        <v>418</v>
      </c>
      <c r="B203" s="8">
        <v>7</v>
      </c>
      <c r="C203" s="8" t="s">
        <v>21</v>
      </c>
      <c r="D203" s="8">
        <v>1</v>
      </c>
      <c r="E203" s="8" t="s">
        <v>14</v>
      </c>
      <c r="F203" s="8">
        <v>12</v>
      </c>
      <c r="G203" s="8" t="s">
        <v>15</v>
      </c>
      <c r="H203" s="8" t="s">
        <v>22</v>
      </c>
      <c r="I203" s="8" t="s">
        <v>17</v>
      </c>
      <c r="J203" s="8" t="s">
        <v>18</v>
      </c>
      <c r="K203" s="8" t="s">
        <v>28</v>
      </c>
      <c r="L203" s="8" t="str">
        <f t="shared" si="8"/>
        <v>Junior</v>
      </c>
      <c r="M203" s="8" t="str">
        <f t="shared" si="9"/>
        <v>OK</v>
      </c>
      <c r="N203" s="9">
        <f>VLOOKUP(B203,Questions!$K$2:$L$7,2,FALSE)</f>
        <v>60</v>
      </c>
    </row>
    <row r="204" spans="1:14">
      <c r="A204" s="8" t="s">
        <v>367</v>
      </c>
      <c r="B204" s="8">
        <v>7</v>
      </c>
      <c r="C204" s="8" t="s">
        <v>21</v>
      </c>
      <c r="D204" s="8">
        <v>9</v>
      </c>
      <c r="E204" s="8" t="s">
        <v>27</v>
      </c>
      <c r="F204" s="8">
        <v>13</v>
      </c>
      <c r="G204" s="8" t="s">
        <v>33</v>
      </c>
      <c r="H204" s="8" t="s">
        <v>16</v>
      </c>
      <c r="I204" s="8" t="s">
        <v>23</v>
      </c>
      <c r="J204" s="8" t="s">
        <v>18</v>
      </c>
      <c r="K204" s="8" t="s">
        <v>19</v>
      </c>
      <c r="L204" s="8" t="str">
        <f t="shared" si="8"/>
        <v>Junior</v>
      </c>
      <c r="M204" s="8" t="str">
        <f t="shared" si="9"/>
        <v>Pending</v>
      </c>
      <c r="N204" s="9">
        <f>VLOOKUP(B204,Questions!$K$2:$L$7,2,FALSE)</f>
        <v>60</v>
      </c>
    </row>
    <row r="205" spans="1:14">
      <c r="A205" s="8" t="s">
        <v>444</v>
      </c>
      <c r="B205" s="8">
        <v>7</v>
      </c>
      <c r="C205" s="8" t="s">
        <v>21</v>
      </c>
      <c r="D205" s="8">
        <v>13</v>
      </c>
      <c r="E205" s="8" t="s">
        <v>14</v>
      </c>
      <c r="F205" s="8">
        <v>13</v>
      </c>
      <c r="G205" s="8" t="s">
        <v>33</v>
      </c>
      <c r="H205" s="8" t="s">
        <v>16</v>
      </c>
      <c r="I205" s="8" t="s">
        <v>17</v>
      </c>
      <c r="J205" s="8" t="s">
        <v>28</v>
      </c>
      <c r="K205" s="8" t="s">
        <v>28</v>
      </c>
      <c r="L205" s="8" t="str">
        <f t="shared" si="8"/>
        <v>Junior</v>
      </c>
      <c r="M205" s="8" t="str">
        <f t="shared" si="9"/>
        <v>Pending</v>
      </c>
      <c r="N205" s="9">
        <f>VLOOKUP(B205,Questions!$K$2:$L$7,2,FALSE)</f>
        <v>60</v>
      </c>
    </row>
    <row r="206" spans="1:14">
      <c r="A206" s="8" t="s">
        <v>245</v>
      </c>
      <c r="B206" s="8">
        <v>7</v>
      </c>
      <c r="C206" s="8" t="s">
        <v>21</v>
      </c>
      <c r="D206" s="8">
        <v>19</v>
      </c>
      <c r="E206" s="8" t="s">
        <v>14</v>
      </c>
      <c r="F206" s="8">
        <v>12</v>
      </c>
      <c r="G206" s="8" t="s">
        <v>15</v>
      </c>
      <c r="H206" s="8" t="s">
        <v>16</v>
      </c>
      <c r="I206" s="8" t="s">
        <v>23</v>
      </c>
      <c r="J206" s="8" t="s">
        <v>28</v>
      </c>
      <c r="K206" s="8" t="s">
        <v>28</v>
      </c>
      <c r="L206" s="8" t="str">
        <f t="shared" si="8"/>
        <v>Junior</v>
      </c>
      <c r="M206" s="8" t="str">
        <f t="shared" si="9"/>
        <v>OK</v>
      </c>
      <c r="N206" s="9">
        <f>VLOOKUP(B206,Questions!$K$2:$L$7,2,FALSE)</f>
        <v>60</v>
      </c>
    </row>
    <row r="207" spans="1:14">
      <c r="A207" s="8" t="s">
        <v>602</v>
      </c>
      <c r="B207" s="8">
        <v>7</v>
      </c>
      <c r="C207" s="8" t="s">
        <v>21</v>
      </c>
      <c r="D207" s="8">
        <v>20</v>
      </c>
      <c r="E207" s="8" t="s">
        <v>27</v>
      </c>
      <c r="F207" s="8">
        <v>13</v>
      </c>
      <c r="G207" s="8" t="s">
        <v>33</v>
      </c>
      <c r="H207" s="8" t="s">
        <v>16</v>
      </c>
      <c r="I207" s="8" t="s">
        <v>23</v>
      </c>
      <c r="J207" s="8" t="s">
        <v>18</v>
      </c>
      <c r="K207" s="8" t="s">
        <v>28</v>
      </c>
      <c r="L207" s="8" t="str">
        <f t="shared" si="8"/>
        <v>Junior</v>
      </c>
      <c r="M207" s="8" t="str">
        <f t="shared" si="9"/>
        <v>Pending</v>
      </c>
      <c r="N207" s="9">
        <f>VLOOKUP(B207,Questions!$K$2:$L$7,2,FALSE)</f>
        <v>60</v>
      </c>
    </row>
    <row r="208" spans="1:14">
      <c r="A208" s="8" t="s">
        <v>550</v>
      </c>
      <c r="B208" s="8">
        <v>7</v>
      </c>
      <c r="C208" s="8" t="s">
        <v>21</v>
      </c>
      <c r="D208" s="8">
        <v>21</v>
      </c>
      <c r="E208" s="8" t="s">
        <v>27</v>
      </c>
      <c r="F208" s="8">
        <v>13</v>
      </c>
      <c r="G208" s="8" t="s">
        <v>33</v>
      </c>
      <c r="H208" s="8" t="s">
        <v>16</v>
      </c>
      <c r="I208" s="8" t="s">
        <v>17</v>
      </c>
      <c r="J208" s="8" t="s">
        <v>49</v>
      </c>
      <c r="K208" s="8" t="s">
        <v>19</v>
      </c>
      <c r="L208" s="8" t="str">
        <f t="shared" si="8"/>
        <v>Junior</v>
      </c>
      <c r="M208" s="8" t="str">
        <f t="shared" si="9"/>
        <v>Pending</v>
      </c>
      <c r="N208" s="9">
        <f>VLOOKUP(B208,Questions!$K$2:$L$7,2,FALSE)</f>
        <v>60</v>
      </c>
    </row>
    <row r="209" spans="1:14">
      <c r="A209" s="8" t="s">
        <v>434</v>
      </c>
      <c r="B209" s="8">
        <v>7</v>
      </c>
      <c r="C209" s="8" t="s">
        <v>21</v>
      </c>
      <c r="D209" s="8">
        <v>22</v>
      </c>
      <c r="E209" s="8" t="s">
        <v>14</v>
      </c>
      <c r="F209" s="8">
        <v>13</v>
      </c>
      <c r="G209" s="8" t="s">
        <v>33</v>
      </c>
      <c r="H209" s="8" t="s">
        <v>22</v>
      </c>
      <c r="I209" s="8" t="s">
        <v>23</v>
      </c>
      <c r="J209" s="8" t="s">
        <v>28</v>
      </c>
      <c r="K209" s="8" t="s">
        <v>28</v>
      </c>
      <c r="L209" s="8" t="str">
        <f t="shared" si="8"/>
        <v>Junior</v>
      </c>
      <c r="M209" s="8" t="str">
        <f t="shared" si="9"/>
        <v>Pending</v>
      </c>
      <c r="N209" s="9">
        <f>VLOOKUP(B209,Questions!$K$2:$L$7,2,FALSE)</f>
        <v>60</v>
      </c>
    </row>
    <row r="210" spans="1:14">
      <c r="A210" s="8" t="s">
        <v>326</v>
      </c>
      <c r="B210" s="8">
        <v>7</v>
      </c>
      <c r="C210" s="8" t="s">
        <v>21</v>
      </c>
      <c r="D210" s="8">
        <v>23</v>
      </c>
      <c r="E210" s="8" t="s">
        <v>14</v>
      </c>
      <c r="F210" s="8">
        <v>12</v>
      </c>
      <c r="G210" s="8" t="s">
        <v>15</v>
      </c>
      <c r="H210" s="8" t="s">
        <v>22</v>
      </c>
      <c r="I210" s="8" t="s">
        <v>17</v>
      </c>
      <c r="J210" s="8" t="s">
        <v>49</v>
      </c>
      <c r="K210" s="8" t="s">
        <v>42</v>
      </c>
      <c r="L210" s="8" t="str">
        <f t="shared" si="8"/>
        <v>Junior</v>
      </c>
      <c r="M210" s="8" t="str">
        <f t="shared" si="9"/>
        <v>OK</v>
      </c>
      <c r="N210" s="9">
        <f>VLOOKUP(B210,Questions!$K$2:$L$7,2,FALSE)</f>
        <v>60</v>
      </c>
    </row>
    <row r="211" spans="1:14">
      <c r="A211" s="8" t="s">
        <v>115</v>
      </c>
      <c r="B211" s="8">
        <v>7</v>
      </c>
      <c r="C211" s="8" t="s">
        <v>21</v>
      </c>
      <c r="D211" s="8">
        <v>34</v>
      </c>
      <c r="E211" s="8" t="s">
        <v>14</v>
      </c>
      <c r="F211" s="8">
        <v>12</v>
      </c>
      <c r="G211" s="8" t="s">
        <v>15</v>
      </c>
      <c r="H211" s="8" t="s">
        <v>22</v>
      </c>
      <c r="I211" s="8" t="s">
        <v>23</v>
      </c>
      <c r="J211" s="8" t="s">
        <v>28</v>
      </c>
      <c r="K211" s="8" t="s">
        <v>19</v>
      </c>
      <c r="L211" s="8" t="str">
        <f t="shared" si="8"/>
        <v>Junior</v>
      </c>
      <c r="M211" s="8" t="str">
        <f t="shared" si="9"/>
        <v>OK</v>
      </c>
      <c r="N211" s="9">
        <f>VLOOKUP(B211,Questions!$K$2:$L$7,2,FALSE)</f>
        <v>60</v>
      </c>
    </row>
    <row r="212" spans="1:14">
      <c r="A212" s="8" t="s">
        <v>559</v>
      </c>
      <c r="B212" s="8">
        <v>7</v>
      </c>
      <c r="C212" s="8" t="s">
        <v>21</v>
      </c>
      <c r="D212" s="8">
        <v>47</v>
      </c>
      <c r="E212" s="8" t="s">
        <v>14</v>
      </c>
      <c r="F212" s="8">
        <v>12</v>
      </c>
      <c r="G212" s="8" t="s">
        <v>15</v>
      </c>
      <c r="H212" s="8" t="s">
        <v>16</v>
      </c>
      <c r="I212" s="8" t="s">
        <v>17</v>
      </c>
      <c r="J212" s="8" t="s">
        <v>24</v>
      </c>
      <c r="K212" s="8" t="s">
        <v>42</v>
      </c>
      <c r="L212" s="8" t="str">
        <f t="shared" si="8"/>
        <v>Junior</v>
      </c>
      <c r="M212" s="8" t="str">
        <f t="shared" si="9"/>
        <v>OK</v>
      </c>
      <c r="N212" s="9">
        <f>VLOOKUP(B212,Questions!$K$2:$L$7,2,FALSE)</f>
        <v>60</v>
      </c>
    </row>
    <row r="213" spans="1:14">
      <c r="A213" s="8" t="s">
        <v>173</v>
      </c>
      <c r="B213" s="8">
        <v>7</v>
      </c>
      <c r="C213" s="8" t="s">
        <v>21</v>
      </c>
      <c r="D213" s="8">
        <v>52</v>
      </c>
      <c r="E213" s="8" t="s">
        <v>14</v>
      </c>
      <c r="F213" s="8">
        <v>13</v>
      </c>
      <c r="G213" s="8" t="s">
        <v>33</v>
      </c>
      <c r="H213" s="8" t="s">
        <v>16</v>
      </c>
      <c r="I213" s="8" t="s">
        <v>23</v>
      </c>
      <c r="J213" s="8" t="s">
        <v>28</v>
      </c>
      <c r="K213" s="8" t="s">
        <v>28</v>
      </c>
      <c r="L213" s="8" t="str">
        <f t="shared" si="8"/>
        <v>Junior</v>
      </c>
      <c r="M213" s="8" t="str">
        <f t="shared" si="9"/>
        <v>Pending</v>
      </c>
      <c r="N213" s="9">
        <f>VLOOKUP(B213,Questions!$K$2:$L$7,2,FALSE)</f>
        <v>60</v>
      </c>
    </row>
    <row r="214" spans="1:14">
      <c r="A214" s="8" t="s">
        <v>300</v>
      </c>
      <c r="B214" s="8">
        <v>7</v>
      </c>
      <c r="C214" s="8" t="s">
        <v>21</v>
      </c>
      <c r="D214" s="8">
        <v>54</v>
      </c>
      <c r="E214" s="8" t="s">
        <v>14</v>
      </c>
      <c r="F214" s="8">
        <v>13</v>
      </c>
      <c r="G214" s="8" t="s">
        <v>33</v>
      </c>
      <c r="H214" s="8" t="s">
        <v>16</v>
      </c>
      <c r="I214" s="8" t="s">
        <v>23</v>
      </c>
      <c r="J214" s="8" t="s">
        <v>28</v>
      </c>
      <c r="K214" s="8" t="s">
        <v>42</v>
      </c>
      <c r="L214" s="8" t="str">
        <f t="shared" si="8"/>
        <v>Junior</v>
      </c>
      <c r="M214" s="8" t="str">
        <f t="shared" si="9"/>
        <v>Pending</v>
      </c>
      <c r="N214" s="9">
        <f>VLOOKUP(B214,Questions!$K$2:$L$7,2,FALSE)</f>
        <v>60</v>
      </c>
    </row>
    <row r="215" spans="1:14">
      <c r="A215" s="8" t="s">
        <v>217</v>
      </c>
      <c r="B215" s="8">
        <v>7</v>
      </c>
      <c r="C215" s="8" t="s">
        <v>21</v>
      </c>
      <c r="D215" s="8">
        <v>64</v>
      </c>
      <c r="E215" s="8" t="s">
        <v>27</v>
      </c>
      <c r="F215" s="8">
        <v>12</v>
      </c>
      <c r="G215" s="8" t="s">
        <v>33</v>
      </c>
      <c r="H215" s="8" t="s">
        <v>16</v>
      </c>
      <c r="I215" s="8" t="s">
        <v>17</v>
      </c>
      <c r="J215" s="8" t="s">
        <v>24</v>
      </c>
      <c r="K215" s="8" t="s">
        <v>19</v>
      </c>
      <c r="L215" s="8" t="str">
        <f t="shared" si="8"/>
        <v>Junior</v>
      </c>
      <c r="M215" s="8" t="str">
        <f t="shared" si="9"/>
        <v>Pending</v>
      </c>
      <c r="N215" s="9">
        <f>VLOOKUP(B215,Questions!$K$2:$L$7,2,FALSE)</f>
        <v>60</v>
      </c>
    </row>
    <row r="216" spans="1:14">
      <c r="A216" s="8" t="s">
        <v>503</v>
      </c>
      <c r="B216" s="8">
        <v>7</v>
      </c>
      <c r="C216" s="8" t="s">
        <v>21</v>
      </c>
      <c r="D216" s="8">
        <v>66</v>
      </c>
      <c r="E216" s="8" t="s">
        <v>14</v>
      </c>
      <c r="F216" s="8">
        <v>12</v>
      </c>
      <c r="G216" s="8" t="s">
        <v>15</v>
      </c>
      <c r="H216" s="8" t="s">
        <v>22</v>
      </c>
      <c r="I216" s="8" t="s">
        <v>23</v>
      </c>
      <c r="J216" s="8" t="s">
        <v>49</v>
      </c>
      <c r="K216" s="8" t="s">
        <v>31</v>
      </c>
      <c r="L216" s="8" t="str">
        <f t="shared" si="8"/>
        <v>Junior</v>
      </c>
      <c r="M216" s="8" t="str">
        <f t="shared" si="9"/>
        <v>OK</v>
      </c>
      <c r="N216" s="9">
        <f>VLOOKUP(B216,Questions!$K$2:$L$7,2,FALSE)</f>
        <v>60</v>
      </c>
    </row>
    <row r="217" spans="1:14">
      <c r="A217" s="8" t="s">
        <v>277</v>
      </c>
      <c r="B217" s="8">
        <v>7</v>
      </c>
      <c r="C217" s="8" t="s">
        <v>21</v>
      </c>
      <c r="D217" s="8">
        <v>74</v>
      </c>
      <c r="E217" s="8" t="s">
        <v>27</v>
      </c>
      <c r="F217" s="8">
        <v>13</v>
      </c>
      <c r="G217" s="8" t="s">
        <v>33</v>
      </c>
      <c r="H217" s="8" t="s">
        <v>22</v>
      </c>
      <c r="I217" s="8" t="s">
        <v>23</v>
      </c>
      <c r="J217" s="8" t="s">
        <v>28</v>
      </c>
      <c r="K217" s="8" t="s">
        <v>31</v>
      </c>
      <c r="L217" s="8" t="str">
        <f t="shared" si="8"/>
        <v>Junior</v>
      </c>
      <c r="M217" s="8" t="str">
        <f t="shared" si="9"/>
        <v>Pending</v>
      </c>
      <c r="N217" s="9">
        <f>VLOOKUP(B217,Questions!$K$2:$L$7,2,FALSE)</f>
        <v>60</v>
      </c>
    </row>
    <row r="218" spans="1:14">
      <c r="A218" s="8" t="s">
        <v>514</v>
      </c>
      <c r="B218" s="8">
        <v>7</v>
      </c>
      <c r="C218" s="8" t="s">
        <v>21</v>
      </c>
      <c r="D218" s="8">
        <v>81</v>
      </c>
      <c r="E218" s="8" t="s">
        <v>27</v>
      </c>
      <c r="F218" s="8">
        <v>12</v>
      </c>
      <c r="G218" s="8" t="s">
        <v>15</v>
      </c>
      <c r="H218" s="8" t="s">
        <v>22</v>
      </c>
      <c r="I218" s="8" t="s">
        <v>23</v>
      </c>
      <c r="J218" s="8" t="s">
        <v>28</v>
      </c>
      <c r="K218" s="8" t="s">
        <v>19</v>
      </c>
      <c r="L218" s="8" t="str">
        <f t="shared" si="8"/>
        <v>Junior</v>
      </c>
      <c r="M218" s="8" t="str">
        <f t="shared" si="9"/>
        <v>OK</v>
      </c>
      <c r="N218" s="9">
        <f>VLOOKUP(B218,Questions!$K$2:$L$7,2,FALSE)</f>
        <v>60</v>
      </c>
    </row>
    <row r="219" spans="1:14">
      <c r="A219" s="8" t="s">
        <v>189</v>
      </c>
      <c r="B219" s="8">
        <v>7</v>
      </c>
      <c r="C219" s="8" t="s">
        <v>21</v>
      </c>
      <c r="D219" s="8">
        <v>96</v>
      </c>
      <c r="E219" s="8" t="s">
        <v>14</v>
      </c>
      <c r="F219" s="8">
        <v>13</v>
      </c>
      <c r="G219" s="8" t="s">
        <v>33</v>
      </c>
      <c r="H219" s="8" t="s">
        <v>16</v>
      </c>
      <c r="I219" s="8" t="s">
        <v>23</v>
      </c>
      <c r="J219" s="8" t="s">
        <v>28</v>
      </c>
      <c r="K219" s="8" t="s">
        <v>19</v>
      </c>
      <c r="L219" s="8" t="str">
        <f t="shared" si="8"/>
        <v>Junior</v>
      </c>
      <c r="M219" s="8" t="str">
        <f t="shared" si="9"/>
        <v>Pending</v>
      </c>
      <c r="N219" s="9">
        <f>VLOOKUP(B219,Questions!$K$2:$L$7,2,FALSE)</f>
        <v>60</v>
      </c>
    </row>
    <row r="220" spans="1:14">
      <c r="A220" s="8" t="s">
        <v>94</v>
      </c>
      <c r="B220" s="8">
        <v>7</v>
      </c>
      <c r="C220" s="8" t="s">
        <v>21</v>
      </c>
      <c r="D220" s="8">
        <v>113</v>
      </c>
      <c r="E220" s="8" t="s">
        <v>14</v>
      </c>
      <c r="F220" s="8">
        <v>12</v>
      </c>
      <c r="G220" s="8" t="s">
        <v>33</v>
      </c>
      <c r="H220" s="8" t="s">
        <v>22</v>
      </c>
      <c r="I220" s="8" t="s">
        <v>23</v>
      </c>
      <c r="J220" s="8" t="s">
        <v>49</v>
      </c>
      <c r="K220" s="8" t="s">
        <v>19</v>
      </c>
      <c r="L220" s="8" t="str">
        <f t="shared" si="8"/>
        <v>Junior</v>
      </c>
      <c r="M220" s="8" t="str">
        <f t="shared" si="9"/>
        <v>Pending</v>
      </c>
      <c r="N220" s="9">
        <f>VLOOKUP(B220,Questions!$K$2:$L$7,2,FALSE)</f>
        <v>60</v>
      </c>
    </row>
    <row r="221" spans="1:14">
      <c r="A221" s="8" t="s">
        <v>374</v>
      </c>
      <c r="B221" s="8">
        <v>7</v>
      </c>
      <c r="C221" s="8" t="s">
        <v>21</v>
      </c>
      <c r="D221" s="8">
        <v>120</v>
      </c>
      <c r="E221" s="8" t="s">
        <v>27</v>
      </c>
      <c r="F221" s="8">
        <v>13</v>
      </c>
      <c r="G221" s="8" t="s">
        <v>15</v>
      </c>
      <c r="H221" s="8" t="s">
        <v>22</v>
      </c>
      <c r="I221" s="8" t="s">
        <v>23</v>
      </c>
      <c r="J221" s="8" t="s">
        <v>49</v>
      </c>
      <c r="K221" s="8" t="s">
        <v>42</v>
      </c>
      <c r="L221" s="8" t="str">
        <f t="shared" si="8"/>
        <v>Junior</v>
      </c>
      <c r="M221" s="8" t="str">
        <f t="shared" si="9"/>
        <v>OK</v>
      </c>
      <c r="N221" s="9">
        <f>VLOOKUP(B221,Questions!$K$2:$L$7,2,FALSE)</f>
        <v>60</v>
      </c>
    </row>
    <row r="222" spans="1:14">
      <c r="A222" s="8" t="s">
        <v>112</v>
      </c>
      <c r="B222" s="8">
        <v>7</v>
      </c>
      <c r="C222" s="8" t="s">
        <v>21</v>
      </c>
      <c r="D222" s="8">
        <v>125</v>
      </c>
      <c r="E222" s="8" t="s">
        <v>14</v>
      </c>
      <c r="F222" s="8">
        <v>13</v>
      </c>
      <c r="G222" s="8" t="s">
        <v>33</v>
      </c>
      <c r="H222" s="8" t="s">
        <v>22</v>
      </c>
      <c r="I222" s="8" t="s">
        <v>17</v>
      </c>
      <c r="J222" s="8" t="s">
        <v>30</v>
      </c>
      <c r="K222" s="8" t="s">
        <v>28</v>
      </c>
      <c r="L222" s="8" t="str">
        <f t="shared" si="8"/>
        <v>Junior</v>
      </c>
      <c r="M222" s="8" t="str">
        <f t="shared" si="9"/>
        <v>Pending</v>
      </c>
      <c r="N222" s="9">
        <f>VLOOKUP(B222,Questions!$K$2:$L$7,2,FALSE)</f>
        <v>60</v>
      </c>
    </row>
    <row r="223" spans="1:14">
      <c r="A223" s="8" t="s">
        <v>317</v>
      </c>
      <c r="B223" s="8">
        <v>7</v>
      </c>
      <c r="C223" s="8" t="s">
        <v>21</v>
      </c>
      <c r="D223" s="8">
        <v>130</v>
      </c>
      <c r="E223" s="8" t="s">
        <v>27</v>
      </c>
      <c r="F223" s="8">
        <v>13</v>
      </c>
      <c r="G223" s="8" t="s">
        <v>15</v>
      </c>
      <c r="H223" s="8" t="s">
        <v>16</v>
      </c>
      <c r="I223" s="8" t="s">
        <v>23</v>
      </c>
      <c r="J223" s="8" t="s">
        <v>28</v>
      </c>
      <c r="K223" s="8" t="s">
        <v>28</v>
      </c>
      <c r="L223" s="8" t="str">
        <f t="shared" si="8"/>
        <v>Junior</v>
      </c>
      <c r="M223" s="8" t="str">
        <f t="shared" si="9"/>
        <v>OK</v>
      </c>
      <c r="N223" s="9">
        <f>VLOOKUP(B223,Questions!$K$2:$L$7,2,FALSE)</f>
        <v>60</v>
      </c>
    </row>
    <row r="224" spans="1:14">
      <c r="A224" s="8" t="s">
        <v>453</v>
      </c>
      <c r="B224" s="8">
        <v>7</v>
      </c>
      <c r="C224" s="8" t="s">
        <v>21</v>
      </c>
      <c r="D224" s="8">
        <v>133</v>
      </c>
      <c r="E224" s="8" t="s">
        <v>14</v>
      </c>
      <c r="F224" s="8">
        <v>12</v>
      </c>
      <c r="G224" s="8" t="s">
        <v>33</v>
      </c>
      <c r="H224" s="8" t="s">
        <v>22</v>
      </c>
      <c r="I224" s="8" t="s">
        <v>23</v>
      </c>
      <c r="J224" s="8" t="s">
        <v>30</v>
      </c>
      <c r="K224" s="8" t="s">
        <v>28</v>
      </c>
      <c r="L224" s="8" t="str">
        <f t="shared" si="8"/>
        <v>Junior</v>
      </c>
      <c r="M224" s="8" t="str">
        <f t="shared" si="9"/>
        <v>Pending</v>
      </c>
      <c r="N224" s="9">
        <f>VLOOKUP(B224,Questions!$K$2:$L$7,2,FALSE)</f>
        <v>60</v>
      </c>
    </row>
    <row r="225" spans="1:14">
      <c r="A225" s="8" t="s">
        <v>558</v>
      </c>
      <c r="B225" s="8">
        <v>7</v>
      </c>
      <c r="C225" s="8" t="s">
        <v>21</v>
      </c>
      <c r="D225" s="8">
        <v>137</v>
      </c>
      <c r="E225" s="8" t="s">
        <v>27</v>
      </c>
      <c r="F225" s="8">
        <v>13</v>
      </c>
      <c r="G225" s="8" t="s">
        <v>15</v>
      </c>
      <c r="H225" s="8" t="s">
        <v>22</v>
      </c>
      <c r="I225" s="8" t="s">
        <v>23</v>
      </c>
      <c r="J225" s="8" t="s">
        <v>28</v>
      </c>
      <c r="K225" s="8" t="s">
        <v>19</v>
      </c>
      <c r="L225" s="8" t="str">
        <f t="shared" si="8"/>
        <v>Junior</v>
      </c>
      <c r="M225" s="8" t="str">
        <f t="shared" si="9"/>
        <v>OK</v>
      </c>
      <c r="N225" s="9">
        <f>VLOOKUP(B225,Questions!$K$2:$L$7,2,FALSE)</f>
        <v>60</v>
      </c>
    </row>
    <row r="226" spans="1:14">
      <c r="A226" s="8" t="s">
        <v>583</v>
      </c>
      <c r="B226" s="8">
        <v>7</v>
      </c>
      <c r="C226" s="8" t="s">
        <v>21</v>
      </c>
      <c r="D226" s="8">
        <v>138</v>
      </c>
      <c r="E226" s="8" t="s">
        <v>27</v>
      </c>
      <c r="F226" s="8">
        <v>12</v>
      </c>
      <c r="G226" s="8" t="s">
        <v>33</v>
      </c>
      <c r="H226" s="8" t="s">
        <v>16</v>
      </c>
      <c r="I226" s="8" t="s">
        <v>17</v>
      </c>
      <c r="J226" s="8" t="s">
        <v>18</v>
      </c>
      <c r="K226" s="8" t="s">
        <v>28</v>
      </c>
      <c r="L226" s="8" t="str">
        <f t="shared" si="8"/>
        <v>Junior</v>
      </c>
      <c r="M226" s="8" t="str">
        <f t="shared" si="9"/>
        <v>Pending</v>
      </c>
      <c r="N226" s="9">
        <f>VLOOKUP(B226,Questions!$K$2:$L$7,2,FALSE)</f>
        <v>60</v>
      </c>
    </row>
    <row r="227" spans="1:14">
      <c r="A227" s="8" t="s">
        <v>535</v>
      </c>
      <c r="B227" s="8">
        <v>7</v>
      </c>
      <c r="C227" s="8" t="s">
        <v>21</v>
      </c>
      <c r="D227" s="8">
        <v>141</v>
      </c>
      <c r="E227" s="8" t="s">
        <v>14</v>
      </c>
      <c r="F227" s="8">
        <v>12</v>
      </c>
      <c r="G227" s="8" t="s">
        <v>15</v>
      </c>
      <c r="H227" s="8" t="s">
        <v>16</v>
      </c>
      <c r="I227" s="8" t="s">
        <v>17</v>
      </c>
      <c r="J227" s="8" t="s">
        <v>30</v>
      </c>
      <c r="K227" s="8" t="s">
        <v>28</v>
      </c>
      <c r="L227" s="8" t="str">
        <f t="shared" si="8"/>
        <v>Junior</v>
      </c>
      <c r="M227" s="8" t="str">
        <f t="shared" si="9"/>
        <v>OK</v>
      </c>
      <c r="N227" s="9">
        <f>VLOOKUP(B227,Questions!$K$2:$L$7,2,FALSE)</f>
        <v>60</v>
      </c>
    </row>
    <row r="228" spans="1:14">
      <c r="A228" s="8" t="s">
        <v>214</v>
      </c>
      <c r="B228" s="8">
        <v>7</v>
      </c>
      <c r="C228" s="8" t="s">
        <v>21</v>
      </c>
      <c r="D228" s="8">
        <v>143</v>
      </c>
      <c r="E228" s="8" t="s">
        <v>14</v>
      </c>
      <c r="F228" s="8">
        <v>13</v>
      </c>
      <c r="G228" s="8" t="s">
        <v>15</v>
      </c>
      <c r="H228" s="8" t="s">
        <v>16</v>
      </c>
      <c r="I228" s="8" t="s">
        <v>17</v>
      </c>
      <c r="J228" s="8" t="s">
        <v>30</v>
      </c>
      <c r="K228" s="8" t="s">
        <v>31</v>
      </c>
      <c r="L228" s="8" t="str">
        <f t="shared" si="8"/>
        <v>Junior</v>
      </c>
      <c r="M228" s="8" t="str">
        <f t="shared" si="9"/>
        <v>OK</v>
      </c>
      <c r="N228" s="9">
        <f>VLOOKUP(B228,Questions!$K$2:$L$7,2,FALSE)</f>
        <v>60</v>
      </c>
    </row>
    <row r="229" spans="1:14">
      <c r="A229" s="8" t="s">
        <v>83</v>
      </c>
      <c r="B229" s="8">
        <v>7</v>
      </c>
      <c r="C229" s="8" t="s">
        <v>21</v>
      </c>
      <c r="D229" s="8">
        <v>145</v>
      </c>
      <c r="E229" s="8" t="s">
        <v>14</v>
      </c>
      <c r="F229" s="8">
        <v>12</v>
      </c>
      <c r="G229" s="8" t="s">
        <v>33</v>
      </c>
      <c r="H229" s="8" t="s">
        <v>22</v>
      </c>
      <c r="I229" s="8" t="s">
        <v>23</v>
      </c>
      <c r="J229" s="8" t="s">
        <v>18</v>
      </c>
      <c r="K229" s="8" t="s">
        <v>28</v>
      </c>
      <c r="L229" s="8" t="str">
        <f t="shared" si="8"/>
        <v>Junior</v>
      </c>
      <c r="M229" s="8" t="str">
        <f t="shared" si="9"/>
        <v>Pending</v>
      </c>
      <c r="N229" s="9">
        <f>VLOOKUP(B229,Questions!$K$2:$L$7,2,FALSE)</f>
        <v>60</v>
      </c>
    </row>
    <row r="230" spans="1:14">
      <c r="A230" s="8" t="s">
        <v>572</v>
      </c>
      <c r="B230" s="8">
        <v>7</v>
      </c>
      <c r="C230" s="8" t="s">
        <v>21</v>
      </c>
      <c r="D230" s="8">
        <v>146</v>
      </c>
      <c r="E230" s="8" t="s">
        <v>27</v>
      </c>
      <c r="F230" s="8">
        <v>13</v>
      </c>
      <c r="G230" s="8" t="s">
        <v>15</v>
      </c>
      <c r="H230" s="8" t="s">
        <v>16</v>
      </c>
      <c r="I230" s="8" t="s">
        <v>23</v>
      </c>
      <c r="J230" s="8" t="s">
        <v>28</v>
      </c>
      <c r="K230" s="8" t="s">
        <v>19</v>
      </c>
      <c r="L230" s="8" t="str">
        <f t="shared" si="8"/>
        <v>Junior</v>
      </c>
      <c r="M230" s="8" t="str">
        <f t="shared" si="9"/>
        <v>OK</v>
      </c>
      <c r="N230" s="9">
        <f>VLOOKUP(B230,Questions!$K$2:$L$7,2,FALSE)</f>
        <v>60</v>
      </c>
    </row>
    <row r="231" spans="1:14">
      <c r="A231" s="8" t="s">
        <v>102</v>
      </c>
      <c r="B231" s="8">
        <v>7</v>
      </c>
      <c r="C231" s="8" t="s">
        <v>21</v>
      </c>
      <c r="D231" s="8">
        <v>151</v>
      </c>
      <c r="E231" s="8" t="s">
        <v>14</v>
      </c>
      <c r="F231" s="8">
        <v>13</v>
      </c>
      <c r="G231" s="8" t="s">
        <v>15</v>
      </c>
      <c r="H231" s="8" t="s">
        <v>16</v>
      </c>
      <c r="I231" s="8" t="s">
        <v>23</v>
      </c>
      <c r="J231" s="8" t="s">
        <v>24</v>
      </c>
      <c r="K231" s="8" t="s">
        <v>28</v>
      </c>
      <c r="L231" s="8" t="str">
        <f t="shared" si="8"/>
        <v>Junior</v>
      </c>
      <c r="M231" s="8" t="str">
        <f t="shared" si="9"/>
        <v>OK</v>
      </c>
      <c r="N231" s="9">
        <f>VLOOKUP(B231,Questions!$K$2:$L$7,2,FALSE)</f>
        <v>60</v>
      </c>
    </row>
    <row r="232" spans="1:14">
      <c r="A232" s="8" t="s">
        <v>311</v>
      </c>
      <c r="B232" s="8">
        <v>7</v>
      </c>
      <c r="C232" s="8" t="s">
        <v>21</v>
      </c>
      <c r="D232" s="8">
        <v>158</v>
      </c>
      <c r="E232" s="8" t="s">
        <v>14</v>
      </c>
      <c r="F232" s="8">
        <v>13</v>
      </c>
      <c r="G232" s="8" t="s">
        <v>15</v>
      </c>
      <c r="H232" s="8" t="s">
        <v>22</v>
      </c>
      <c r="I232" s="8" t="s">
        <v>17</v>
      </c>
      <c r="J232" s="8" t="s">
        <v>30</v>
      </c>
      <c r="K232" s="8" t="s">
        <v>31</v>
      </c>
      <c r="L232" s="8" t="str">
        <f t="shared" si="8"/>
        <v>Junior</v>
      </c>
      <c r="M232" s="8" t="str">
        <f t="shared" si="9"/>
        <v>OK</v>
      </c>
      <c r="N232" s="9">
        <f>VLOOKUP(B232,Questions!$K$2:$L$7,2,FALSE)</f>
        <v>60</v>
      </c>
    </row>
    <row r="233" spans="1:14">
      <c r="A233" s="8" t="s">
        <v>333</v>
      </c>
      <c r="B233" s="8">
        <v>7</v>
      </c>
      <c r="C233" s="8" t="s">
        <v>21</v>
      </c>
      <c r="D233" s="8">
        <v>159</v>
      </c>
      <c r="E233" s="8" t="s">
        <v>27</v>
      </c>
      <c r="F233" s="8">
        <v>13</v>
      </c>
      <c r="G233" s="8" t="s">
        <v>15</v>
      </c>
      <c r="H233" s="8" t="s">
        <v>16</v>
      </c>
      <c r="I233" s="8" t="s">
        <v>17</v>
      </c>
      <c r="J233" s="8" t="s">
        <v>28</v>
      </c>
      <c r="K233" s="8" t="s">
        <v>28</v>
      </c>
      <c r="L233" s="8" t="str">
        <f t="shared" si="8"/>
        <v>Junior</v>
      </c>
      <c r="M233" s="8" t="str">
        <f t="shared" si="9"/>
        <v>OK</v>
      </c>
      <c r="N233" s="9">
        <f>VLOOKUP(B233,Questions!$K$2:$L$7,2,FALSE)</f>
        <v>60</v>
      </c>
    </row>
    <row r="234" spans="1:14">
      <c r="A234" s="8" t="s">
        <v>113</v>
      </c>
      <c r="B234" s="8">
        <v>7</v>
      </c>
      <c r="C234" s="8" t="s">
        <v>21</v>
      </c>
      <c r="D234" s="8">
        <v>165</v>
      </c>
      <c r="E234" s="8" t="s">
        <v>27</v>
      </c>
      <c r="F234" s="8">
        <v>13</v>
      </c>
      <c r="G234" s="8" t="s">
        <v>15</v>
      </c>
      <c r="H234" s="8" t="s">
        <v>16</v>
      </c>
      <c r="I234" s="8" t="s">
        <v>17</v>
      </c>
      <c r="J234" s="8" t="s">
        <v>28</v>
      </c>
      <c r="K234" s="8" t="s">
        <v>28</v>
      </c>
      <c r="L234" s="8" t="str">
        <f t="shared" si="8"/>
        <v>Junior</v>
      </c>
      <c r="M234" s="8" t="str">
        <f t="shared" si="9"/>
        <v>OK</v>
      </c>
      <c r="N234" s="9">
        <f>VLOOKUP(B234,Questions!$K$2:$L$7,2,FALSE)</f>
        <v>60</v>
      </c>
    </row>
    <row r="235" spans="1:14">
      <c r="A235" s="8" t="s">
        <v>185</v>
      </c>
      <c r="B235" s="8">
        <v>7</v>
      </c>
      <c r="C235" s="8" t="s">
        <v>21</v>
      </c>
      <c r="D235" s="8">
        <v>175</v>
      </c>
      <c r="E235" s="8" t="s">
        <v>27</v>
      </c>
      <c r="F235" s="8">
        <v>13</v>
      </c>
      <c r="G235" s="8" t="s">
        <v>15</v>
      </c>
      <c r="H235" s="8" t="s">
        <v>22</v>
      </c>
      <c r="I235" s="8" t="s">
        <v>17</v>
      </c>
      <c r="J235" s="8" t="s">
        <v>28</v>
      </c>
      <c r="K235" s="8" t="s">
        <v>42</v>
      </c>
      <c r="L235" s="8" t="str">
        <f t="shared" si="8"/>
        <v>Junior</v>
      </c>
      <c r="M235" s="8" t="str">
        <f t="shared" si="9"/>
        <v>OK</v>
      </c>
      <c r="N235" s="9">
        <f>VLOOKUP(B235,Questions!$K$2:$L$7,2,FALSE)</f>
        <v>60</v>
      </c>
    </row>
    <row r="236" spans="1:14">
      <c r="A236" s="8" t="s">
        <v>407</v>
      </c>
      <c r="B236" s="8">
        <v>7</v>
      </c>
      <c r="C236" s="8" t="s">
        <v>21</v>
      </c>
      <c r="D236" s="8">
        <v>178</v>
      </c>
      <c r="E236" s="8" t="s">
        <v>14</v>
      </c>
      <c r="F236" s="8">
        <v>12</v>
      </c>
      <c r="G236" s="8" t="s">
        <v>33</v>
      </c>
      <c r="H236" s="8" t="s">
        <v>22</v>
      </c>
      <c r="I236" s="8" t="s">
        <v>17</v>
      </c>
      <c r="J236" s="8" t="s">
        <v>30</v>
      </c>
      <c r="K236" s="8" t="s">
        <v>42</v>
      </c>
      <c r="L236" s="8" t="str">
        <f t="shared" si="8"/>
        <v>Junior</v>
      </c>
      <c r="M236" s="8" t="str">
        <f t="shared" si="9"/>
        <v>Pending</v>
      </c>
      <c r="N236" s="9">
        <f>VLOOKUP(B236,Questions!$K$2:$L$7,2,FALSE)</f>
        <v>60</v>
      </c>
    </row>
    <row r="237" spans="1:14">
      <c r="A237" s="8" t="s">
        <v>166</v>
      </c>
      <c r="B237" s="8">
        <v>7</v>
      </c>
      <c r="C237" s="8" t="s">
        <v>21</v>
      </c>
      <c r="D237" s="8">
        <v>181</v>
      </c>
      <c r="E237" s="8" t="s">
        <v>14</v>
      </c>
      <c r="F237" s="8">
        <v>13</v>
      </c>
      <c r="G237" s="8" t="s">
        <v>15</v>
      </c>
      <c r="H237" s="8" t="s">
        <v>22</v>
      </c>
      <c r="I237" s="8" t="s">
        <v>23</v>
      </c>
      <c r="J237" s="8" t="s">
        <v>28</v>
      </c>
      <c r="K237" s="8" t="s">
        <v>31</v>
      </c>
      <c r="L237" s="8" t="str">
        <f t="shared" si="8"/>
        <v>Junior</v>
      </c>
      <c r="M237" s="8" t="str">
        <f t="shared" si="9"/>
        <v>OK</v>
      </c>
      <c r="N237" s="9">
        <f>VLOOKUP(B237,Questions!$K$2:$L$7,2,FALSE)</f>
        <v>60</v>
      </c>
    </row>
    <row r="238" spans="1:14">
      <c r="A238" s="8" t="s">
        <v>159</v>
      </c>
      <c r="B238" s="8">
        <v>7</v>
      </c>
      <c r="C238" s="8" t="s">
        <v>21</v>
      </c>
      <c r="D238" s="8">
        <v>185</v>
      </c>
      <c r="E238" s="8" t="s">
        <v>27</v>
      </c>
      <c r="F238" s="8">
        <v>13</v>
      </c>
      <c r="G238" s="8" t="s">
        <v>15</v>
      </c>
      <c r="H238" s="8" t="s">
        <v>22</v>
      </c>
      <c r="I238" s="8" t="s">
        <v>17</v>
      </c>
      <c r="J238" s="8" t="s">
        <v>18</v>
      </c>
      <c r="K238" s="8" t="s">
        <v>19</v>
      </c>
      <c r="L238" s="8" t="str">
        <f t="shared" si="8"/>
        <v>Junior</v>
      </c>
      <c r="M238" s="8" t="str">
        <f t="shared" si="9"/>
        <v>OK</v>
      </c>
      <c r="N238" s="9">
        <f>VLOOKUP(B238,Questions!$K$2:$L$7,2,FALSE)</f>
        <v>60</v>
      </c>
    </row>
    <row r="239" spans="1:14">
      <c r="A239" s="8" t="s">
        <v>533</v>
      </c>
      <c r="B239" s="8">
        <v>7</v>
      </c>
      <c r="C239" s="8" t="s">
        <v>21</v>
      </c>
      <c r="D239" s="8">
        <v>186</v>
      </c>
      <c r="E239" s="8" t="s">
        <v>14</v>
      </c>
      <c r="F239" s="8">
        <v>13</v>
      </c>
      <c r="G239" s="8" t="s">
        <v>15</v>
      </c>
      <c r="H239" s="8" t="s">
        <v>16</v>
      </c>
      <c r="I239" s="8" t="s">
        <v>23</v>
      </c>
      <c r="J239" s="8" t="s">
        <v>28</v>
      </c>
      <c r="K239" s="8" t="s">
        <v>28</v>
      </c>
      <c r="L239" s="8" t="str">
        <f t="shared" si="8"/>
        <v>Junior</v>
      </c>
      <c r="M239" s="8" t="str">
        <f t="shared" si="9"/>
        <v>OK</v>
      </c>
      <c r="N239" s="9">
        <f>VLOOKUP(B239,Questions!$K$2:$L$7,2,FALSE)</f>
        <v>60</v>
      </c>
    </row>
    <row r="240" spans="1:14">
      <c r="A240" s="8" t="s">
        <v>562</v>
      </c>
      <c r="B240" s="8">
        <v>7</v>
      </c>
      <c r="C240" s="8" t="s">
        <v>21</v>
      </c>
      <c r="D240" s="8">
        <v>188</v>
      </c>
      <c r="E240" s="8" t="s">
        <v>14</v>
      </c>
      <c r="F240" s="8">
        <v>12</v>
      </c>
      <c r="G240" s="8" t="s">
        <v>15</v>
      </c>
      <c r="H240" s="8" t="s">
        <v>16</v>
      </c>
      <c r="I240" s="8" t="s">
        <v>17</v>
      </c>
      <c r="J240" s="8" t="s">
        <v>24</v>
      </c>
      <c r="K240" s="8" t="s">
        <v>28</v>
      </c>
      <c r="L240" s="8" t="str">
        <f t="shared" si="8"/>
        <v>Junior</v>
      </c>
      <c r="M240" s="8" t="str">
        <f t="shared" si="9"/>
        <v>OK</v>
      </c>
      <c r="N240" s="9">
        <f>VLOOKUP(B240,Questions!$K$2:$L$7,2,FALSE)</f>
        <v>60</v>
      </c>
    </row>
    <row r="241" spans="1:14">
      <c r="A241" s="8" t="s">
        <v>547</v>
      </c>
      <c r="B241" s="8">
        <v>7</v>
      </c>
      <c r="C241" s="8" t="s">
        <v>21</v>
      </c>
      <c r="D241" s="8">
        <v>191</v>
      </c>
      <c r="E241" s="8" t="s">
        <v>27</v>
      </c>
      <c r="F241" s="8">
        <v>12</v>
      </c>
      <c r="G241" s="8" t="s">
        <v>33</v>
      </c>
      <c r="H241" s="8" t="s">
        <v>16</v>
      </c>
      <c r="I241" s="8" t="s">
        <v>23</v>
      </c>
      <c r="J241" s="8" t="s">
        <v>30</v>
      </c>
      <c r="K241" s="8" t="s">
        <v>28</v>
      </c>
      <c r="L241" s="8" t="str">
        <f t="shared" si="8"/>
        <v>Junior</v>
      </c>
      <c r="M241" s="8" t="str">
        <f t="shared" si="9"/>
        <v>Pending</v>
      </c>
      <c r="N241" s="9">
        <f>VLOOKUP(B241,Questions!$K$2:$L$7,2,FALSE)</f>
        <v>60</v>
      </c>
    </row>
    <row r="242" spans="1:14">
      <c r="A242" s="8" t="s">
        <v>66</v>
      </c>
      <c r="B242" s="8">
        <v>7</v>
      </c>
      <c r="C242" s="8" t="s">
        <v>21</v>
      </c>
      <c r="D242" s="8">
        <v>192</v>
      </c>
      <c r="E242" s="8" t="s">
        <v>14</v>
      </c>
      <c r="F242" s="8">
        <v>13</v>
      </c>
      <c r="G242" s="8" t="s">
        <v>15</v>
      </c>
      <c r="H242" s="8" t="s">
        <v>16</v>
      </c>
      <c r="I242" s="8" t="s">
        <v>23</v>
      </c>
      <c r="J242" s="8" t="s">
        <v>18</v>
      </c>
      <c r="K242" s="8" t="s">
        <v>28</v>
      </c>
      <c r="L242" s="8" t="str">
        <f t="shared" si="8"/>
        <v>Junior</v>
      </c>
      <c r="M242" s="8" t="str">
        <f t="shared" si="9"/>
        <v>OK</v>
      </c>
      <c r="N242" s="9">
        <f>VLOOKUP(B242,Questions!$K$2:$L$7,2,FALSE)</f>
        <v>60</v>
      </c>
    </row>
    <row r="243" spans="1:14">
      <c r="A243" s="8" t="s">
        <v>605</v>
      </c>
      <c r="B243" s="8">
        <v>7</v>
      </c>
      <c r="C243" s="8" t="s">
        <v>21</v>
      </c>
      <c r="D243" s="8">
        <v>194</v>
      </c>
      <c r="E243" s="8" t="s">
        <v>27</v>
      </c>
      <c r="F243" s="8">
        <v>13</v>
      </c>
      <c r="G243" s="8" t="s">
        <v>15</v>
      </c>
      <c r="H243" s="8" t="s">
        <v>16</v>
      </c>
      <c r="I243" s="8" t="s">
        <v>23</v>
      </c>
      <c r="J243" s="8" t="s">
        <v>24</v>
      </c>
      <c r="K243" s="8" t="s">
        <v>31</v>
      </c>
      <c r="L243" s="8" t="str">
        <f t="shared" si="8"/>
        <v>Junior</v>
      </c>
      <c r="M243" s="8" t="str">
        <f t="shared" si="9"/>
        <v>OK</v>
      </c>
      <c r="N243" s="9">
        <f>VLOOKUP(B243,Questions!$K$2:$L$7,2,FALSE)</f>
        <v>60</v>
      </c>
    </row>
    <row r="244" spans="1:14">
      <c r="A244" s="8" t="s">
        <v>43</v>
      </c>
      <c r="B244" s="8">
        <v>7</v>
      </c>
      <c r="C244" s="8" t="s">
        <v>21</v>
      </c>
      <c r="D244" s="8">
        <v>195</v>
      </c>
      <c r="E244" s="8" t="s">
        <v>14</v>
      </c>
      <c r="F244" s="8">
        <v>13</v>
      </c>
      <c r="G244" s="8" t="s">
        <v>15</v>
      </c>
      <c r="H244" s="8" t="s">
        <v>16</v>
      </c>
      <c r="I244" s="8" t="s">
        <v>23</v>
      </c>
      <c r="J244" s="8" t="s">
        <v>28</v>
      </c>
      <c r="K244" s="8" t="s">
        <v>19</v>
      </c>
      <c r="L244" s="8" t="str">
        <f t="shared" si="8"/>
        <v>Junior</v>
      </c>
      <c r="M244" s="8" t="str">
        <f t="shared" si="9"/>
        <v>OK</v>
      </c>
      <c r="N244" s="9">
        <f>VLOOKUP(B244,Questions!$K$2:$L$7,2,FALSE)</f>
        <v>60</v>
      </c>
    </row>
    <row r="245" spans="1:14">
      <c r="A245" s="8" t="s">
        <v>45</v>
      </c>
      <c r="B245" s="8">
        <v>7</v>
      </c>
      <c r="C245" s="8" t="s">
        <v>21</v>
      </c>
      <c r="D245" s="8">
        <v>197</v>
      </c>
      <c r="E245" s="8" t="s">
        <v>27</v>
      </c>
      <c r="F245" s="8">
        <v>12</v>
      </c>
      <c r="G245" s="8" t="s">
        <v>33</v>
      </c>
      <c r="H245" s="8" t="s">
        <v>22</v>
      </c>
      <c r="I245" s="8" t="s">
        <v>17</v>
      </c>
      <c r="J245" s="8" t="s">
        <v>28</v>
      </c>
      <c r="K245" s="8" t="s">
        <v>42</v>
      </c>
      <c r="L245" s="8" t="str">
        <f t="shared" si="8"/>
        <v>Junior</v>
      </c>
      <c r="M245" s="8" t="str">
        <f t="shared" si="9"/>
        <v>Pending</v>
      </c>
      <c r="N245" s="9">
        <f>VLOOKUP(B245,Questions!$K$2:$L$7,2,FALSE)</f>
        <v>60</v>
      </c>
    </row>
    <row r="246" spans="1:14">
      <c r="A246" s="8" t="s">
        <v>261</v>
      </c>
      <c r="B246" s="8">
        <v>7</v>
      </c>
      <c r="C246" s="8" t="s">
        <v>21</v>
      </c>
      <c r="D246" s="8">
        <v>198</v>
      </c>
      <c r="E246" s="8" t="s">
        <v>27</v>
      </c>
      <c r="F246" s="8">
        <v>12</v>
      </c>
      <c r="G246" s="8" t="s">
        <v>15</v>
      </c>
      <c r="H246" s="8" t="s">
        <v>16</v>
      </c>
      <c r="I246" s="8" t="s">
        <v>23</v>
      </c>
      <c r="J246" s="8" t="s">
        <v>49</v>
      </c>
      <c r="K246" s="8" t="s">
        <v>31</v>
      </c>
      <c r="L246" s="8" t="str">
        <f t="shared" si="8"/>
        <v>Junior</v>
      </c>
      <c r="M246" s="8" t="str">
        <f t="shared" si="9"/>
        <v>OK</v>
      </c>
      <c r="N246" s="9">
        <f>VLOOKUP(B246,Questions!$K$2:$L$7,2,FALSE)</f>
        <v>60</v>
      </c>
    </row>
    <row r="247" spans="1:14">
      <c r="A247" s="8" t="s">
        <v>395</v>
      </c>
      <c r="B247" s="8">
        <v>8</v>
      </c>
      <c r="C247" s="8" t="s">
        <v>13</v>
      </c>
      <c r="D247" s="8">
        <v>5</v>
      </c>
      <c r="E247" s="8" t="s">
        <v>14</v>
      </c>
      <c r="F247" s="8">
        <v>13</v>
      </c>
      <c r="G247" s="8" t="s">
        <v>33</v>
      </c>
      <c r="H247" s="8" t="s">
        <v>16</v>
      </c>
      <c r="I247" s="8" t="s">
        <v>23</v>
      </c>
      <c r="J247" s="8" t="s">
        <v>18</v>
      </c>
      <c r="K247" s="8" t="s">
        <v>31</v>
      </c>
      <c r="L247" s="8" t="str">
        <f t="shared" si="8"/>
        <v>Senior</v>
      </c>
      <c r="M247" s="8" t="str">
        <f t="shared" si="9"/>
        <v>Pending</v>
      </c>
      <c r="N247" s="9">
        <f>VLOOKUP(B247,Questions!$K$2:$L$7,2,FALSE)</f>
        <v>70</v>
      </c>
    </row>
    <row r="248" spans="1:14">
      <c r="A248" s="8" t="s">
        <v>125</v>
      </c>
      <c r="B248" s="8">
        <v>8</v>
      </c>
      <c r="C248" s="8" t="s">
        <v>13</v>
      </c>
      <c r="D248" s="8">
        <v>8</v>
      </c>
      <c r="E248" s="8" t="s">
        <v>14</v>
      </c>
      <c r="F248" s="8">
        <v>14</v>
      </c>
      <c r="G248" s="8" t="s">
        <v>15</v>
      </c>
      <c r="H248" s="8" t="s">
        <v>22</v>
      </c>
      <c r="I248" s="8" t="s">
        <v>17</v>
      </c>
      <c r="J248" s="8" t="s">
        <v>30</v>
      </c>
      <c r="K248" s="8" t="s">
        <v>42</v>
      </c>
      <c r="L248" s="8" t="str">
        <f t="shared" si="8"/>
        <v>Senior</v>
      </c>
      <c r="M248" s="8" t="str">
        <f t="shared" si="9"/>
        <v>OK</v>
      </c>
      <c r="N248" s="9">
        <f>VLOOKUP(B248,Questions!$K$2:$L$7,2,FALSE)</f>
        <v>70</v>
      </c>
    </row>
    <row r="249" spans="1:14">
      <c r="A249" s="8" t="s">
        <v>385</v>
      </c>
      <c r="B249" s="8">
        <v>8</v>
      </c>
      <c r="C249" s="8" t="s">
        <v>13</v>
      </c>
      <c r="D249" s="8">
        <v>12</v>
      </c>
      <c r="E249" s="8" t="s">
        <v>27</v>
      </c>
      <c r="F249" s="8">
        <v>13</v>
      </c>
      <c r="G249" s="8" t="s">
        <v>33</v>
      </c>
      <c r="H249" s="8" t="s">
        <v>16</v>
      </c>
      <c r="I249" s="8" t="s">
        <v>23</v>
      </c>
      <c r="J249" s="8" t="s">
        <v>49</v>
      </c>
      <c r="K249" s="8" t="s">
        <v>19</v>
      </c>
      <c r="L249" s="8" t="str">
        <f t="shared" si="8"/>
        <v>Senior</v>
      </c>
      <c r="M249" s="8" t="str">
        <f t="shared" si="9"/>
        <v>Pending</v>
      </c>
      <c r="N249" s="9">
        <f>VLOOKUP(B249,Questions!$K$2:$L$7,2,FALSE)</f>
        <v>70</v>
      </c>
    </row>
    <row r="250" spans="1:14">
      <c r="A250" s="8" t="s">
        <v>594</v>
      </c>
      <c r="B250" s="8">
        <v>8</v>
      </c>
      <c r="C250" s="8" t="s">
        <v>13</v>
      </c>
      <c r="D250" s="8">
        <v>14</v>
      </c>
      <c r="E250" s="8" t="s">
        <v>14</v>
      </c>
      <c r="F250" s="8">
        <v>13</v>
      </c>
      <c r="G250" s="8" t="s">
        <v>15</v>
      </c>
      <c r="H250" s="8" t="s">
        <v>22</v>
      </c>
      <c r="I250" s="8" t="s">
        <v>17</v>
      </c>
      <c r="J250" s="8" t="s">
        <v>30</v>
      </c>
      <c r="K250" s="8" t="s">
        <v>28</v>
      </c>
      <c r="L250" s="8" t="str">
        <f t="shared" si="8"/>
        <v>Senior</v>
      </c>
      <c r="M250" s="8" t="str">
        <f t="shared" si="9"/>
        <v>OK</v>
      </c>
      <c r="N250" s="9">
        <f>VLOOKUP(B250,Questions!$K$2:$L$7,2,FALSE)</f>
        <v>70</v>
      </c>
    </row>
    <row r="251" spans="1:14">
      <c r="A251" s="8" t="s">
        <v>546</v>
      </c>
      <c r="B251" s="8">
        <v>8</v>
      </c>
      <c r="C251" s="8" t="s">
        <v>13</v>
      </c>
      <c r="D251" s="8">
        <v>21</v>
      </c>
      <c r="E251" s="8" t="s">
        <v>27</v>
      </c>
      <c r="F251" s="8">
        <v>14</v>
      </c>
      <c r="G251" s="8" t="s">
        <v>33</v>
      </c>
      <c r="H251" s="8" t="s">
        <v>22</v>
      </c>
      <c r="I251" s="8" t="s">
        <v>23</v>
      </c>
      <c r="J251" s="8" t="s">
        <v>24</v>
      </c>
      <c r="K251" s="8" t="s">
        <v>31</v>
      </c>
      <c r="L251" s="8" t="str">
        <f t="shared" si="8"/>
        <v>Senior</v>
      </c>
      <c r="M251" s="8" t="str">
        <f t="shared" si="9"/>
        <v>Pending</v>
      </c>
      <c r="N251" s="9">
        <f>VLOOKUP(B251,Questions!$K$2:$L$7,2,FALSE)</f>
        <v>70</v>
      </c>
    </row>
    <row r="252" spans="1:14">
      <c r="A252" s="8" t="s">
        <v>591</v>
      </c>
      <c r="B252" s="8">
        <v>8</v>
      </c>
      <c r="C252" s="8" t="s">
        <v>13</v>
      </c>
      <c r="D252" s="8">
        <v>24</v>
      </c>
      <c r="E252" s="8" t="s">
        <v>27</v>
      </c>
      <c r="F252" s="8">
        <v>14</v>
      </c>
      <c r="G252" s="8" t="s">
        <v>15</v>
      </c>
      <c r="H252" s="8" t="s">
        <v>22</v>
      </c>
      <c r="I252" s="8" t="s">
        <v>23</v>
      </c>
      <c r="J252" s="8" t="s">
        <v>24</v>
      </c>
      <c r="K252" s="8" t="s">
        <v>42</v>
      </c>
      <c r="L252" s="8" t="str">
        <f t="shared" si="8"/>
        <v>Senior</v>
      </c>
      <c r="M252" s="8" t="str">
        <f t="shared" si="9"/>
        <v>OK</v>
      </c>
      <c r="N252" s="9">
        <f>VLOOKUP(B252,Questions!$K$2:$L$7,2,FALSE)</f>
        <v>70</v>
      </c>
    </row>
    <row r="253" spans="1:14">
      <c r="A253" s="8" t="s">
        <v>327</v>
      </c>
      <c r="B253" s="8">
        <v>8</v>
      </c>
      <c r="C253" s="8" t="s">
        <v>13</v>
      </c>
      <c r="D253" s="8">
        <v>30</v>
      </c>
      <c r="E253" s="8" t="s">
        <v>27</v>
      </c>
      <c r="F253" s="8">
        <v>14</v>
      </c>
      <c r="G253" s="8" t="s">
        <v>15</v>
      </c>
      <c r="H253" s="8" t="s">
        <v>22</v>
      </c>
      <c r="I253" s="8" t="s">
        <v>23</v>
      </c>
      <c r="J253" s="8" t="s">
        <v>49</v>
      </c>
      <c r="K253" s="8" t="s">
        <v>19</v>
      </c>
      <c r="L253" s="8" t="str">
        <f t="shared" si="8"/>
        <v>Senior</v>
      </c>
      <c r="M253" s="8" t="str">
        <f t="shared" si="9"/>
        <v>OK</v>
      </c>
      <c r="N253" s="9">
        <f>VLOOKUP(B253,Questions!$K$2:$L$7,2,FALSE)</f>
        <v>70</v>
      </c>
    </row>
    <row r="254" spans="1:14">
      <c r="A254" s="8" t="s">
        <v>212</v>
      </c>
      <c r="B254" s="8">
        <v>8</v>
      </c>
      <c r="C254" s="8" t="s">
        <v>13</v>
      </c>
      <c r="D254" s="8">
        <v>37</v>
      </c>
      <c r="E254" s="8" t="s">
        <v>14</v>
      </c>
      <c r="F254" s="8">
        <v>13</v>
      </c>
      <c r="G254" s="8" t="s">
        <v>33</v>
      </c>
      <c r="H254" s="8" t="s">
        <v>22</v>
      </c>
      <c r="I254" s="8" t="s">
        <v>23</v>
      </c>
      <c r="J254" s="8" t="s">
        <v>28</v>
      </c>
      <c r="K254" s="8" t="s">
        <v>28</v>
      </c>
      <c r="L254" s="8" t="str">
        <f t="shared" si="8"/>
        <v>Senior</v>
      </c>
      <c r="M254" s="8" t="str">
        <f t="shared" si="9"/>
        <v>Pending</v>
      </c>
      <c r="N254" s="9">
        <f>VLOOKUP(B254,Questions!$K$2:$L$7,2,FALSE)</f>
        <v>70</v>
      </c>
    </row>
    <row r="255" spans="1:14">
      <c r="A255" s="8" t="s">
        <v>184</v>
      </c>
      <c r="B255" s="8">
        <v>8</v>
      </c>
      <c r="C255" s="8" t="s">
        <v>13</v>
      </c>
      <c r="D255" s="8">
        <v>40</v>
      </c>
      <c r="E255" s="8" t="s">
        <v>27</v>
      </c>
      <c r="F255" s="8">
        <v>14</v>
      </c>
      <c r="G255" s="8" t="s">
        <v>15</v>
      </c>
      <c r="H255" s="8" t="s">
        <v>22</v>
      </c>
      <c r="I255" s="8" t="s">
        <v>23</v>
      </c>
      <c r="J255" s="8" t="s">
        <v>28</v>
      </c>
      <c r="K255" s="8" t="s">
        <v>42</v>
      </c>
      <c r="L255" s="8" t="str">
        <f t="shared" si="8"/>
        <v>Senior</v>
      </c>
      <c r="M255" s="8" t="str">
        <f t="shared" si="9"/>
        <v>OK</v>
      </c>
      <c r="N255" s="9">
        <f>VLOOKUP(B255,Questions!$K$2:$L$7,2,FALSE)</f>
        <v>70</v>
      </c>
    </row>
    <row r="256" spans="1:14">
      <c r="A256" s="8" t="s">
        <v>530</v>
      </c>
      <c r="B256" s="8">
        <v>8</v>
      </c>
      <c r="C256" s="8" t="s">
        <v>13</v>
      </c>
      <c r="D256" s="8">
        <v>42</v>
      </c>
      <c r="E256" s="8" t="s">
        <v>14</v>
      </c>
      <c r="F256" s="8">
        <v>14</v>
      </c>
      <c r="G256" s="8" t="s">
        <v>33</v>
      </c>
      <c r="H256" s="8" t="s">
        <v>22</v>
      </c>
      <c r="I256" s="8" t="s">
        <v>17</v>
      </c>
      <c r="J256" s="8" t="s">
        <v>49</v>
      </c>
      <c r="K256" s="8" t="s">
        <v>31</v>
      </c>
      <c r="L256" s="8" t="str">
        <f t="shared" si="8"/>
        <v>Senior</v>
      </c>
      <c r="M256" s="8" t="str">
        <f t="shared" si="9"/>
        <v>Pending</v>
      </c>
      <c r="N256" s="9">
        <f>VLOOKUP(B256,Questions!$K$2:$L$7,2,FALSE)</f>
        <v>70</v>
      </c>
    </row>
    <row r="257" spans="1:14">
      <c r="A257" s="8" t="s">
        <v>48</v>
      </c>
      <c r="B257" s="8">
        <v>8</v>
      </c>
      <c r="C257" s="8" t="s">
        <v>13</v>
      </c>
      <c r="D257" s="8">
        <v>46</v>
      </c>
      <c r="E257" s="8" t="s">
        <v>27</v>
      </c>
      <c r="F257" s="8">
        <v>13</v>
      </c>
      <c r="G257" s="8" t="s">
        <v>33</v>
      </c>
      <c r="H257" s="8" t="s">
        <v>16</v>
      </c>
      <c r="I257" s="8" t="s">
        <v>23</v>
      </c>
      <c r="J257" s="8" t="s">
        <v>49</v>
      </c>
      <c r="K257" s="8" t="s">
        <v>31</v>
      </c>
      <c r="L257" s="8" t="str">
        <f t="shared" si="8"/>
        <v>Senior</v>
      </c>
      <c r="M257" s="8" t="str">
        <f t="shared" si="9"/>
        <v>Pending</v>
      </c>
      <c r="N257" s="9">
        <f>VLOOKUP(B257,Questions!$K$2:$L$7,2,FALSE)</f>
        <v>70</v>
      </c>
    </row>
    <row r="258" spans="1:14">
      <c r="A258" s="8" t="s">
        <v>375</v>
      </c>
      <c r="B258" s="8">
        <v>8</v>
      </c>
      <c r="C258" s="8" t="s">
        <v>13</v>
      </c>
      <c r="D258" s="8">
        <v>52</v>
      </c>
      <c r="E258" s="8" t="s">
        <v>14</v>
      </c>
      <c r="F258" s="8">
        <v>14</v>
      </c>
      <c r="G258" s="8" t="s">
        <v>33</v>
      </c>
      <c r="H258" s="8" t="s">
        <v>22</v>
      </c>
      <c r="I258" s="8" t="s">
        <v>17</v>
      </c>
      <c r="J258" s="8" t="s">
        <v>24</v>
      </c>
      <c r="K258" s="8" t="s">
        <v>19</v>
      </c>
      <c r="L258" s="8" t="str">
        <f t="shared" si="8"/>
        <v>Senior</v>
      </c>
      <c r="M258" s="8" t="str">
        <f t="shared" si="9"/>
        <v>Pending</v>
      </c>
      <c r="N258" s="9">
        <f>VLOOKUP(B258,Questions!$K$2:$L$7,2,FALSE)</f>
        <v>70</v>
      </c>
    </row>
    <row r="259" spans="1:14">
      <c r="A259" s="8" t="s">
        <v>320</v>
      </c>
      <c r="B259" s="8">
        <v>8</v>
      </c>
      <c r="C259" s="8" t="s">
        <v>13</v>
      </c>
      <c r="D259" s="8">
        <v>54</v>
      </c>
      <c r="E259" s="8" t="s">
        <v>27</v>
      </c>
      <c r="F259" s="8">
        <v>14</v>
      </c>
      <c r="G259" s="8" t="s">
        <v>33</v>
      </c>
      <c r="H259" s="8" t="s">
        <v>16</v>
      </c>
      <c r="I259" s="8" t="s">
        <v>23</v>
      </c>
      <c r="J259" s="8" t="s">
        <v>30</v>
      </c>
      <c r="K259" s="8" t="s">
        <v>42</v>
      </c>
      <c r="L259" s="8" t="str">
        <f t="shared" ref="L259:L322" si="10">IF(B259&lt;=7,"Junior","Senior")</f>
        <v>Senior</v>
      </c>
      <c r="M259" s="8" t="str">
        <f t="shared" si="9"/>
        <v>Pending</v>
      </c>
      <c r="N259" s="9">
        <f>VLOOKUP(B259,Questions!$K$2:$L$7,2,FALSE)</f>
        <v>70</v>
      </c>
    </row>
    <row r="260" spans="1:14">
      <c r="A260" s="8" t="s">
        <v>278</v>
      </c>
      <c r="B260" s="8">
        <v>8</v>
      </c>
      <c r="C260" s="8" t="s">
        <v>13</v>
      </c>
      <c r="D260" s="8">
        <v>64</v>
      </c>
      <c r="E260" s="8" t="s">
        <v>27</v>
      </c>
      <c r="F260" s="8">
        <v>14</v>
      </c>
      <c r="G260" s="8" t="s">
        <v>33</v>
      </c>
      <c r="H260" s="8" t="s">
        <v>22</v>
      </c>
      <c r="I260" s="8" t="s">
        <v>23</v>
      </c>
      <c r="J260" s="8" t="s">
        <v>28</v>
      </c>
      <c r="K260" s="8" t="s">
        <v>28</v>
      </c>
      <c r="L260" s="8" t="str">
        <f t="shared" si="10"/>
        <v>Senior</v>
      </c>
      <c r="M260" s="8" t="str">
        <f t="shared" ref="M260:M323" si="11">IF(G260="Paid","OK","Pending")</f>
        <v>Pending</v>
      </c>
      <c r="N260" s="9">
        <f>VLOOKUP(B260,Questions!$K$2:$L$7,2,FALSE)</f>
        <v>70</v>
      </c>
    </row>
    <row r="261" spans="1:14">
      <c r="A261" s="8" t="s">
        <v>186</v>
      </c>
      <c r="B261" s="8">
        <v>8</v>
      </c>
      <c r="C261" s="8" t="s">
        <v>13</v>
      </c>
      <c r="D261" s="8">
        <v>80</v>
      </c>
      <c r="E261" s="8" t="s">
        <v>14</v>
      </c>
      <c r="F261" s="8">
        <v>14</v>
      </c>
      <c r="G261" s="8" t="s">
        <v>15</v>
      </c>
      <c r="H261" s="8" t="s">
        <v>16</v>
      </c>
      <c r="I261" s="8" t="s">
        <v>23</v>
      </c>
      <c r="J261" s="8" t="s">
        <v>28</v>
      </c>
      <c r="K261" s="8" t="s">
        <v>28</v>
      </c>
      <c r="L261" s="8" t="str">
        <f t="shared" si="10"/>
        <v>Senior</v>
      </c>
      <c r="M261" s="8" t="str">
        <f t="shared" si="11"/>
        <v>OK</v>
      </c>
      <c r="N261" s="9">
        <f>VLOOKUP(B261,Questions!$K$2:$L$7,2,FALSE)</f>
        <v>70</v>
      </c>
    </row>
    <row r="262" spans="1:14">
      <c r="A262" s="8" t="s">
        <v>260</v>
      </c>
      <c r="B262" s="8">
        <v>8</v>
      </c>
      <c r="C262" s="8" t="s">
        <v>13</v>
      </c>
      <c r="D262" s="8">
        <v>84</v>
      </c>
      <c r="E262" s="8" t="s">
        <v>14</v>
      </c>
      <c r="F262" s="8">
        <v>14</v>
      </c>
      <c r="G262" s="8" t="s">
        <v>33</v>
      </c>
      <c r="H262" s="8" t="s">
        <v>16</v>
      </c>
      <c r="I262" s="8" t="s">
        <v>17</v>
      </c>
      <c r="J262" s="8" t="s">
        <v>28</v>
      </c>
      <c r="K262" s="8" t="s">
        <v>19</v>
      </c>
      <c r="L262" s="8" t="str">
        <f t="shared" si="10"/>
        <v>Senior</v>
      </c>
      <c r="M262" s="8" t="str">
        <f t="shared" si="11"/>
        <v>Pending</v>
      </c>
      <c r="N262" s="9">
        <f>VLOOKUP(B262,Questions!$K$2:$L$7,2,FALSE)</f>
        <v>70</v>
      </c>
    </row>
    <row r="263" spans="1:14">
      <c r="A263" s="8" t="s">
        <v>449</v>
      </c>
      <c r="B263" s="8">
        <v>8</v>
      </c>
      <c r="C263" s="8" t="s">
        <v>13</v>
      </c>
      <c r="D263" s="8">
        <v>93</v>
      </c>
      <c r="E263" s="8" t="s">
        <v>27</v>
      </c>
      <c r="F263" s="8">
        <v>13</v>
      </c>
      <c r="G263" s="8" t="s">
        <v>15</v>
      </c>
      <c r="H263" s="8" t="s">
        <v>22</v>
      </c>
      <c r="I263" s="8" t="s">
        <v>23</v>
      </c>
      <c r="J263" s="8" t="s">
        <v>28</v>
      </c>
      <c r="K263" s="8" t="s">
        <v>28</v>
      </c>
      <c r="L263" s="8" t="str">
        <f t="shared" si="10"/>
        <v>Senior</v>
      </c>
      <c r="M263" s="8" t="str">
        <f t="shared" si="11"/>
        <v>OK</v>
      </c>
      <c r="N263" s="9">
        <f>VLOOKUP(B263,Questions!$K$2:$L$7,2,FALSE)</f>
        <v>70</v>
      </c>
    </row>
    <row r="264" spans="1:14">
      <c r="A264" s="8" t="s">
        <v>295</v>
      </c>
      <c r="B264" s="8">
        <v>8</v>
      </c>
      <c r="C264" s="8" t="s">
        <v>13</v>
      </c>
      <c r="D264" s="8">
        <v>105</v>
      </c>
      <c r="E264" s="8" t="s">
        <v>27</v>
      </c>
      <c r="F264" s="8">
        <v>13</v>
      </c>
      <c r="G264" s="8" t="s">
        <v>15</v>
      </c>
      <c r="H264" s="8" t="s">
        <v>16</v>
      </c>
      <c r="I264" s="8" t="s">
        <v>17</v>
      </c>
      <c r="J264" s="8" t="s">
        <v>28</v>
      </c>
      <c r="K264" s="8" t="s">
        <v>42</v>
      </c>
      <c r="L264" s="8" t="str">
        <f t="shared" si="10"/>
        <v>Senior</v>
      </c>
      <c r="M264" s="8" t="str">
        <f t="shared" si="11"/>
        <v>OK</v>
      </c>
      <c r="N264" s="9">
        <f>VLOOKUP(B264,Questions!$K$2:$L$7,2,FALSE)</f>
        <v>70</v>
      </c>
    </row>
    <row r="265" spans="1:14">
      <c r="A265" s="8" t="s">
        <v>313</v>
      </c>
      <c r="B265" s="8">
        <v>8</v>
      </c>
      <c r="C265" s="8" t="s">
        <v>13</v>
      </c>
      <c r="D265" s="8">
        <v>109</v>
      </c>
      <c r="E265" s="8" t="s">
        <v>14</v>
      </c>
      <c r="F265" s="8">
        <v>13</v>
      </c>
      <c r="G265" s="8" t="s">
        <v>15</v>
      </c>
      <c r="H265" s="8" t="s">
        <v>16</v>
      </c>
      <c r="I265" s="8" t="s">
        <v>23</v>
      </c>
      <c r="J265" s="8" t="s">
        <v>24</v>
      </c>
      <c r="K265" s="8" t="s">
        <v>31</v>
      </c>
      <c r="L265" s="8" t="str">
        <f t="shared" si="10"/>
        <v>Senior</v>
      </c>
      <c r="M265" s="8" t="str">
        <f t="shared" si="11"/>
        <v>OK</v>
      </c>
      <c r="N265" s="9">
        <f>VLOOKUP(B265,Questions!$K$2:$L$7,2,FALSE)</f>
        <v>70</v>
      </c>
    </row>
    <row r="266" spans="1:14">
      <c r="A266" s="8" t="s">
        <v>414</v>
      </c>
      <c r="B266" s="8">
        <v>8</v>
      </c>
      <c r="C266" s="8" t="s">
        <v>13</v>
      </c>
      <c r="D266" s="8">
        <v>141</v>
      </c>
      <c r="E266" s="8" t="s">
        <v>27</v>
      </c>
      <c r="F266" s="8">
        <v>14</v>
      </c>
      <c r="G266" s="8" t="s">
        <v>15</v>
      </c>
      <c r="H266" s="8" t="s">
        <v>16</v>
      </c>
      <c r="I266" s="8" t="s">
        <v>23</v>
      </c>
      <c r="J266" s="8" t="s">
        <v>49</v>
      </c>
      <c r="K266" s="8" t="s">
        <v>28</v>
      </c>
      <c r="L266" s="8" t="str">
        <f t="shared" si="10"/>
        <v>Senior</v>
      </c>
      <c r="M266" s="8" t="str">
        <f t="shared" si="11"/>
        <v>OK</v>
      </c>
      <c r="N266" s="9">
        <f>VLOOKUP(B266,Questions!$K$2:$L$7,2,FALSE)</f>
        <v>70</v>
      </c>
    </row>
    <row r="267" spans="1:14">
      <c r="A267" s="8" t="s">
        <v>228</v>
      </c>
      <c r="B267" s="8">
        <v>8</v>
      </c>
      <c r="C267" s="8" t="s">
        <v>13</v>
      </c>
      <c r="D267" s="8">
        <v>143</v>
      </c>
      <c r="E267" s="8" t="s">
        <v>27</v>
      </c>
      <c r="F267" s="8">
        <v>13</v>
      </c>
      <c r="G267" s="8" t="s">
        <v>15</v>
      </c>
      <c r="H267" s="8" t="s">
        <v>22</v>
      </c>
      <c r="I267" s="8" t="s">
        <v>17</v>
      </c>
      <c r="J267" s="8" t="s">
        <v>28</v>
      </c>
      <c r="K267" s="8" t="s">
        <v>42</v>
      </c>
      <c r="L267" s="8" t="str">
        <f t="shared" si="10"/>
        <v>Senior</v>
      </c>
      <c r="M267" s="8" t="str">
        <f t="shared" si="11"/>
        <v>OK</v>
      </c>
      <c r="N267" s="9">
        <f>VLOOKUP(B267,Questions!$K$2:$L$7,2,FALSE)</f>
        <v>70</v>
      </c>
    </row>
    <row r="268" spans="1:14">
      <c r="A268" s="8" t="s">
        <v>534</v>
      </c>
      <c r="B268" s="8">
        <v>8</v>
      </c>
      <c r="C268" s="8" t="s">
        <v>13</v>
      </c>
      <c r="D268" s="8">
        <v>144</v>
      </c>
      <c r="E268" s="8" t="s">
        <v>27</v>
      </c>
      <c r="F268" s="8">
        <v>14</v>
      </c>
      <c r="G268" s="8" t="s">
        <v>33</v>
      </c>
      <c r="H268" s="8" t="s">
        <v>16</v>
      </c>
      <c r="I268" s="8" t="s">
        <v>17</v>
      </c>
      <c r="J268" s="8" t="s">
        <v>18</v>
      </c>
      <c r="K268" s="8" t="s">
        <v>19</v>
      </c>
      <c r="L268" s="8" t="str">
        <f t="shared" si="10"/>
        <v>Senior</v>
      </c>
      <c r="M268" s="8" t="str">
        <f t="shared" si="11"/>
        <v>Pending</v>
      </c>
      <c r="N268" s="9">
        <f>VLOOKUP(B268,Questions!$K$2:$L$7,2,FALSE)</f>
        <v>70</v>
      </c>
    </row>
    <row r="269" spans="1:14">
      <c r="A269" s="8" t="s">
        <v>378</v>
      </c>
      <c r="B269" s="8">
        <v>8</v>
      </c>
      <c r="C269" s="8" t="s">
        <v>13</v>
      </c>
      <c r="D269" s="8">
        <v>160</v>
      </c>
      <c r="E269" s="8" t="s">
        <v>14</v>
      </c>
      <c r="F269" s="8">
        <v>13</v>
      </c>
      <c r="G269" s="8" t="s">
        <v>33</v>
      </c>
      <c r="H269" s="8" t="s">
        <v>22</v>
      </c>
      <c r="I269" s="8" t="s">
        <v>23</v>
      </c>
      <c r="J269" s="8" t="s">
        <v>30</v>
      </c>
      <c r="K269" s="8" t="s">
        <v>28</v>
      </c>
      <c r="L269" s="8" t="str">
        <f t="shared" si="10"/>
        <v>Senior</v>
      </c>
      <c r="M269" s="8" t="str">
        <f t="shared" si="11"/>
        <v>Pending</v>
      </c>
      <c r="N269" s="9">
        <f>VLOOKUP(B269,Questions!$K$2:$L$7,2,FALSE)</f>
        <v>70</v>
      </c>
    </row>
    <row r="270" spans="1:14">
      <c r="A270" s="8" t="s">
        <v>84</v>
      </c>
      <c r="B270" s="8">
        <v>8</v>
      </c>
      <c r="C270" s="8" t="s">
        <v>13</v>
      </c>
      <c r="D270" s="8">
        <v>161</v>
      </c>
      <c r="E270" s="8" t="s">
        <v>27</v>
      </c>
      <c r="F270" s="8">
        <v>14</v>
      </c>
      <c r="G270" s="8" t="s">
        <v>15</v>
      </c>
      <c r="H270" s="8" t="s">
        <v>22</v>
      </c>
      <c r="I270" s="8" t="s">
        <v>17</v>
      </c>
      <c r="J270" s="8" t="s">
        <v>18</v>
      </c>
      <c r="K270" s="8" t="s">
        <v>28</v>
      </c>
      <c r="L270" s="8" t="str">
        <f t="shared" si="10"/>
        <v>Senior</v>
      </c>
      <c r="M270" s="8" t="str">
        <f t="shared" si="11"/>
        <v>OK</v>
      </c>
      <c r="N270" s="9">
        <f>VLOOKUP(B270,Questions!$K$2:$L$7,2,FALSE)</f>
        <v>70</v>
      </c>
    </row>
    <row r="271" spans="1:14">
      <c r="A271" s="8" t="s">
        <v>406</v>
      </c>
      <c r="B271" s="8">
        <v>8</v>
      </c>
      <c r="C271" s="8" t="s">
        <v>13</v>
      </c>
      <c r="D271" s="8">
        <v>171</v>
      </c>
      <c r="E271" s="8" t="s">
        <v>27</v>
      </c>
      <c r="F271" s="8">
        <v>14</v>
      </c>
      <c r="G271" s="8" t="s">
        <v>15</v>
      </c>
      <c r="H271" s="8" t="s">
        <v>22</v>
      </c>
      <c r="I271" s="8" t="s">
        <v>23</v>
      </c>
      <c r="J271" s="8" t="s">
        <v>28</v>
      </c>
      <c r="K271" s="8" t="s">
        <v>28</v>
      </c>
      <c r="L271" s="8" t="str">
        <f t="shared" si="10"/>
        <v>Senior</v>
      </c>
      <c r="M271" s="8" t="str">
        <f t="shared" si="11"/>
        <v>OK</v>
      </c>
      <c r="N271" s="9">
        <f>VLOOKUP(B271,Questions!$K$2:$L$7,2,FALSE)</f>
        <v>70</v>
      </c>
    </row>
    <row r="272" spans="1:14">
      <c r="A272" s="8" t="s">
        <v>538</v>
      </c>
      <c r="B272" s="8">
        <v>8</v>
      </c>
      <c r="C272" s="8" t="s">
        <v>13</v>
      </c>
      <c r="D272" s="8">
        <v>176</v>
      </c>
      <c r="E272" s="8" t="s">
        <v>14</v>
      </c>
      <c r="F272" s="8">
        <v>13</v>
      </c>
      <c r="G272" s="8" t="s">
        <v>15</v>
      </c>
      <c r="H272" s="8" t="s">
        <v>22</v>
      </c>
      <c r="I272" s="8" t="s">
        <v>23</v>
      </c>
      <c r="J272" s="8" t="s">
        <v>28</v>
      </c>
      <c r="K272" s="8" t="s">
        <v>31</v>
      </c>
      <c r="L272" s="8" t="str">
        <f t="shared" si="10"/>
        <v>Senior</v>
      </c>
      <c r="M272" s="8" t="str">
        <f t="shared" si="11"/>
        <v>OK</v>
      </c>
      <c r="N272" s="9">
        <f>VLOOKUP(B272,Questions!$K$2:$L$7,2,FALSE)</f>
        <v>70</v>
      </c>
    </row>
    <row r="273" spans="1:14">
      <c r="A273" s="8" t="s">
        <v>357</v>
      </c>
      <c r="B273" s="8">
        <v>8</v>
      </c>
      <c r="C273" s="8" t="s">
        <v>13</v>
      </c>
      <c r="D273" s="8">
        <v>179</v>
      </c>
      <c r="E273" s="8" t="s">
        <v>27</v>
      </c>
      <c r="F273" s="8">
        <v>13</v>
      </c>
      <c r="G273" s="8" t="s">
        <v>33</v>
      </c>
      <c r="H273" s="8" t="s">
        <v>16</v>
      </c>
      <c r="I273" s="8" t="s">
        <v>23</v>
      </c>
      <c r="J273" s="8" t="s">
        <v>28</v>
      </c>
      <c r="K273" s="8" t="s">
        <v>28</v>
      </c>
      <c r="L273" s="8" t="str">
        <f t="shared" si="10"/>
        <v>Senior</v>
      </c>
      <c r="M273" s="8" t="str">
        <f t="shared" si="11"/>
        <v>Pending</v>
      </c>
      <c r="N273" s="9">
        <f>VLOOKUP(B273,Questions!$K$2:$L$7,2,FALSE)</f>
        <v>70</v>
      </c>
    </row>
    <row r="274" spans="1:14">
      <c r="A274" s="8" t="s">
        <v>264</v>
      </c>
      <c r="B274" s="8">
        <v>8</v>
      </c>
      <c r="C274" s="8" t="s">
        <v>13</v>
      </c>
      <c r="D274" s="8">
        <v>183</v>
      </c>
      <c r="E274" s="8" t="s">
        <v>14</v>
      </c>
      <c r="F274" s="8">
        <v>13</v>
      </c>
      <c r="G274" s="8" t="s">
        <v>15</v>
      </c>
      <c r="H274" s="8" t="s">
        <v>22</v>
      </c>
      <c r="I274" s="8" t="s">
        <v>17</v>
      </c>
      <c r="J274" s="8" t="s">
        <v>28</v>
      </c>
      <c r="K274" s="8" t="s">
        <v>42</v>
      </c>
      <c r="L274" s="8" t="str">
        <f t="shared" si="10"/>
        <v>Senior</v>
      </c>
      <c r="M274" s="8" t="str">
        <f t="shared" si="11"/>
        <v>OK</v>
      </c>
      <c r="N274" s="9">
        <f>VLOOKUP(B274,Questions!$K$2:$L$7,2,FALSE)</f>
        <v>70</v>
      </c>
    </row>
    <row r="275" spans="1:14">
      <c r="A275" s="8" t="s">
        <v>64</v>
      </c>
      <c r="B275" s="8">
        <v>8</v>
      </c>
      <c r="C275" s="8" t="s">
        <v>13</v>
      </c>
      <c r="D275" s="8">
        <v>187</v>
      </c>
      <c r="E275" s="8" t="s">
        <v>14</v>
      </c>
      <c r="F275" s="8">
        <v>14</v>
      </c>
      <c r="G275" s="8" t="s">
        <v>33</v>
      </c>
      <c r="H275" s="8" t="s">
        <v>16</v>
      </c>
      <c r="I275" s="8" t="s">
        <v>23</v>
      </c>
      <c r="J275" s="8" t="s">
        <v>24</v>
      </c>
      <c r="K275" s="8" t="s">
        <v>28</v>
      </c>
      <c r="L275" s="8" t="str">
        <f t="shared" si="10"/>
        <v>Senior</v>
      </c>
      <c r="M275" s="8" t="str">
        <f t="shared" si="11"/>
        <v>Pending</v>
      </c>
      <c r="N275" s="9">
        <f>VLOOKUP(B275,Questions!$K$2:$L$7,2,FALSE)</f>
        <v>70</v>
      </c>
    </row>
    <row r="276" spans="1:14">
      <c r="A276" s="8" t="s">
        <v>330</v>
      </c>
      <c r="B276" s="8">
        <v>8</v>
      </c>
      <c r="C276" s="8" t="s">
        <v>13</v>
      </c>
      <c r="D276" s="8">
        <v>189</v>
      </c>
      <c r="E276" s="8" t="s">
        <v>14</v>
      </c>
      <c r="F276" s="8">
        <v>13</v>
      </c>
      <c r="G276" s="8" t="s">
        <v>33</v>
      </c>
      <c r="H276" s="8" t="s">
        <v>22</v>
      </c>
      <c r="I276" s="8" t="s">
        <v>17</v>
      </c>
      <c r="J276" s="8" t="s">
        <v>49</v>
      </c>
      <c r="K276" s="8" t="s">
        <v>42</v>
      </c>
      <c r="L276" s="8" t="str">
        <f t="shared" si="10"/>
        <v>Senior</v>
      </c>
      <c r="M276" s="8" t="str">
        <f t="shared" si="11"/>
        <v>Pending</v>
      </c>
      <c r="N276" s="9">
        <f>VLOOKUP(B276,Questions!$K$2:$L$7,2,FALSE)</f>
        <v>70</v>
      </c>
    </row>
    <row r="277" spans="1:14">
      <c r="A277" s="8" t="s">
        <v>225</v>
      </c>
      <c r="B277" s="8">
        <v>8</v>
      </c>
      <c r="C277" s="8" t="s">
        <v>13</v>
      </c>
      <c r="D277" s="8">
        <v>198</v>
      </c>
      <c r="E277" s="8" t="s">
        <v>27</v>
      </c>
      <c r="F277" s="8">
        <v>14</v>
      </c>
      <c r="G277" s="8" t="s">
        <v>33</v>
      </c>
      <c r="H277" s="8" t="s">
        <v>22</v>
      </c>
      <c r="I277" s="8" t="s">
        <v>23</v>
      </c>
      <c r="J277" s="8" t="s">
        <v>24</v>
      </c>
      <c r="K277" s="8" t="s">
        <v>28</v>
      </c>
      <c r="L277" s="8" t="str">
        <f t="shared" si="10"/>
        <v>Senior</v>
      </c>
      <c r="M277" s="8" t="str">
        <f t="shared" si="11"/>
        <v>Pending</v>
      </c>
      <c r="N277" s="9">
        <f>VLOOKUP(B277,Questions!$K$2:$L$7,2,FALSE)</f>
        <v>70</v>
      </c>
    </row>
    <row r="278" spans="1:14">
      <c r="A278" s="8" t="s">
        <v>362</v>
      </c>
      <c r="B278" s="8">
        <v>8</v>
      </c>
      <c r="C278" s="8" t="s">
        <v>37</v>
      </c>
      <c r="D278" s="8">
        <v>9</v>
      </c>
      <c r="E278" s="8" t="s">
        <v>14</v>
      </c>
      <c r="F278" s="8">
        <v>13</v>
      </c>
      <c r="G278" s="8" t="s">
        <v>15</v>
      </c>
      <c r="H278" s="8" t="s">
        <v>22</v>
      </c>
      <c r="I278" s="8" t="s">
        <v>23</v>
      </c>
      <c r="J278" s="8" t="s">
        <v>49</v>
      </c>
      <c r="K278" s="8" t="s">
        <v>19</v>
      </c>
      <c r="L278" s="8" t="str">
        <f t="shared" si="10"/>
        <v>Senior</v>
      </c>
      <c r="M278" s="8" t="str">
        <f t="shared" si="11"/>
        <v>OK</v>
      </c>
      <c r="N278" s="9">
        <f>VLOOKUP(B278,Questions!$K$2:$L$7,2,FALSE)</f>
        <v>70</v>
      </c>
    </row>
    <row r="279" spans="1:14">
      <c r="A279" s="8" t="s">
        <v>92</v>
      </c>
      <c r="B279" s="8">
        <v>8</v>
      </c>
      <c r="C279" s="8" t="s">
        <v>37</v>
      </c>
      <c r="D279" s="8">
        <v>11</v>
      </c>
      <c r="E279" s="8" t="s">
        <v>14</v>
      </c>
      <c r="F279" s="8">
        <v>14</v>
      </c>
      <c r="G279" s="8" t="s">
        <v>33</v>
      </c>
      <c r="H279" s="8" t="s">
        <v>22</v>
      </c>
      <c r="I279" s="8" t="s">
        <v>23</v>
      </c>
      <c r="J279" s="8" t="s">
        <v>24</v>
      </c>
      <c r="K279" s="8" t="s">
        <v>42</v>
      </c>
      <c r="L279" s="8" t="str">
        <f t="shared" si="10"/>
        <v>Senior</v>
      </c>
      <c r="M279" s="8" t="str">
        <f t="shared" si="11"/>
        <v>Pending</v>
      </c>
      <c r="N279" s="9">
        <f>VLOOKUP(B279,Questions!$K$2:$L$7,2,FALSE)</f>
        <v>70</v>
      </c>
    </row>
    <row r="280" spans="1:14">
      <c r="A280" s="8" t="s">
        <v>93</v>
      </c>
      <c r="B280" s="8">
        <v>8</v>
      </c>
      <c r="C280" s="8" t="s">
        <v>37</v>
      </c>
      <c r="D280" s="8">
        <v>16</v>
      </c>
      <c r="E280" s="8" t="s">
        <v>14</v>
      </c>
      <c r="F280" s="8">
        <v>13</v>
      </c>
      <c r="G280" s="8" t="s">
        <v>33</v>
      </c>
      <c r="H280" s="8" t="s">
        <v>22</v>
      </c>
      <c r="I280" s="8" t="s">
        <v>17</v>
      </c>
      <c r="J280" s="8" t="s">
        <v>28</v>
      </c>
      <c r="K280" s="8" t="s">
        <v>42</v>
      </c>
      <c r="L280" s="8" t="str">
        <f t="shared" si="10"/>
        <v>Senior</v>
      </c>
      <c r="M280" s="8" t="str">
        <f t="shared" si="11"/>
        <v>Pending</v>
      </c>
      <c r="N280" s="9">
        <f>VLOOKUP(B280,Questions!$K$2:$L$7,2,FALSE)</f>
        <v>70</v>
      </c>
    </row>
    <row r="281" spans="1:14">
      <c r="A281" s="8" t="s">
        <v>553</v>
      </c>
      <c r="B281" s="8">
        <v>8</v>
      </c>
      <c r="C281" s="8" t="s">
        <v>37</v>
      </c>
      <c r="D281" s="8">
        <v>23</v>
      </c>
      <c r="E281" s="8" t="s">
        <v>14</v>
      </c>
      <c r="F281" s="8">
        <v>14</v>
      </c>
      <c r="G281" s="8" t="s">
        <v>15</v>
      </c>
      <c r="H281" s="8" t="s">
        <v>22</v>
      </c>
      <c r="I281" s="8" t="s">
        <v>23</v>
      </c>
      <c r="J281" s="8" t="s">
        <v>24</v>
      </c>
      <c r="K281" s="8" t="s">
        <v>42</v>
      </c>
      <c r="L281" s="8" t="str">
        <f t="shared" si="10"/>
        <v>Senior</v>
      </c>
      <c r="M281" s="8" t="str">
        <f t="shared" si="11"/>
        <v>OK</v>
      </c>
      <c r="N281" s="9">
        <f>VLOOKUP(B281,Questions!$K$2:$L$7,2,FALSE)</f>
        <v>70</v>
      </c>
    </row>
    <row r="282" spans="1:14">
      <c r="A282" s="8" t="s">
        <v>369</v>
      </c>
      <c r="B282" s="8">
        <v>8</v>
      </c>
      <c r="C282" s="8" t="s">
        <v>37</v>
      </c>
      <c r="D282" s="8">
        <v>28</v>
      </c>
      <c r="E282" s="8" t="s">
        <v>14</v>
      </c>
      <c r="F282" s="8">
        <v>13</v>
      </c>
      <c r="G282" s="8" t="s">
        <v>15</v>
      </c>
      <c r="H282" s="8" t="s">
        <v>16</v>
      </c>
      <c r="I282" s="8" t="s">
        <v>17</v>
      </c>
      <c r="J282" s="8" t="s">
        <v>28</v>
      </c>
      <c r="K282" s="8" t="s">
        <v>42</v>
      </c>
      <c r="L282" s="8" t="str">
        <f t="shared" si="10"/>
        <v>Senior</v>
      </c>
      <c r="M282" s="8" t="str">
        <f t="shared" si="11"/>
        <v>OK</v>
      </c>
      <c r="N282" s="9">
        <f>VLOOKUP(B282,Questions!$K$2:$L$7,2,FALSE)</f>
        <v>70</v>
      </c>
    </row>
    <row r="283" spans="1:14">
      <c r="A283" s="8" t="s">
        <v>258</v>
      </c>
      <c r="B283" s="8">
        <v>8</v>
      </c>
      <c r="C283" s="8" t="s">
        <v>37</v>
      </c>
      <c r="D283" s="8">
        <v>43</v>
      </c>
      <c r="E283" s="8" t="s">
        <v>14</v>
      </c>
      <c r="F283" s="8">
        <v>14</v>
      </c>
      <c r="G283" s="8" t="s">
        <v>33</v>
      </c>
      <c r="H283" s="8" t="s">
        <v>22</v>
      </c>
      <c r="I283" s="8" t="s">
        <v>23</v>
      </c>
      <c r="J283" s="8" t="s">
        <v>28</v>
      </c>
      <c r="K283" s="8" t="s">
        <v>19</v>
      </c>
      <c r="L283" s="8" t="str">
        <f t="shared" si="10"/>
        <v>Senior</v>
      </c>
      <c r="M283" s="8" t="str">
        <f t="shared" si="11"/>
        <v>Pending</v>
      </c>
      <c r="N283" s="9">
        <f>VLOOKUP(B283,Questions!$K$2:$L$7,2,FALSE)</f>
        <v>70</v>
      </c>
    </row>
    <row r="284" spans="1:14">
      <c r="A284" s="8" t="s">
        <v>460</v>
      </c>
      <c r="B284" s="8">
        <v>8</v>
      </c>
      <c r="C284" s="8" t="s">
        <v>37</v>
      </c>
      <c r="D284" s="8">
        <v>58</v>
      </c>
      <c r="E284" s="8" t="s">
        <v>27</v>
      </c>
      <c r="F284" s="8">
        <v>13</v>
      </c>
      <c r="G284" s="8" t="s">
        <v>15</v>
      </c>
      <c r="H284" s="8" t="s">
        <v>22</v>
      </c>
      <c r="I284" s="8" t="s">
        <v>17</v>
      </c>
      <c r="J284" s="8" t="s">
        <v>24</v>
      </c>
      <c r="K284" s="8" t="s">
        <v>19</v>
      </c>
      <c r="L284" s="8" t="str">
        <f t="shared" si="10"/>
        <v>Senior</v>
      </c>
      <c r="M284" s="8" t="str">
        <f t="shared" si="11"/>
        <v>OK</v>
      </c>
      <c r="N284" s="9">
        <f>VLOOKUP(B284,Questions!$K$2:$L$7,2,FALSE)</f>
        <v>70</v>
      </c>
    </row>
    <row r="285" spans="1:14">
      <c r="A285" s="8" t="s">
        <v>308</v>
      </c>
      <c r="B285" s="8">
        <v>8</v>
      </c>
      <c r="C285" s="8" t="s">
        <v>37</v>
      </c>
      <c r="D285" s="8">
        <v>62</v>
      </c>
      <c r="E285" s="8" t="s">
        <v>27</v>
      </c>
      <c r="F285" s="8">
        <v>14</v>
      </c>
      <c r="G285" s="8" t="s">
        <v>33</v>
      </c>
      <c r="H285" s="8" t="s">
        <v>22</v>
      </c>
      <c r="I285" s="8" t="s">
        <v>23</v>
      </c>
      <c r="J285" s="8" t="s">
        <v>28</v>
      </c>
      <c r="K285" s="8" t="s">
        <v>31</v>
      </c>
      <c r="L285" s="8" t="str">
        <f t="shared" si="10"/>
        <v>Senior</v>
      </c>
      <c r="M285" s="8" t="str">
        <f t="shared" si="11"/>
        <v>Pending</v>
      </c>
      <c r="N285" s="9">
        <f>VLOOKUP(B285,Questions!$K$2:$L$7,2,FALSE)</f>
        <v>70</v>
      </c>
    </row>
    <row r="286" spans="1:14">
      <c r="A286" s="8" t="s">
        <v>70</v>
      </c>
      <c r="B286" s="8">
        <v>8</v>
      </c>
      <c r="C286" s="8" t="s">
        <v>37</v>
      </c>
      <c r="D286" s="8">
        <v>75</v>
      </c>
      <c r="E286" s="8" t="s">
        <v>27</v>
      </c>
      <c r="F286" s="8">
        <v>14</v>
      </c>
      <c r="G286" s="8" t="s">
        <v>33</v>
      </c>
      <c r="H286" s="8" t="s">
        <v>22</v>
      </c>
      <c r="I286" s="8" t="s">
        <v>17</v>
      </c>
      <c r="J286" s="8" t="s">
        <v>30</v>
      </c>
      <c r="K286" s="8" t="s">
        <v>42</v>
      </c>
      <c r="L286" s="8" t="str">
        <f t="shared" si="10"/>
        <v>Senior</v>
      </c>
      <c r="M286" s="8" t="str">
        <f t="shared" si="11"/>
        <v>Pending</v>
      </c>
      <c r="N286" s="9">
        <f>VLOOKUP(B286,Questions!$K$2:$L$7,2,FALSE)</f>
        <v>70</v>
      </c>
    </row>
    <row r="287" spans="1:14">
      <c r="A287" s="8" t="s">
        <v>126</v>
      </c>
      <c r="B287" s="8">
        <v>8</v>
      </c>
      <c r="C287" s="8" t="s">
        <v>37</v>
      </c>
      <c r="D287" s="8">
        <v>87</v>
      </c>
      <c r="E287" s="8" t="s">
        <v>14</v>
      </c>
      <c r="F287" s="8">
        <v>13</v>
      </c>
      <c r="G287" s="8" t="s">
        <v>15</v>
      </c>
      <c r="H287" s="8" t="s">
        <v>16</v>
      </c>
      <c r="I287" s="8" t="s">
        <v>23</v>
      </c>
      <c r="J287" s="8" t="s">
        <v>30</v>
      </c>
      <c r="K287" s="8" t="s">
        <v>42</v>
      </c>
      <c r="L287" s="8" t="str">
        <f t="shared" si="10"/>
        <v>Senior</v>
      </c>
      <c r="M287" s="8" t="str">
        <f t="shared" si="11"/>
        <v>OK</v>
      </c>
      <c r="N287" s="9">
        <f>VLOOKUP(B287,Questions!$K$2:$L$7,2,FALSE)</f>
        <v>70</v>
      </c>
    </row>
    <row r="288" spans="1:14">
      <c r="A288" s="8" t="s">
        <v>590</v>
      </c>
      <c r="B288" s="8">
        <v>8</v>
      </c>
      <c r="C288" s="8" t="s">
        <v>37</v>
      </c>
      <c r="D288" s="8">
        <v>88</v>
      </c>
      <c r="E288" s="8" t="s">
        <v>27</v>
      </c>
      <c r="F288" s="8">
        <v>14</v>
      </c>
      <c r="G288" s="8" t="s">
        <v>33</v>
      </c>
      <c r="H288" s="8" t="s">
        <v>22</v>
      </c>
      <c r="I288" s="8" t="s">
        <v>23</v>
      </c>
      <c r="J288" s="8" t="s">
        <v>18</v>
      </c>
      <c r="K288" s="8" t="s">
        <v>28</v>
      </c>
      <c r="L288" s="8" t="str">
        <f t="shared" si="10"/>
        <v>Senior</v>
      </c>
      <c r="M288" s="8" t="str">
        <f t="shared" si="11"/>
        <v>Pending</v>
      </c>
      <c r="N288" s="9">
        <f>VLOOKUP(B288,Questions!$K$2:$L$7,2,FALSE)</f>
        <v>70</v>
      </c>
    </row>
    <row r="289" spans="1:14">
      <c r="A289" s="8" t="s">
        <v>67</v>
      </c>
      <c r="B289" s="8">
        <v>8</v>
      </c>
      <c r="C289" s="8" t="s">
        <v>37</v>
      </c>
      <c r="D289" s="8">
        <v>104</v>
      </c>
      <c r="E289" s="8" t="s">
        <v>27</v>
      </c>
      <c r="F289" s="8">
        <v>14</v>
      </c>
      <c r="G289" s="8" t="s">
        <v>15</v>
      </c>
      <c r="H289" s="8" t="s">
        <v>16</v>
      </c>
      <c r="I289" s="8" t="s">
        <v>17</v>
      </c>
      <c r="J289" s="8" t="s">
        <v>24</v>
      </c>
      <c r="K289" s="8" t="s">
        <v>31</v>
      </c>
      <c r="L289" s="8" t="str">
        <f t="shared" si="10"/>
        <v>Senior</v>
      </c>
      <c r="M289" s="8" t="str">
        <f t="shared" si="11"/>
        <v>OK</v>
      </c>
      <c r="N289" s="9">
        <f>VLOOKUP(B289,Questions!$K$2:$L$7,2,FALSE)</f>
        <v>70</v>
      </c>
    </row>
    <row r="290" spans="1:14">
      <c r="A290" s="8" t="s">
        <v>312</v>
      </c>
      <c r="B290" s="8">
        <v>8</v>
      </c>
      <c r="C290" s="8" t="s">
        <v>37</v>
      </c>
      <c r="D290" s="8">
        <v>108</v>
      </c>
      <c r="E290" s="8" t="s">
        <v>27</v>
      </c>
      <c r="F290" s="8">
        <v>14</v>
      </c>
      <c r="G290" s="8" t="s">
        <v>15</v>
      </c>
      <c r="H290" s="8" t="s">
        <v>16</v>
      </c>
      <c r="I290" s="8" t="s">
        <v>17</v>
      </c>
      <c r="J290" s="8" t="s">
        <v>30</v>
      </c>
      <c r="K290" s="8" t="s">
        <v>28</v>
      </c>
      <c r="L290" s="8" t="str">
        <f t="shared" si="10"/>
        <v>Senior</v>
      </c>
      <c r="M290" s="8" t="str">
        <f t="shared" si="11"/>
        <v>OK</v>
      </c>
      <c r="N290" s="9">
        <f>VLOOKUP(B290,Questions!$K$2:$L$7,2,FALSE)</f>
        <v>70</v>
      </c>
    </row>
    <row r="291" spans="1:14">
      <c r="A291" s="8" t="s">
        <v>319</v>
      </c>
      <c r="B291" s="8">
        <v>8</v>
      </c>
      <c r="C291" s="8" t="s">
        <v>37</v>
      </c>
      <c r="D291" s="8">
        <v>112</v>
      </c>
      <c r="E291" s="8" t="s">
        <v>14</v>
      </c>
      <c r="F291" s="8">
        <v>13</v>
      </c>
      <c r="G291" s="8" t="s">
        <v>15</v>
      </c>
      <c r="H291" s="8" t="s">
        <v>16</v>
      </c>
      <c r="I291" s="8" t="s">
        <v>17</v>
      </c>
      <c r="J291" s="8" t="s">
        <v>28</v>
      </c>
      <c r="K291" s="8" t="s">
        <v>42</v>
      </c>
      <c r="L291" s="8" t="str">
        <f t="shared" si="10"/>
        <v>Senior</v>
      </c>
      <c r="M291" s="8" t="str">
        <f t="shared" si="11"/>
        <v>OK</v>
      </c>
      <c r="N291" s="9">
        <f>VLOOKUP(B291,Questions!$K$2:$L$7,2,FALSE)</f>
        <v>70</v>
      </c>
    </row>
    <row r="292" spans="1:14">
      <c r="A292" s="8" t="s">
        <v>465</v>
      </c>
      <c r="B292" s="8">
        <v>8</v>
      </c>
      <c r="C292" s="8" t="s">
        <v>37</v>
      </c>
      <c r="D292" s="8">
        <v>114</v>
      </c>
      <c r="E292" s="8" t="s">
        <v>27</v>
      </c>
      <c r="F292" s="8">
        <v>14</v>
      </c>
      <c r="G292" s="8" t="s">
        <v>33</v>
      </c>
      <c r="H292" s="8" t="s">
        <v>22</v>
      </c>
      <c r="I292" s="8" t="s">
        <v>17</v>
      </c>
      <c r="J292" s="8" t="s">
        <v>24</v>
      </c>
      <c r="K292" s="8" t="s">
        <v>19</v>
      </c>
      <c r="L292" s="8" t="str">
        <f t="shared" si="10"/>
        <v>Senior</v>
      </c>
      <c r="M292" s="8" t="str">
        <f t="shared" si="11"/>
        <v>Pending</v>
      </c>
      <c r="N292" s="9">
        <f>VLOOKUP(B292,Questions!$K$2:$L$7,2,FALSE)</f>
        <v>70</v>
      </c>
    </row>
    <row r="293" spans="1:14">
      <c r="A293" s="8" t="s">
        <v>436</v>
      </c>
      <c r="B293" s="8">
        <v>8</v>
      </c>
      <c r="C293" s="8" t="s">
        <v>37</v>
      </c>
      <c r="D293" s="8">
        <v>126</v>
      </c>
      <c r="E293" s="8" t="s">
        <v>14</v>
      </c>
      <c r="F293" s="8">
        <v>14</v>
      </c>
      <c r="G293" s="8" t="s">
        <v>15</v>
      </c>
      <c r="H293" s="8" t="s">
        <v>16</v>
      </c>
      <c r="I293" s="8" t="s">
        <v>17</v>
      </c>
      <c r="J293" s="8" t="s">
        <v>18</v>
      </c>
      <c r="K293" s="8" t="s">
        <v>19</v>
      </c>
      <c r="L293" s="8" t="str">
        <f t="shared" si="10"/>
        <v>Senior</v>
      </c>
      <c r="M293" s="8" t="str">
        <f t="shared" si="11"/>
        <v>OK</v>
      </c>
      <c r="N293" s="9">
        <f>VLOOKUP(B293,Questions!$K$2:$L$7,2,FALSE)</f>
        <v>70</v>
      </c>
    </row>
    <row r="294" spans="1:14">
      <c r="A294" s="8" t="s">
        <v>164</v>
      </c>
      <c r="B294" s="8">
        <v>8</v>
      </c>
      <c r="C294" s="8" t="s">
        <v>37</v>
      </c>
      <c r="D294" s="8">
        <v>139</v>
      </c>
      <c r="E294" s="8" t="s">
        <v>14</v>
      </c>
      <c r="F294" s="8">
        <v>13</v>
      </c>
      <c r="G294" s="8" t="s">
        <v>15</v>
      </c>
      <c r="H294" s="8" t="s">
        <v>22</v>
      </c>
      <c r="I294" s="8" t="s">
        <v>17</v>
      </c>
      <c r="J294" s="8" t="s">
        <v>28</v>
      </c>
      <c r="K294" s="8" t="s">
        <v>28</v>
      </c>
      <c r="L294" s="8" t="str">
        <f t="shared" si="10"/>
        <v>Senior</v>
      </c>
      <c r="M294" s="8" t="str">
        <f t="shared" si="11"/>
        <v>OK</v>
      </c>
      <c r="N294" s="9">
        <f>VLOOKUP(B294,Questions!$K$2:$L$7,2,FALSE)</f>
        <v>70</v>
      </c>
    </row>
    <row r="295" spans="1:14">
      <c r="A295" s="8" t="s">
        <v>490</v>
      </c>
      <c r="B295" s="8">
        <v>8</v>
      </c>
      <c r="C295" s="8" t="s">
        <v>37</v>
      </c>
      <c r="D295" s="8">
        <v>142</v>
      </c>
      <c r="E295" s="8" t="s">
        <v>14</v>
      </c>
      <c r="F295" s="8">
        <v>13</v>
      </c>
      <c r="G295" s="8" t="s">
        <v>33</v>
      </c>
      <c r="H295" s="8" t="s">
        <v>16</v>
      </c>
      <c r="I295" s="8" t="s">
        <v>23</v>
      </c>
      <c r="J295" s="8" t="s">
        <v>28</v>
      </c>
      <c r="K295" s="8" t="s">
        <v>28</v>
      </c>
      <c r="L295" s="8" t="str">
        <f t="shared" si="10"/>
        <v>Senior</v>
      </c>
      <c r="M295" s="8" t="str">
        <f t="shared" si="11"/>
        <v>Pending</v>
      </c>
      <c r="N295" s="9">
        <f>VLOOKUP(B295,Questions!$K$2:$L$7,2,FALSE)</f>
        <v>70</v>
      </c>
    </row>
    <row r="296" spans="1:14">
      <c r="A296" s="8" t="s">
        <v>488</v>
      </c>
      <c r="B296" s="8">
        <v>8</v>
      </c>
      <c r="C296" s="8" t="s">
        <v>37</v>
      </c>
      <c r="D296" s="8">
        <v>147</v>
      </c>
      <c r="E296" s="8" t="s">
        <v>27</v>
      </c>
      <c r="F296" s="8">
        <v>13</v>
      </c>
      <c r="G296" s="8" t="s">
        <v>15</v>
      </c>
      <c r="H296" s="8" t="s">
        <v>16</v>
      </c>
      <c r="I296" s="8" t="s">
        <v>17</v>
      </c>
      <c r="J296" s="8" t="s">
        <v>28</v>
      </c>
      <c r="K296" s="8" t="s">
        <v>19</v>
      </c>
      <c r="L296" s="8" t="str">
        <f t="shared" si="10"/>
        <v>Senior</v>
      </c>
      <c r="M296" s="8" t="str">
        <f t="shared" si="11"/>
        <v>OK</v>
      </c>
      <c r="N296" s="9">
        <f>VLOOKUP(B296,Questions!$K$2:$L$7,2,FALSE)</f>
        <v>70</v>
      </c>
    </row>
    <row r="297" spans="1:14">
      <c r="A297" s="8" t="s">
        <v>523</v>
      </c>
      <c r="B297" s="8">
        <v>8</v>
      </c>
      <c r="C297" s="8" t="s">
        <v>37</v>
      </c>
      <c r="D297" s="8">
        <v>152</v>
      </c>
      <c r="E297" s="8" t="s">
        <v>27</v>
      </c>
      <c r="F297" s="8">
        <v>13</v>
      </c>
      <c r="G297" s="8" t="s">
        <v>33</v>
      </c>
      <c r="H297" s="8" t="s">
        <v>22</v>
      </c>
      <c r="I297" s="8" t="s">
        <v>17</v>
      </c>
      <c r="J297" s="8" t="s">
        <v>28</v>
      </c>
      <c r="K297" s="8" t="s">
        <v>28</v>
      </c>
      <c r="L297" s="8" t="str">
        <f t="shared" si="10"/>
        <v>Senior</v>
      </c>
      <c r="M297" s="8" t="str">
        <f t="shared" si="11"/>
        <v>Pending</v>
      </c>
      <c r="N297" s="9">
        <f>VLOOKUP(B297,Questions!$K$2:$L$7,2,FALSE)</f>
        <v>70</v>
      </c>
    </row>
    <row r="298" spans="1:14">
      <c r="A298" s="8" t="s">
        <v>310</v>
      </c>
      <c r="B298" s="8">
        <v>8</v>
      </c>
      <c r="C298" s="8" t="s">
        <v>37</v>
      </c>
      <c r="D298" s="8">
        <v>154</v>
      </c>
      <c r="E298" s="8" t="s">
        <v>14</v>
      </c>
      <c r="F298" s="8">
        <v>13</v>
      </c>
      <c r="G298" s="8" t="s">
        <v>33</v>
      </c>
      <c r="H298" s="8" t="s">
        <v>16</v>
      </c>
      <c r="I298" s="8" t="s">
        <v>17</v>
      </c>
      <c r="J298" s="8" t="s">
        <v>24</v>
      </c>
      <c r="K298" s="8" t="s">
        <v>19</v>
      </c>
      <c r="L298" s="8" t="str">
        <f t="shared" si="10"/>
        <v>Senior</v>
      </c>
      <c r="M298" s="8" t="str">
        <f t="shared" si="11"/>
        <v>Pending</v>
      </c>
      <c r="N298" s="9">
        <f>VLOOKUP(B298,Questions!$K$2:$L$7,2,FALSE)</f>
        <v>70</v>
      </c>
    </row>
    <row r="299" spans="1:14">
      <c r="A299" s="8" t="s">
        <v>405</v>
      </c>
      <c r="B299" s="8">
        <v>8</v>
      </c>
      <c r="C299" s="8" t="s">
        <v>37</v>
      </c>
      <c r="D299" s="8">
        <v>156</v>
      </c>
      <c r="E299" s="8" t="s">
        <v>14</v>
      </c>
      <c r="F299" s="8">
        <v>13</v>
      </c>
      <c r="G299" s="8" t="s">
        <v>15</v>
      </c>
      <c r="H299" s="8" t="s">
        <v>22</v>
      </c>
      <c r="I299" s="8" t="s">
        <v>23</v>
      </c>
      <c r="J299" s="8" t="s">
        <v>30</v>
      </c>
      <c r="K299" s="8" t="s">
        <v>19</v>
      </c>
      <c r="L299" s="8" t="str">
        <f t="shared" si="10"/>
        <v>Senior</v>
      </c>
      <c r="M299" s="8" t="str">
        <f t="shared" si="11"/>
        <v>OK</v>
      </c>
      <c r="N299" s="9">
        <f>VLOOKUP(B299,Questions!$K$2:$L$7,2,FALSE)</f>
        <v>70</v>
      </c>
    </row>
    <row r="300" spans="1:14">
      <c r="A300" s="8" t="s">
        <v>304</v>
      </c>
      <c r="B300" s="8">
        <v>8</v>
      </c>
      <c r="C300" s="8" t="s">
        <v>37</v>
      </c>
      <c r="D300" s="8">
        <v>162</v>
      </c>
      <c r="E300" s="8" t="s">
        <v>14</v>
      </c>
      <c r="F300" s="8">
        <v>14</v>
      </c>
      <c r="G300" s="8" t="s">
        <v>33</v>
      </c>
      <c r="H300" s="8" t="s">
        <v>16</v>
      </c>
      <c r="I300" s="8" t="s">
        <v>17</v>
      </c>
      <c r="J300" s="8" t="s">
        <v>24</v>
      </c>
      <c r="K300" s="8" t="s">
        <v>28</v>
      </c>
      <c r="L300" s="8" t="str">
        <f t="shared" si="10"/>
        <v>Senior</v>
      </c>
      <c r="M300" s="8" t="str">
        <f t="shared" si="11"/>
        <v>Pending</v>
      </c>
      <c r="N300" s="9">
        <f>VLOOKUP(B300,Questions!$K$2:$L$7,2,FALSE)</f>
        <v>70</v>
      </c>
    </row>
    <row r="301" spans="1:14">
      <c r="A301" s="8" t="s">
        <v>229</v>
      </c>
      <c r="B301" s="8">
        <v>8</v>
      </c>
      <c r="C301" s="8" t="s">
        <v>37</v>
      </c>
      <c r="D301" s="8">
        <v>166</v>
      </c>
      <c r="E301" s="8" t="s">
        <v>14</v>
      </c>
      <c r="F301" s="8">
        <v>14</v>
      </c>
      <c r="G301" s="8" t="s">
        <v>33</v>
      </c>
      <c r="H301" s="8" t="s">
        <v>16</v>
      </c>
      <c r="I301" s="8" t="s">
        <v>17</v>
      </c>
      <c r="J301" s="8" t="s">
        <v>28</v>
      </c>
      <c r="K301" s="8" t="s">
        <v>19</v>
      </c>
      <c r="L301" s="8" t="str">
        <f t="shared" si="10"/>
        <v>Senior</v>
      </c>
      <c r="M301" s="8" t="str">
        <f t="shared" si="11"/>
        <v>Pending</v>
      </c>
      <c r="N301" s="9">
        <f>VLOOKUP(B301,Questions!$K$2:$L$7,2,FALSE)</f>
        <v>70</v>
      </c>
    </row>
    <row r="302" spans="1:14">
      <c r="A302" s="8" t="s">
        <v>307</v>
      </c>
      <c r="B302" s="8">
        <v>8</v>
      </c>
      <c r="C302" s="8" t="s">
        <v>37</v>
      </c>
      <c r="D302" s="8">
        <v>167</v>
      </c>
      <c r="E302" s="8" t="s">
        <v>14</v>
      </c>
      <c r="F302" s="8">
        <v>13</v>
      </c>
      <c r="G302" s="8" t="s">
        <v>15</v>
      </c>
      <c r="H302" s="8" t="s">
        <v>16</v>
      </c>
      <c r="I302" s="8" t="s">
        <v>17</v>
      </c>
      <c r="J302" s="8" t="s">
        <v>28</v>
      </c>
      <c r="K302" s="8" t="s">
        <v>28</v>
      </c>
      <c r="L302" s="8" t="str">
        <f t="shared" si="10"/>
        <v>Senior</v>
      </c>
      <c r="M302" s="8" t="str">
        <f t="shared" si="11"/>
        <v>OK</v>
      </c>
      <c r="N302" s="9">
        <f>VLOOKUP(B302,Questions!$K$2:$L$7,2,FALSE)</f>
        <v>70</v>
      </c>
    </row>
    <row r="303" spans="1:14">
      <c r="A303" s="8" t="s">
        <v>557</v>
      </c>
      <c r="B303" s="8">
        <v>8</v>
      </c>
      <c r="C303" s="8" t="s">
        <v>37</v>
      </c>
      <c r="D303" s="8">
        <v>170</v>
      </c>
      <c r="E303" s="8" t="s">
        <v>27</v>
      </c>
      <c r="F303" s="8">
        <v>13</v>
      </c>
      <c r="G303" s="8" t="s">
        <v>15</v>
      </c>
      <c r="H303" s="8" t="s">
        <v>22</v>
      </c>
      <c r="I303" s="8" t="s">
        <v>17</v>
      </c>
      <c r="J303" s="8" t="s">
        <v>30</v>
      </c>
      <c r="K303" s="8" t="s">
        <v>31</v>
      </c>
      <c r="L303" s="8" t="str">
        <f t="shared" si="10"/>
        <v>Senior</v>
      </c>
      <c r="M303" s="8" t="str">
        <f t="shared" si="11"/>
        <v>OK</v>
      </c>
      <c r="N303" s="9">
        <f>VLOOKUP(B303,Questions!$K$2:$L$7,2,FALSE)</f>
        <v>70</v>
      </c>
    </row>
    <row r="304" spans="1:14">
      <c r="A304" s="8" t="s">
        <v>400</v>
      </c>
      <c r="B304" s="8">
        <v>8</v>
      </c>
      <c r="C304" s="8" t="s">
        <v>37</v>
      </c>
      <c r="D304" s="8">
        <v>182</v>
      </c>
      <c r="E304" s="8" t="s">
        <v>27</v>
      </c>
      <c r="F304" s="8">
        <v>13</v>
      </c>
      <c r="G304" s="8" t="s">
        <v>15</v>
      </c>
      <c r="H304" s="8" t="s">
        <v>22</v>
      </c>
      <c r="I304" s="8" t="s">
        <v>17</v>
      </c>
      <c r="J304" s="8" t="s">
        <v>49</v>
      </c>
      <c r="K304" s="8" t="s">
        <v>28</v>
      </c>
      <c r="L304" s="8" t="str">
        <f t="shared" si="10"/>
        <v>Senior</v>
      </c>
      <c r="M304" s="8" t="str">
        <f t="shared" si="11"/>
        <v>OK</v>
      </c>
      <c r="N304" s="9">
        <f>VLOOKUP(B304,Questions!$K$2:$L$7,2,FALSE)</f>
        <v>70</v>
      </c>
    </row>
    <row r="305" spans="1:14">
      <c r="A305" s="8" t="s">
        <v>524</v>
      </c>
      <c r="B305" s="8">
        <v>8</v>
      </c>
      <c r="C305" s="8" t="s">
        <v>37</v>
      </c>
      <c r="D305" s="8">
        <v>191</v>
      </c>
      <c r="E305" s="8" t="s">
        <v>27</v>
      </c>
      <c r="F305" s="8">
        <v>14</v>
      </c>
      <c r="G305" s="8" t="s">
        <v>15</v>
      </c>
      <c r="H305" s="8" t="s">
        <v>22</v>
      </c>
      <c r="I305" s="8" t="s">
        <v>17</v>
      </c>
      <c r="J305" s="8" t="s">
        <v>30</v>
      </c>
      <c r="K305" s="8" t="s">
        <v>28</v>
      </c>
      <c r="L305" s="8" t="str">
        <f t="shared" si="10"/>
        <v>Senior</v>
      </c>
      <c r="M305" s="8" t="str">
        <f t="shared" si="11"/>
        <v>OK</v>
      </c>
      <c r="N305" s="9">
        <f>VLOOKUP(B305,Questions!$K$2:$L$7,2,FALSE)</f>
        <v>70</v>
      </c>
    </row>
    <row r="306" spans="1:14">
      <c r="A306" s="8" t="s">
        <v>209</v>
      </c>
      <c r="B306" s="8">
        <v>8</v>
      </c>
      <c r="C306" s="8" t="s">
        <v>37</v>
      </c>
      <c r="D306" s="8">
        <v>193</v>
      </c>
      <c r="E306" s="8" t="s">
        <v>27</v>
      </c>
      <c r="F306" s="8">
        <v>13</v>
      </c>
      <c r="G306" s="8" t="s">
        <v>15</v>
      </c>
      <c r="H306" s="8" t="s">
        <v>16</v>
      </c>
      <c r="I306" s="8" t="s">
        <v>23</v>
      </c>
      <c r="J306" s="8" t="s">
        <v>24</v>
      </c>
      <c r="K306" s="8" t="s">
        <v>42</v>
      </c>
      <c r="L306" s="8" t="str">
        <f t="shared" si="10"/>
        <v>Senior</v>
      </c>
      <c r="M306" s="8" t="str">
        <f t="shared" si="11"/>
        <v>OK</v>
      </c>
      <c r="N306" s="9">
        <f>VLOOKUP(B306,Questions!$K$2:$L$7,2,FALSE)</f>
        <v>70</v>
      </c>
    </row>
    <row r="307" spans="1:14">
      <c r="A307" s="8" t="s">
        <v>394</v>
      </c>
      <c r="B307" s="8">
        <v>8</v>
      </c>
      <c r="C307" s="8" t="s">
        <v>37</v>
      </c>
      <c r="D307" s="8">
        <v>197</v>
      </c>
      <c r="E307" s="8" t="s">
        <v>14</v>
      </c>
      <c r="F307" s="8">
        <v>14</v>
      </c>
      <c r="G307" s="8" t="s">
        <v>33</v>
      </c>
      <c r="H307" s="8" t="s">
        <v>22</v>
      </c>
      <c r="I307" s="8" t="s">
        <v>23</v>
      </c>
      <c r="J307" s="8" t="s">
        <v>28</v>
      </c>
      <c r="K307" s="8" t="s">
        <v>31</v>
      </c>
      <c r="L307" s="8" t="str">
        <f t="shared" si="10"/>
        <v>Senior</v>
      </c>
      <c r="M307" s="8" t="str">
        <f t="shared" si="11"/>
        <v>Pending</v>
      </c>
      <c r="N307" s="9">
        <f>VLOOKUP(B307,Questions!$K$2:$L$7,2,FALSE)</f>
        <v>70</v>
      </c>
    </row>
    <row r="308" spans="1:14">
      <c r="A308" s="8" t="s">
        <v>286</v>
      </c>
      <c r="B308" s="8">
        <v>8</v>
      </c>
      <c r="C308" s="8" t="s">
        <v>37</v>
      </c>
      <c r="D308" s="8">
        <v>199</v>
      </c>
      <c r="E308" s="8" t="s">
        <v>14</v>
      </c>
      <c r="F308" s="8">
        <v>13</v>
      </c>
      <c r="G308" s="8" t="s">
        <v>15</v>
      </c>
      <c r="H308" s="8" t="s">
        <v>16</v>
      </c>
      <c r="I308" s="8" t="s">
        <v>23</v>
      </c>
      <c r="J308" s="8" t="s">
        <v>24</v>
      </c>
      <c r="K308" s="8" t="s">
        <v>31</v>
      </c>
      <c r="L308" s="8" t="str">
        <f t="shared" si="10"/>
        <v>Senior</v>
      </c>
      <c r="M308" s="8" t="str">
        <f t="shared" si="11"/>
        <v>OK</v>
      </c>
      <c r="N308" s="9">
        <f>VLOOKUP(B308,Questions!$K$2:$L$7,2,FALSE)</f>
        <v>70</v>
      </c>
    </row>
    <row r="309" spans="1:14">
      <c r="A309" s="8" t="s">
        <v>189</v>
      </c>
      <c r="B309" s="8">
        <v>8</v>
      </c>
      <c r="C309" s="8" t="s">
        <v>26</v>
      </c>
      <c r="D309" s="8">
        <v>3</v>
      </c>
      <c r="E309" s="8" t="s">
        <v>14</v>
      </c>
      <c r="F309" s="8">
        <v>14</v>
      </c>
      <c r="G309" s="8" t="s">
        <v>15</v>
      </c>
      <c r="H309" s="8" t="s">
        <v>16</v>
      </c>
      <c r="I309" s="8" t="s">
        <v>17</v>
      </c>
      <c r="J309" s="8" t="s">
        <v>18</v>
      </c>
      <c r="K309" s="8" t="s">
        <v>19</v>
      </c>
      <c r="L309" s="8" t="str">
        <f t="shared" si="10"/>
        <v>Senior</v>
      </c>
      <c r="M309" s="8" t="str">
        <f t="shared" si="11"/>
        <v>OK</v>
      </c>
      <c r="N309" s="9">
        <f>VLOOKUP(B309,Questions!$K$2:$L$7,2,FALSE)</f>
        <v>70</v>
      </c>
    </row>
    <row r="310" spans="1:14">
      <c r="A310" s="8" t="s">
        <v>223</v>
      </c>
      <c r="B310" s="8">
        <v>8</v>
      </c>
      <c r="C310" s="8" t="s">
        <v>26</v>
      </c>
      <c r="D310" s="8">
        <v>4</v>
      </c>
      <c r="E310" s="8" t="s">
        <v>14</v>
      </c>
      <c r="F310" s="8">
        <v>13</v>
      </c>
      <c r="G310" s="8" t="s">
        <v>15</v>
      </c>
      <c r="H310" s="8" t="s">
        <v>22</v>
      </c>
      <c r="I310" s="8" t="s">
        <v>23</v>
      </c>
      <c r="J310" s="8" t="s">
        <v>28</v>
      </c>
      <c r="K310" s="8" t="s">
        <v>42</v>
      </c>
      <c r="L310" s="8" t="str">
        <f t="shared" si="10"/>
        <v>Senior</v>
      </c>
      <c r="M310" s="8" t="str">
        <f t="shared" si="11"/>
        <v>OK</v>
      </c>
      <c r="N310" s="9">
        <f>VLOOKUP(B310,Questions!$K$2:$L$7,2,FALSE)</f>
        <v>70</v>
      </c>
    </row>
    <row r="311" spans="1:14">
      <c r="A311" s="8" t="s">
        <v>425</v>
      </c>
      <c r="B311" s="8">
        <v>8</v>
      </c>
      <c r="C311" s="8" t="s">
        <v>26</v>
      </c>
      <c r="D311" s="8">
        <v>6</v>
      </c>
      <c r="E311" s="8" t="s">
        <v>14</v>
      </c>
      <c r="F311" s="8">
        <v>14</v>
      </c>
      <c r="G311" s="8" t="s">
        <v>33</v>
      </c>
      <c r="H311" s="8" t="s">
        <v>16</v>
      </c>
      <c r="I311" s="8" t="s">
        <v>23</v>
      </c>
      <c r="J311" s="8" t="s">
        <v>49</v>
      </c>
      <c r="K311" s="8" t="s">
        <v>28</v>
      </c>
      <c r="L311" s="8" t="str">
        <f t="shared" si="10"/>
        <v>Senior</v>
      </c>
      <c r="M311" s="8" t="str">
        <f t="shared" si="11"/>
        <v>Pending</v>
      </c>
      <c r="N311" s="9">
        <f>VLOOKUP(B311,Questions!$K$2:$L$7,2,FALSE)</f>
        <v>70</v>
      </c>
    </row>
    <row r="312" spans="1:14">
      <c r="A312" s="8" t="s">
        <v>25</v>
      </c>
      <c r="B312" s="8">
        <v>8</v>
      </c>
      <c r="C312" s="8" t="s">
        <v>26</v>
      </c>
      <c r="D312" s="8">
        <v>7</v>
      </c>
      <c r="E312" s="8" t="s">
        <v>27</v>
      </c>
      <c r="F312" s="8">
        <v>13</v>
      </c>
      <c r="G312" s="8" t="s">
        <v>15</v>
      </c>
      <c r="H312" s="8" t="s">
        <v>22</v>
      </c>
      <c r="I312" s="8" t="s">
        <v>23</v>
      </c>
      <c r="J312" s="8" t="s">
        <v>18</v>
      </c>
      <c r="K312" s="8" t="s">
        <v>28</v>
      </c>
      <c r="L312" s="8" t="str">
        <f t="shared" si="10"/>
        <v>Senior</v>
      </c>
      <c r="M312" s="8" t="str">
        <f t="shared" si="11"/>
        <v>OK</v>
      </c>
      <c r="N312" s="9">
        <f>VLOOKUP(B312,Questions!$K$2:$L$7,2,FALSE)</f>
        <v>70</v>
      </c>
    </row>
    <row r="313" spans="1:14">
      <c r="A313" s="8" t="s">
        <v>185</v>
      </c>
      <c r="B313" s="8">
        <v>8</v>
      </c>
      <c r="C313" s="8" t="s">
        <v>26</v>
      </c>
      <c r="D313" s="8">
        <v>18</v>
      </c>
      <c r="E313" s="8" t="s">
        <v>27</v>
      </c>
      <c r="F313" s="8">
        <v>13</v>
      </c>
      <c r="G313" s="8" t="s">
        <v>15</v>
      </c>
      <c r="H313" s="8" t="s">
        <v>16</v>
      </c>
      <c r="I313" s="8" t="s">
        <v>23</v>
      </c>
      <c r="J313" s="8" t="s">
        <v>30</v>
      </c>
      <c r="K313" s="8" t="s">
        <v>28</v>
      </c>
      <c r="L313" s="8" t="str">
        <f t="shared" si="10"/>
        <v>Senior</v>
      </c>
      <c r="M313" s="8" t="str">
        <f t="shared" si="11"/>
        <v>OK</v>
      </c>
      <c r="N313" s="9">
        <f>VLOOKUP(B313,Questions!$K$2:$L$7,2,FALSE)</f>
        <v>70</v>
      </c>
    </row>
    <row r="314" spans="1:14">
      <c r="A314" s="8" t="s">
        <v>227</v>
      </c>
      <c r="B314" s="8">
        <v>8</v>
      </c>
      <c r="C314" s="8" t="s">
        <v>26</v>
      </c>
      <c r="D314" s="8">
        <v>19</v>
      </c>
      <c r="E314" s="8" t="s">
        <v>27</v>
      </c>
      <c r="F314" s="8">
        <v>14</v>
      </c>
      <c r="G314" s="8" t="s">
        <v>15</v>
      </c>
      <c r="H314" s="8" t="s">
        <v>22</v>
      </c>
      <c r="I314" s="8" t="s">
        <v>23</v>
      </c>
      <c r="J314" s="8" t="s">
        <v>28</v>
      </c>
      <c r="K314" s="8" t="s">
        <v>31</v>
      </c>
      <c r="L314" s="8" t="str">
        <f t="shared" si="10"/>
        <v>Senior</v>
      </c>
      <c r="M314" s="8" t="str">
        <f t="shared" si="11"/>
        <v>OK</v>
      </c>
      <c r="N314" s="9">
        <f>VLOOKUP(B314,Questions!$K$2:$L$7,2,FALSE)</f>
        <v>70</v>
      </c>
    </row>
    <row r="315" spans="1:14">
      <c r="A315" s="8" t="s">
        <v>474</v>
      </c>
      <c r="B315" s="8">
        <v>8</v>
      </c>
      <c r="C315" s="8" t="s">
        <v>26</v>
      </c>
      <c r="D315" s="8">
        <v>22</v>
      </c>
      <c r="E315" s="8" t="s">
        <v>14</v>
      </c>
      <c r="F315" s="8">
        <v>14</v>
      </c>
      <c r="G315" s="8" t="s">
        <v>15</v>
      </c>
      <c r="H315" s="8" t="s">
        <v>22</v>
      </c>
      <c r="I315" s="8" t="s">
        <v>23</v>
      </c>
      <c r="J315" s="8" t="s">
        <v>24</v>
      </c>
      <c r="K315" s="8" t="s">
        <v>28</v>
      </c>
      <c r="L315" s="8" t="str">
        <f t="shared" si="10"/>
        <v>Senior</v>
      </c>
      <c r="M315" s="8" t="str">
        <f t="shared" si="11"/>
        <v>OK</v>
      </c>
      <c r="N315" s="9">
        <f>VLOOKUP(B315,Questions!$K$2:$L$7,2,FALSE)</f>
        <v>70</v>
      </c>
    </row>
    <row r="316" spans="1:14">
      <c r="A316" s="8" t="s">
        <v>554</v>
      </c>
      <c r="B316" s="8">
        <v>8</v>
      </c>
      <c r="C316" s="8" t="s">
        <v>26</v>
      </c>
      <c r="D316" s="8">
        <v>38</v>
      </c>
      <c r="E316" s="8" t="s">
        <v>27</v>
      </c>
      <c r="F316" s="8">
        <v>13</v>
      </c>
      <c r="G316" s="8" t="s">
        <v>33</v>
      </c>
      <c r="H316" s="8" t="s">
        <v>16</v>
      </c>
      <c r="I316" s="8" t="s">
        <v>17</v>
      </c>
      <c r="J316" s="8" t="s">
        <v>49</v>
      </c>
      <c r="K316" s="8" t="s">
        <v>19</v>
      </c>
      <c r="L316" s="8" t="str">
        <f t="shared" si="10"/>
        <v>Senior</v>
      </c>
      <c r="M316" s="8" t="str">
        <f t="shared" si="11"/>
        <v>Pending</v>
      </c>
      <c r="N316" s="9">
        <f>VLOOKUP(B316,Questions!$K$2:$L$7,2,FALSE)</f>
        <v>70</v>
      </c>
    </row>
    <row r="317" spans="1:14">
      <c r="A317" s="8" t="s">
        <v>196</v>
      </c>
      <c r="B317" s="8">
        <v>8</v>
      </c>
      <c r="C317" s="8" t="s">
        <v>26</v>
      </c>
      <c r="D317" s="8">
        <v>39</v>
      </c>
      <c r="E317" s="8" t="s">
        <v>14</v>
      </c>
      <c r="F317" s="8">
        <v>13</v>
      </c>
      <c r="G317" s="8" t="s">
        <v>33</v>
      </c>
      <c r="H317" s="8" t="s">
        <v>22</v>
      </c>
      <c r="I317" s="8" t="s">
        <v>17</v>
      </c>
      <c r="J317" s="8" t="s">
        <v>18</v>
      </c>
      <c r="K317" s="8" t="s">
        <v>31</v>
      </c>
      <c r="L317" s="8" t="str">
        <f t="shared" si="10"/>
        <v>Senior</v>
      </c>
      <c r="M317" s="8" t="str">
        <f t="shared" si="11"/>
        <v>Pending</v>
      </c>
      <c r="N317" s="9">
        <f>VLOOKUP(B317,Questions!$K$2:$L$7,2,FALSE)</f>
        <v>70</v>
      </c>
    </row>
    <row r="318" spans="1:14">
      <c r="A318" s="8" t="s">
        <v>276</v>
      </c>
      <c r="B318" s="8">
        <v>8</v>
      </c>
      <c r="C318" s="8" t="s">
        <v>26</v>
      </c>
      <c r="D318" s="8">
        <v>50</v>
      </c>
      <c r="E318" s="8" t="s">
        <v>14</v>
      </c>
      <c r="F318" s="8">
        <v>14</v>
      </c>
      <c r="G318" s="8" t="s">
        <v>15</v>
      </c>
      <c r="H318" s="8" t="s">
        <v>16</v>
      </c>
      <c r="I318" s="8" t="s">
        <v>17</v>
      </c>
      <c r="J318" s="8" t="s">
        <v>30</v>
      </c>
      <c r="K318" s="8" t="s">
        <v>28</v>
      </c>
      <c r="L318" s="8" t="str">
        <f t="shared" si="10"/>
        <v>Senior</v>
      </c>
      <c r="M318" s="8" t="str">
        <f t="shared" si="11"/>
        <v>OK</v>
      </c>
      <c r="N318" s="9">
        <f>VLOOKUP(B318,Questions!$K$2:$L$7,2,FALSE)</f>
        <v>70</v>
      </c>
    </row>
    <row r="319" spans="1:14">
      <c r="A319" s="8" t="s">
        <v>409</v>
      </c>
      <c r="B319" s="8">
        <v>8</v>
      </c>
      <c r="C319" s="8" t="s">
        <v>26</v>
      </c>
      <c r="D319" s="8">
        <v>55</v>
      </c>
      <c r="E319" s="8" t="s">
        <v>14</v>
      </c>
      <c r="F319" s="8">
        <v>14</v>
      </c>
      <c r="G319" s="8" t="s">
        <v>15</v>
      </c>
      <c r="H319" s="8" t="s">
        <v>16</v>
      </c>
      <c r="I319" s="8" t="s">
        <v>23</v>
      </c>
      <c r="J319" s="8" t="s">
        <v>30</v>
      </c>
      <c r="K319" s="8" t="s">
        <v>31</v>
      </c>
      <c r="L319" s="8" t="str">
        <f t="shared" si="10"/>
        <v>Senior</v>
      </c>
      <c r="M319" s="8" t="str">
        <f t="shared" si="11"/>
        <v>OK</v>
      </c>
      <c r="N319" s="9">
        <f>VLOOKUP(B319,Questions!$K$2:$L$7,2,FALSE)</f>
        <v>70</v>
      </c>
    </row>
    <row r="320" spans="1:14">
      <c r="A320" s="8" t="s">
        <v>104</v>
      </c>
      <c r="B320" s="8">
        <v>8</v>
      </c>
      <c r="C320" s="8" t="s">
        <v>26</v>
      </c>
      <c r="D320" s="8">
        <v>61</v>
      </c>
      <c r="E320" s="8" t="s">
        <v>14</v>
      </c>
      <c r="F320" s="8">
        <v>14</v>
      </c>
      <c r="G320" s="8" t="s">
        <v>33</v>
      </c>
      <c r="H320" s="8" t="s">
        <v>16</v>
      </c>
      <c r="I320" s="8" t="s">
        <v>23</v>
      </c>
      <c r="J320" s="8" t="s">
        <v>28</v>
      </c>
      <c r="K320" s="8" t="s">
        <v>28</v>
      </c>
      <c r="L320" s="8" t="str">
        <f t="shared" si="10"/>
        <v>Senior</v>
      </c>
      <c r="M320" s="8" t="str">
        <f t="shared" si="11"/>
        <v>Pending</v>
      </c>
      <c r="N320" s="9">
        <f>VLOOKUP(B320,Questions!$K$2:$L$7,2,FALSE)</f>
        <v>70</v>
      </c>
    </row>
    <row r="321" spans="1:14">
      <c r="A321" s="8" t="s">
        <v>236</v>
      </c>
      <c r="B321" s="8">
        <v>8</v>
      </c>
      <c r="C321" s="8" t="s">
        <v>26</v>
      </c>
      <c r="D321" s="8">
        <v>63</v>
      </c>
      <c r="E321" s="8" t="s">
        <v>27</v>
      </c>
      <c r="F321" s="8">
        <v>14</v>
      </c>
      <c r="G321" s="8" t="s">
        <v>33</v>
      </c>
      <c r="H321" s="8" t="s">
        <v>16</v>
      </c>
      <c r="I321" s="8" t="s">
        <v>23</v>
      </c>
      <c r="J321" s="8" t="s">
        <v>30</v>
      </c>
      <c r="K321" s="8" t="s">
        <v>19</v>
      </c>
      <c r="L321" s="8" t="str">
        <f t="shared" si="10"/>
        <v>Senior</v>
      </c>
      <c r="M321" s="8" t="str">
        <f t="shared" si="11"/>
        <v>Pending</v>
      </c>
      <c r="N321" s="9">
        <f>VLOOKUP(B321,Questions!$K$2:$L$7,2,FALSE)</f>
        <v>70</v>
      </c>
    </row>
    <row r="322" spans="1:14">
      <c r="A322" s="8" t="s">
        <v>57</v>
      </c>
      <c r="B322" s="8">
        <v>8</v>
      </c>
      <c r="C322" s="8" t="s">
        <v>26</v>
      </c>
      <c r="D322" s="8">
        <v>82</v>
      </c>
      <c r="E322" s="8" t="s">
        <v>27</v>
      </c>
      <c r="F322" s="8">
        <v>13</v>
      </c>
      <c r="G322" s="8" t="s">
        <v>15</v>
      </c>
      <c r="H322" s="8" t="s">
        <v>16</v>
      </c>
      <c r="I322" s="8" t="s">
        <v>23</v>
      </c>
      <c r="J322" s="8" t="s">
        <v>28</v>
      </c>
      <c r="K322" s="8" t="s">
        <v>42</v>
      </c>
      <c r="L322" s="8" t="str">
        <f t="shared" si="10"/>
        <v>Senior</v>
      </c>
      <c r="M322" s="8" t="str">
        <f t="shared" si="11"/>
        <v>OK</v>
      </c>
      <c r="N322" s="9">
        <f>VLOOKUP(B322,Questions!$K$2:$L$7,2,FALSE)</f>
        <v>70</v>
      </c>
    </row>
    <row r="323" spans="1:14">
      <c r="A323" s="8" t="s">
        <v>222</v>
      </c>
      <c r="B323" s="8">
        <v>8</v>
      </c>
      <c r="C323" s="8" t="s">
        <v>26</v>
      </c>
      <c r="D323" s="8">
        <v>96</v>
      </c>
      <c r="E323" s="8" t="s">
        <v>27</v>
      </c>
      <c r="F323" s="8">
        <v>14</v>
      </c>
      <c r="G323" s="8" t="s">
        <v>15</v>
      </c>
      <c r="H323" s="8" t="s">
        <v>22</v>
      </c>
      <c r="I323" s="8" t="s">
        <v>17</v>
      </c>
      <c r="J323" s="8" t="s">
        <v>28</v>
      </c>
      <c r="K323" s="8" t="s">
        <v>42</v>
      </c>
      <c r="L323" s="8" t="str">
        <f t="shared" ref="L323:L386" si="12">IF(B323&lt;=7,"Junior","Senior")</f>
        <v>Senior</v>
      </c>
      <c r="M323" s="8" t="str">
        <f t="shared" si="11"/>
        <v>OK</v>
      </c>
      <c r="N323" s="9">
        <f>VLOOKUP(B323,Questions!$K$2:$L$7,2,FALSE)</f>
        <v>70</v>
      </c>
    </row>
    <row r="324" spans="1:14">
      <c r="A324" s="8" t="s">
        <v>517</v>
      </c>
      <c r="B324" s="8">
        <v>8</v>
      </c>
      <c r="C324" s="8" t="s">
        <v>26</v>
      </c>
      <c r="D324" s="8">
        <v>98</v>
      </c>
      <c r="E324" s="8" t="s">
        <v>14</v>
      </c>
      <c r="F324" s="8">
        <v>13</v>
      </c>
      <c r="G324" s="8" t="s">
        <v>33</v>
      </c>
      <c r="H324" s="8" t="s">
        <v>22</v>
      </c>
      <c r="I324" s="8" t="s">
        <v>17</v>
      </c>
      <c r="J324" s="8" t="s">
        <v>30</v>
      </c>
      <c r="K324" s="8" t="s">
        <v>28</v>
      </c>
      <c r="L324" s="8" t="str">
        <f t="shared" si="12"/>
        <v>Senior</v>
      </c>
      <c r="M324" s="8" t="str">
        <f t="shared" ref="M324:M387" si="13">IF(G324="Paid","OK","Pending")</f>
        <v>Pending</v>
      </c>
      <c r="N324" s="9">
        <f>VLOOKUP(B324,Questions!$K$2:$L$7,2,FALSE)</f>
        <v>70</v>
      </c>
    </row>
    <row r="325" spans="1:14">
      <c r="A325" s="8" t="s">
        <v>483</v>
      </c>
      <c r="B325" s="8">
        <v>8</v>
      </c>
      <c r="C325" s="8" t="s">
        <v>26</v>
      </c>
      <c r="D325" s="8">
        <v>107</v>
      </c>
      <c r="E325" s="8" t="s">
        <v>14</v>
      </c>
      <c r="F325" s="8">
        <v>13</v>
      </c>
      <c r="G325" s="8" t="s">
        <v>33</v>
      </c>
      <c r="H325" s="8" t="s">
        <v>16</v>
      </c>
      <c r="I325" s="8" t="s">
        <v>17</v>
      </c>
      <c r="J325" s="8" t="s">
        <v>28</v>
      </c>
      <c r="K325" s="8" t="s">
        <v>19</v>
      </c>
      <c r="L325" s="8" t="str">
        <f t="shared" si="12"/>
        <v>Senior</v>
      </c>
      <c r="M325" s="8" t="str">
        <f t="shared" si="13"/>
        <v>Pending</v>
      </c>
      <c r="N325" s="9">
        <f>VLOOKUP(B325,Questions!$K$2:$L$7,2,FALSE)</f>
        <v>70</v>
      </c>
    </row>
    <row r="326" spans="1:14">
      <c r="A326" s="8" t="s">
        <v>203</v>
      </c>
      <c r="B326" s="8">
        <v>8</v>
      </c>
      <c r="C326" s="8" t="s">
        <v>26</v>
      </c>
      <c r="D326" s="8">
        <v>116</v>
      </c>
      <c r="E326" s="8" t="s">
        <v>14</v>
      </c>
      <c r="F326" s="8">
        <v>13</v>
      </c>
      <c r="G326" s="8" t="s">
        <v>15</v>
      </c>
      <c r="H326" s="8" t="s">
        <v>22</v>
      </c>
      <c r="I326" s="8" t="s">
        <v>17</v>
      </c>
      <c r="J326" s="8" t="s">
        <v>28</v>
      </c>
      <c r="K326" s="8" t="s">
        <v>31</v>
      </c>
      <c r="L326" s="8" t="str">
        <f t="shared" si="12"/>
        <v>Senior</v>
      </c>
      <c r="M326" s="8" t="str">
        <f t="shared" si="13"/>
        <v>OK</v>
      </c>
      <c r="N326" s="9">
        <f>VLOOKUP(B326,Questions!$K$2:$L$7,2,FALSE)</f>
        <v>70</v>
      </c>
    </row>
    <row r="327" spans="1:14">
      <c r="A327" s="8" t="s">
        <v>44</v>
      </c>
      <c r="B327" s="8">
        <v>8</v>
      </c>
      <c r="C327" s="8" t="s">
        <v>26</v>
      </c>
      <c r="D327" s="8">
        <v>123</v>
      </c>
      <c r="E327" s="8" t="s">
        <v>27</v>
      </c>
      <c r="F327" s="8">
        <v>13</v>
      </c>
      <c r="G327" s="8" t="s">
        <v>15</v>
      </c>
      <c r="H327" s="8" t="s">
        <v>22</v>
      </c>
      <c r="I327" s="8" t="s">
        <v>23</v>
      </c>
      <c r="J327" s="8" t="s">
        <v>28</v>
      </c>
      <c r="K327" s="8" t="s">
        <v>31</v>
      </c>
      <c r="L327" s="8" t="str">
        <f t="shared" si="12"/>
        <v>Senior</v>
      </c>
      <c r="M327" s="8" t="str">
        <f t="shared" si="13"/>
        <v>OK</v>
      </c>
      <c r="N327" s="9">
        <f>VLOOKUP(B327,Questions!$K$2:$L$7,2,FALSE)</f>
        <v>70</v>
      </c>
    </row>
    <row r="328" spans="1:14">
      <c r="A328" s="8" t="s">
        <v>154</v>
      </c>
      <c r="B328" s="8">
        <v>8</v>
      </c>
      <c r="C328" s="8" t="s">
        <v>26</v>
      </c>
      <c r="D328" s="8">
        <v>124</v>
      </c>
      <c r="E328" s="8" t="s">
        <v>14</v>
      </c>
      <c r="F328" s="8">
        <v>14</v>
      </c>
      <c r="G328" s="8" t="s">
        <v>15</v>
      </c>
      <c r="H328" s="8" t="s">
        <v>22</v>
      </c>
      <c r="I328" s="8" t="s">
        <v>17</v>
      </c>
      <c r="J328" s="8" t="s">
        <v>49</v>
      </c>
      <c r="K328" s="8" t="s">
        <v>28</v>
      </c>
      <c r="L328" s="8" t="str">
        <f t="shared" si="12"/>
        <v>Senior</v>
      </c>
      <c r="M328" s="8" t="str">
        <f t="shared" si="13"/>
        <v>OK</v>
      </c>
      <c r="N328" s="9">
        <f>VLOOKUP(B328,Questions!$K$2:$L$7,2,FALSE)</f>
        <v>70</v>
      </c>
    </row>
    <row r="329" spans="1:14">
      <c r="A329" s="8" t="s">
        <v>479</v>
      </c>
      <c r="B329" s="8">
        <v>8</v>
      </c>
      <c r="C329" s="8" t="s">
        <v>26</v>
      </c>
      <c r="D329" s="8">
        <v>125</v>
      </c>
      <c r="E329" s="8" t="s">
        <v>14</v>
      </c>
      <c r="F329" s="8">
        <v>13</v>
      </c>
      <c r="G329" s="8" t="s">
        <v>15</v>
      </c>
      <c r="H329" s="8" t="s">
        <v>16</v>
      </c>
      <c r="I329" s="8" t="s">
        <v>23</v>
      </c>
      <c r="J329" s="8" t="s">
        <v>28</v>
      </c>
      <c r="K329" s="8" t="s">
        <v>31</v>
      </c>
      <c r="L329" s="8" t="str">
        <f t="shared" si="12"/>
        <v>Senior</v>
      </c>
      <c r="M329" s="8" t="str">
        <f t="shared" si="13"/>
        <v>OK</v>
      </c>
      <c r="N329" s="9">
        <f>VLOOKUP(B329,Questions!$K$2:$L$7,2,FALSE)</f>
        <v>70</v>
      </c>
    </row>
    <row r="330" spans="1:14">
      <c r="A330" s="8" t="s">
        <v>284</v>
      </c>
      <c r="B330" s="8">
        <v>8</v>
      </c>
      <c r="C330" s="8" t="s">
        <v>26</v>
      </c>
      <c r="D330" s="8">
        <v>129</v>
      </c>
      <c r="E330" s="8" t="s">
        <v>14</v>
      </c>
      <c r="F330" s="8">
        <v>14</v>
      </c>
      <c r="G330" s="8" t="s">
        <v>15</v>
      </c>
      <c r="H330" s="8" t="s">
        <v>16</v>
      </c>
      <c r="I330" s="8" t="s">
        <v>23</v>
      </c>
      <c r="J330" s="8" t="s">
        <v>49</v>
      </c>
      <c r="K330" s="8" t="s">
        <v>28</v>
      </c>
      <c r="L330" s="8" t="str">
        <f t="shared" si="12"/>
        <v>Senior</v>
      </c>
      <c r="M330" s="8" t="str">
        <f t="shared" si="13"/>
        <v>OK</v>
      </c>
      <c r="N330" s="9">
        <f>VLOOKUP(B330,Questions!$K$2:$L$7,2,FALSE)</f>
        <v>70</v>
      </c>
    </row>
    <row r="331" spans="1:14">
      <c r="A331" s="8" t="s">
        <v>315</v>
      </c>
      <c r="B331" s="8">
        <v>8</v>
      </c>
      <c r="C331" s="8" t="s">
        <v>26</v>
      </c>
      <c r="D331" s="8">
        <v>133</v>
      </c>
      <c r="E331" s="8" t="s">
        <v>14</v>
      </c>
      <c r="F331" s="8">
        <v>13</v>
      </c>
      <c r="G331" s="8" t="s">
        <v>33</v>
      </c>
      <c r="H331" s="8" t="s">
        <v>16</v>
      </c>
      <c r="I331" s="8" t="s">
        <v>23</v>
      </c>
      <c r="J331" s="8" t="s">
        <v>18</v>
      </c>
      <c r="K331" s="8" t="s">
        <v>28</v>
      </c>
      <c r="L331" s="8" t="str">
        <f t="shared" si="12"/>
        <v>Senior</v>
      </c>
      <c r="M331" s="8" t="str">
        <f t="shared" si="13"/>
        <v>Pending</v>
      </c>
      <c r="N331" s="9">
        <f>VLOOKUP(B331,Questions!$K$2:$L$7,2,FALSE)</f>
        <v>70</v>
      </c>
    </row>
    <row r="332" spans="1:14">
      <c r="A332" s="8" t="s">
        <v>105</v>
      </c>
      <c r="B332" s="8">
        <v>8</v>
      </c>
      <c r="C332" s="8" t="s">
        <v>26</v>
      </c>
      <c r="D332" s="8">
        <v>153</v>
      </c>
      <c r="E332" s="8" t="s">
        <v>27</v>
      </c>
      <c r="F332" s="8">
        <v>13</v>
      </c>
      <c r="G332" s="8" t="s">
        <v>15</v>
      </c>
      <c r="H332" s="8" t="s">
        <v>16</v>
      </c>
      <c r="I332" s="8" t="s">
        <v>23</v>
      </c>
      <c r="J332" s="8" t="s">
        <v>18</v>
      </c>
      <c r="K332" s="8" t="s">
        <v>42</v>
      </c>
      <c r="L332" s="8" t="str">
        <f t="shared" si="12"/>
        <v>Senior</v>
      </c>
      <c r="M332" s="8" t="str">
        <f t="shared" si="13"/>
        <v>OK</v>
      </c>
      <c r="N332" s="9">
        <f>VLOOKUP(B332,Questions!$K$2:$L$7,2,FALSE)</f>
        <v>70</v>
      </c>
    </row>
    <row r="333" spans="1:14">
      <c r="A333" s="8" t="s">
        <v>120</v>
      </c>
      <c r="B333" s="8">
        <v>8</v>
      </c>
      <c r="C333" s="8" t="s">
        <v>26</v>
      </c>
      <c r="D333" s="8">
        <v>157</v>
      </c>
      <c r="E333" s="8" t="s">
        <v>27</v>
      </c>
      <c r="F333" s="8">
        <v>14</v>
      </c>
      <c r="G333" s="8" t="s">
        <v>33</v>
      </c>
      <c r="H333" s="8" t="s">
        <v>16</v>
      </c>
      <c r="I333" s="8" t="s">
        <v>17</v>
      </c>
      <c r="J333" s="8" t="s">
        <v>18</v>
      </c>
      <c r="K333" s="8" t="s">
        <v>19</v>
      </c>
      <c r="L333" s="8" t="str">
        <f t="shared" si="12"/>
        <v>Senior</v>
      </c>
      <c r="M333" s="8" t="str">
        <f t="shared" si="13"/>
        <v>Pending</v>
      </c>
      <c r="N333" s="9">
        <f>VLOOKUP(B333,Questions!$K$2:$L$7,2,FALSE)</f>
        <v>70</v>
      </c>
    </row>
    <row r="334" spans="1:14">
      <c r="A334" s="8" t="s">
        <v>114</v>
      </c>
      <c r="B334" s="8">
        <v>8</v>
      </c>
      <c r="C334" s="8" t="s">
        <v>26</v>
      </c>
      <c r="D334" s="8">
        <v>168</v>
      </c>
      <c r="E334" s="8" t="s">
        <v>14</v>
      </c>
      <c r="F334" s="8">
        <v>14</v>
      </c>
      <c r="G334" s="8" t="s">
        <v>33</v>
      </c>
      <c r="H334" s="8" t="s">
        <v>22</v>
      </c>
      <c r="I334" s="8" t="s">
        <v>23</v>
      </c>
      <c r="J334" s="8" t="s">
        <v>28</v>
      </c>
      <c r="K334" s="8" t="s">
        <v>42</v>
      </c>
      <c r="L334" s="8" t="str">
        <f t="shared" si="12"/>
        <v>Senior</v>
      </c>
      <c r="M334" s="8" t="str">
        <f t="shared" si="13"/>
        <v>Pending</v>
      </c>
      <c r="N334" s="9">
        <f>VLOOKUP(B334,Questions!$K$2:$L$7,2,FALSE)</f>
        <v>70</v>
      </c>
    </row>
    <row r="335" spans="1:14">
      <c r="A335" s="8" t="s">
        <v>69</v>
      </c>
      <c r="B335" s="8">
        <v>8</v>
      </c>
      <c r="C335" s="8" t="s">
        <v>26</v>
      </c>
      <c r="D335" s="8">
        <v>178</v>
      </c>
      <c r="E335" s="8" t="s">
        <v>27</v>
      </c>
      <c r="F335" s="8">
        <v>13</v>
      </c>
      <c r="G335" s="8" t="s">
        <v>15</v>
      </c>
      <c r="H335" s="8" t="s">
        <v>16</v>
      </c>
      <c r="I335" s="8" t="s">
        <v>23</v>
      </c>
      <c r="J335" s="8" t="s">
        <v>18</v>
      </c>
      <c r="K335" s="8" t="s">
        <v>31</v>
      </c>
      <c r="L335" s="8" t="str">
        <f t="shared" si="12"/>
        <v>Senior</v>
      </c>
      <c r="M335" s="8" t="str">
        <f t="shared" si="13"/>
        <v>OK</v>
      </c>
      <c r="N335" s="9">
        <f>VLOOKUP(B335,Questions!$K$2:$L$7,2,FALSE)</f>
        <v>70</v>
      </c>
    </row>
    <row r="336" spans="1:14">
      <c r="A336" s="8" t="s">
        <v>226</v>
      </c>
      <c r="B336" s="8">
        <v>8</v>
      </c>
      <c r="C336" s="8" t="s">
        <v>26</v>
      </c>
      <c r="D336" s="8">
        <v>180</v>
      </c>
      <c r="E336" s="8" t="s">
        <v>14</v>
      </c>
      <c r="F336" s="8">
        <v>13</v>
      </c>
      <c r="G336" s="8" t="s">
        <v>33</v>
      </c>
      <c r="H336" s="8" t="s">
        <v>22</v>
      </c>
      <c r="I336" s="8" t="s">
        <v>23</v>
      </c>
      <c r="J336" s="8" t="s">
        <v>28</v>
      </c>
      <c r="K336" s="8" t="s">
        <v>28</v>
      </c>
      <c r="L336" s="8" t="str">
        <f t="shared" si="12"/>
        <v>Senior</v>
      </c>
      <c r="M336" s="8" t="str">
        <f t="shared" si="13"/>
        <v>Pending</v>
      </c>
      <c r="N336" s="9">
        <f>VLOOKUP(B336,Questions!$K$2:$L$7,2,FALSE)</f>
        <v>70</v>
      </c>
    </row>
    <row r="337" spans="1:14">
      <c r="A337" s="8" t="s">
        <v>600</v>
      </c>
      <c r="B337" s="8">
        <v>8</v>
      </c>
      <c r="C337" s="8" t="s">
        <v>26</v>
      </c>
      <c r="D337" s="8">
        <v>181</v>
      </c>
      <c r="E337" s="8" t="s">
        <v>14</v>
      </c>
      <c r="F337" s="8">
        <v>14</v>
      </c>
      <c r="G337" s="8" t="s">
        <v>15</v>
      </c>
      <c r="H337" s="8" t="s">
        <v>16</v>
      </c>
      <c r="I337" s="8" t="s">
        <v>17</v>
      </c>
      <c r="J337" s="8" t="s">
        <v>18</v>
      </c>
      <c r="K337" s="8" t="s">
        <v>28</v>
      </c>
      <c r="L337" s="8" t="str">
        <f t="shared" si="12"/>
        <v>Senior</v>
      </c>
      <c r="M337" s="8" t="str">
        <f t="shared" si="13"/>
        <v>OK</v>
      </c>
      <c r="N337" s="9">
        <f>VLOOKUP(B337,Questions!$K$2:$L$7,2,FALSE)</f>
        <v>70</v>
      </c>
    </row>
    <row r="338" spans="1:14">
      <c r="A338" s="8" t="s">
        <v>136</v>
      </c>
      <c r="B338" s="8">
        <v>8</v>
      </c>
      <c r="C338" s="8" t="s">
        <v>21</v>
      </c>
      <c r="D338" s="8">
        <v>13</v>
      </c>
      <c r="E338" s="8" t="s">
        <v>27</v>
      </c>
      <c r="F338" s="8">
        <v>13</v>
      </c>
      <c r="G338" s="8" t="s">
        <v>33</v>
      </c>
      <c r="H338" s="8" t="s">
        <v>22</v>
      </c>
      <c r="I338" s="8" t="s">
        <v>23</v>
      </c>
      <c r="J338" s="8" t="s">
        <v>30</v>
      </c>
      <c r="K338" s="8" t="s">
        <v>31</v>
      </c>
      <c r="L338" s="8" t="str">
        <f t="shared" si="12"/>
        <v>Senior</v>
      </c>
      <c r="M338" s="8" t="str">
        <f t="shared" si="13"/>
        <v>Pending</v>
      </c>
      <c r="N338" s="9">
        <f>VLOOKUP(B338,Questions!$K$2:$L$7,2,FALSE)</f>
        <v>70</v>
      </c>
    </row>
    <row r="339" spans="1:14">
      <c r="A339" s="8" t="s">
        <v>250</v>
      </c>
      <c r="B339" s="8">
        <v>8</v>
      </c>
      <c r="C339" s="8" t="s">
        <v>21</v>
      </c>
      <c r="D339" s="8">
        <v>15</v>
      </c>
      <c r="E339" s="8" t="s">
        <v>14</v>
      </c>
      <c r="F339" s="8">
        <v>14</v>
      </c>
      <c r="G339" s="8" t="s">
        <v>33</v>
      </c>
      <c r="H339" s="8" t="s">
        <v>22</v>
      </c>
      <c r="I339" s="8" t="s">
        <v>17</v>
      </c>
      <c r="J339" s="8" t="s">
        <v>28</v>
      </c>
      <c r="K339" s="8" t="s">
        <v>31</v>
      </c>
      <c r="L339" s="8" t="str">
        <f t="shared" si="12"/>
        <v>Senior</v>
      </c>
      <c r="M339" s="8" t="str">
        <f t="shared" si="13"/>
        <v>Pending</v>
      </c>
      <c r="N339" s="9">
        <f>VLOOKUP(B339,Questions!$K$2:$L$7,2,FALSE)</f>
        <v>70</v>
      </c>
    </row>
    <row r="340" spans="1:14">
      <c r="A340" s="8" t="s">
        <v>396</v>
      </c>
      <c r="B340" s="8">
        <v>8</v>
      </c>
      <c r="C340" s="8" t="s">
        <v>21</v>
      </c>
      <c r="D340" s="8">
        <v>25</v>
      </c>
      <c r="E340" s="8" t="s">
        <v>14</v>
      </c>
      <c r="F340" s="8">
        <v>13</v>
      </c>
      <c r="G340" s="8" t="s">
        <v>15</v>
      </c>
      <c r="H340" s="8" t="s">
        <v>22</v>
      </c>
      <c r="I340" s="8" t="s">
        <v>23</v>
      </c>
      <c r="J340" s="8" t="s">
        <v>28</v>
      </c>
      <c r="K340" s="8" t="s">
        <v>19</v>
      </c>
      <c r="L340" s="8" t="str">
        <f t="shared" si="12"/>
        <v>Senior</v>
      </c>
      <c r="M340" s="8" t="str">
        <f t="shared" si="13"/>
        <v>OK</v>
      </c>
      <c r="N340" s="9">
        <f>VLOOKUP(B340,Questions!$K$2:$L$7,2,FALSE)</f>
        <v>70</v>
      </c>
    </row>
    <row r="341" spans="1:14">
      <c r="A341" s="8" t="s">
        <v>263</v>
      </c>
      <c r="B341" s="8">
        <v>8</v>
      </c>
      <c r="C341" s="8" t="s">
        <v>21</v>
      </c>
      <c r="D341" s="8">
        <v>36</v>
      </c>
      <c r="E341" s="8" t="s">
        <v>14</v>
      </c>
      <c r="F341" s="8">
        <v>13</v>
      </c>
      <c r="G341" s="8" t="s">
        <v>15</v>
      </c>
      <c r="H341" s="8" t="s">
        <v>22</v>
      </c>
      <c r="I341" s="8" t="s">
        <v>17</v>
      </c>
      <c r="J341" s="8" t="s">
        <v>28</v>
      </c>
      <c r="K341" s="8" t="s">
        <v>42</v>
      </c>
      <c r="L341" s="8" t="str">
        <f t="shared" si="12"/>
        <v>Senior</v>
      </c>
      <c r="M341" s="8" t="str">
        <f t="shared" si="13"/>
        <v>OK</v>
      </c>
      <c r="N341" s="9">
        <f>VLOOKUP(B341,Questions!$K$2:$L$7,2,FALSE)</f>
        <v>70</v>
      </c>
    </row>
    <row r="342" spans="1:14">
      <c r="A342" s="8" t="s">
        <v>347</v>
      </c>
      <c r="B342" s="8">
        <v>8</v>
      </c>
      <c r="C342" s="8" t="s">
        <v>21</v>
      </c>
      <c r="D342" s="8">
        <v>41</v>
      </c>
      <c r="E342" s="8" t="s">
        <v>14</v>
      </c>
      <c r="F342" s="8">
        <v>13</v>
      </c>
      <c r="G342" s="8" t="s">
        <v>15</v>
      </c>
      <c r="H342" s="8" t="s">
        <v>16</v>
      </c>
      <c r="I342" s="8" t="s">
        <v>23</v>
      </c>
      <c r="J342" s="8" t="s">
        <v>24</v>
      </c>
      <c r="K342" s="8" t="s">
        <v>42</v>
      </c>
      <c r="L342" s="8" t="str">
        <f t="shared" si="12"/>
        <v>Senior</v>
      </c>
      <c r="M342" s="8" t="str">
        <f t="shared" si="13"/>
        <v>OK</v>
      </c>
      <c r="N342" s="9">
        <f>VLOOKUP(B342,Questions!$K$2:$L$7,2,FALSE)</f>
        <v>70</v>
      </c>
    </row>
    <row r="343" spans="1:14">
      <c r="A343" s="8" t="s">
        <v>267</v>
      </c>
      <c r="B343" s="8">
        <v>8</v>
      </c>
      <c r="C343" s="8" t="s">
        <v>21</v>
      </c>
      <c r="D343" s="8">
        <v>49</v>
      </c>
      <c r="E343" s="8" t="s">
        <v>27</v>
      </c>
      <c r="F343" s="8">
        <v>13</v>
      </c>
      <c r="G343" s="8" t="s">
        <v>33</v>
      </c>
      <c r="H343" s="8" t="s">
        <v>16</v>
      </c>
      <c r="I343" s="8" t="s">
        <v>17</v>
      </c>
      <c r="J343" s="8" t="s">
        <v>18</v>
      </c>
      <c r="K343" s="8" t="s">
        <v>19</v>
      </c>
      <c r="L343" s="8" t="str">
        <f t="shared" si="12"/>
        <v>Senior</v>
      </c>
      <c r="M343" s="8" t="str">
        <f t="shared" si="13"/>
        <v>Pending</v>
      </c>
      <c r="N343" s="9">
        <f>VLOOKUP(B343,Questions!$K$2:$L$7,2,FALSE)</f>
        <v>70</v>
      </c>
    </row>
    <row r="344" spans="1:14">
      <c r="A344" s="8" t="s">
        <v>237</v>
      </c>
      <c r="B344" s="8">
        <v>8</v>
      </c>
      <c r="C344" s="8" t="s">
        <v>21</v>
      </c>
      <c r="D344" s="8">
        <v>53</v>
      </c>
      <c r="E344" s="8" t="s">
        <v>27</v>
      </c>
      <c r="F344" s="8">
        <v>14</v>
      </c>
      <c r="G344" s="8" t="s">
        <v>33</v>
      </c>
      <c r="H344" s="8" t="s">
        <v>16</v>
      </c>
      <c r="I344" s="8" t="s">
        <v>23</v>
      </c>
      <c r="J344" s="8" t="s">
        <v>24</v>
      </c>
      <c r="K344" s="8" t="s">
        <v>19</v>
      </c>
      <c r="L344" s="8" t="str">
        <f t="shared" si="12"/>
        <v>Senior</v>
      </c>
      <c r="M344" s="8" t="str">
        <f t="shared" si="13"/>
        <v>Pending</v>
      </c>
      <c r="N344" s="9">
        <f>VLOOKUP(B344,Questions!$K$2:$L$7,2,FALSE)</f>
        <v>70</v>
      </c>
    </row>
    <row r="345" spans="1:14">
      <c r="A345" s="8" t="s">
        <v>484</v>
      </c>
      <c r="B345" s="8">
        <v>8</v>
      </c>
      <c r="C345" s="8" t="s">
        <v>21</v>
      </c>
      <c r="D345" s="8">
        <v>56</v>
      </c>
      <c r="E345" s="8" t="s">
        <v>27</v>
      </c>
      <c r="F345" s="8">
        <v>14</v>
      </c>
      <c r="G345" s="8" t="s">
        <v>33</v>
      </c>
      <c r="H345" s="8" t="s">
        <v>16</v>
      </c>
      <c r="I345" s="8" t="s">
        <v>17</v>
      </c>
      <c r="J345" s="8" t="s">
        <v>28</v>
      </c>
      <c r="K345" s="8" t="s">
        <v>28</v>
      </c>
      <c r="L345" s="8" t="str">
        <f t="shared" si="12"/>
        <v>Senior</v>
      </c>
      <c r="M345" s="8" t="str">
        <f t="shared" si="13"/>
        <v>Pending</v>
      </c>
      <c r="N345" s="9">
        <f>VLOOKUP(B345,Questions!$K$2:$L$7,2,FALSE)</f>
        <v>70</v>
      </c>
    </row>
    <row r="346" spans="1:14">
      <c r="A346" s="8" t="s">
        <v>563</v>
      </c>
      <c r="B346" s="8">
        <v>8</v>
      </c>
      <c r="C346" s="8" t="s">
        <v>21</v>
      </c>
      <c r="D346" s="8">
        <v>60</v>
      </c>
      <c r="E346" s="8" t="s">
        <v>14</v>
      </c>
      <c r="F346" s="8">
        <v>14</v>
      </c>
      <c r="G346" s="8" t="s">
        <v>15</v>
      </c>
      <c r="H346" s="8" t="s">
        <v>16</v>
      </c>
      <c r="I346" s="8" t="s">
        <v>17</v>
      </c>
      <c r="J346" s="8" t="s">
        <v>28</v>
      </c>
      <c r="K346" s="8" t="s">
        <v>28</v>
      </c>
      <c r="L346" s="8" t="str">
        <f t="shared" si="12"/>
        <v>Senior</v>
      </c>
      <c r="M346" s="8" t="str">
        <f t="shared" si="13"/>
        <v>OK</v>
      </c>
      <c r="N346" s="9">
        <f>VLOOKUP(B346,Questions!$K$2:$L$7,2,FALSE)</f>
        <v>70</v>
      </c>
    </row>
    <row r="347" spans="1:14">
      <c r="A347" s="8" t="s">
        <v>466</v>
      </c>
      <c r="B347" s="8">
        <v>8</v>
      </c>
      <c r="C347" s="8" t="s">
        <v>21</v>
      </c>
      <c r="D347" s="8">
        <v>67</v>
      </c>
      <c r="E347" s="8" t="s">
        <v>27</v>
      </c>
      <c r="F347" s="8">
        <v>14</v>
      </c>
      <c r="G347" s="8" t="s">
        <v>15</v>
      </c>
      <c r="H347" s="8" t="s">
        <v>16</v>
      </c>
      <c r="I347" s="8" t="s">
        <v>23</v>
      </c>
      <c r="J347" s="8" t="s">
        <v>28</v>
      </c>
      <c r="K347" s="8" t="s">
        <v>31</v>
      </c>
      <c r="L347" s="8" t="str">
        <f t="shared" si="12"/>
        <v>Senior</v>
      </c>
      <c r="M347" s="8" t="str">
        <f t="shared" si="13"/>
        <v>OK</v>
      </c>
      <c r="N347" s="9">
        <f>VLOOKUP(B347,Questions!$K$2:$L$7,2,FALSE)</f>
        <v>70</v>
      </c>
    </row>
    <row r="348" spans="1:14">
      <c r="A348" s="8" t="s">
        <v>380</v>
      </c>
      <c r="B348" s="8">
        <v>8</v>
      </c>
      <c r="C348" s="8" t="s">
        <v>21</v>
      </c>
      <c r="D348" s="8">
        <v>68</v>
      </c>
      <c r="E348" s="8" t="s">
        <v>14</v>
      </c>
      <c r="F348" s="8">
        <v>13</v>
      </c>
      <c r="G348" s="8" t="s">
        <v>33</v>
      </c>
      <c r="H348" s="8" t="s">
        <v>22</v>
      </c>
      <c r="I348" s="8" t="s">
        <v>17</v>
      </c>
      <c r="J348" s="8" t="s">
        <v>24</v>
      </c>
      <c r="K348" s="8" t="s">
        <v>42</v>
      </c>
      <c r="L348" s="8" t="str">
        <f t="shared" si="12"/>
        <v>Senior</v>
      </c>
      <c r="M348" s="8" t="str">
        <f t="shared" si="13"/>
        <v>Pending</v>
      </c>
      <c r="N348" s="9">
        <f>VLOOKUP(B348,Questions!$K$2:$L$7,2,FALSE)</f>
        <v>70</v>
      </c>
    </row>
    <row r="349" spans="1:14">
      <c r="A349" s="8" t="s">
        <v>413</v>
      </c>
      <c r="B349" s="8">
        <v>8</v>
      </c>
      <c r="C349" s="8" t="s">
        <v>21</v>
      </c>
      <c r="D349" s="8">
        <v>81</v>
      </c>
      <c r="E349" s="8" t="s">
        <v>27</v>
      </c>
      <c r="F349" s="8">
        <v>14</v>
      </c>
      <c r="G349" s="8" t="s">
        <v>15</v>
      </c>
      <c r="H349" s="8" t="s">
        <v>22</v>
      </c>
      <c r="I349" s="8" t="s">
        <v>23</v>
      </c>
      <c r="J349" s="8" t="s">
        <v>24</v>
      </c>
      <c r="K349" s="8" t="s">
        <v>42</v>
      </c>
      <c r="L349" s="8" t="str">
        <f t="shared" si="12"/>
        <v>Senior</v>
      </c>
      <c r="M349" s="8" t="str">
        <f t="shared" si="13"/>
        <v>OK</v>
      </c>
      <c r="N349" s="9">
        <f>VLOOKUP(B349,Questions!$K$2:$L$7,2,FALSE)</f>
        <v>70</v>
      </c>
    </row>
    <row r="350" spans="1:14">
      <c r="A350" s="8" t="s">
        <v>62</v>
      </c>
      <c r="B350" s="8">
        <v>8</v>
      </c>
      <c r="C350" s="8" t="s">
        <v>21</v>
      </c>
      <c r="D350" s="8">
        <v>83</v>
      </c>
      <c r="E350" s="8" t="s">
        <v>27</v>
      </c>
      <c r="F350" s="8">
        <v>13</v>
      </c>
      <c r="G350" s="8" t="s">
        <v>33</v>
      </c>
      <c r="H350" s="8" t="s">
        <v>22</v>
      </c>
      <c r="I350" s="8" t="s">
        <v>23</v>
      </c>
      <c r="J350" s="8" t="s">
        <v>24</v>
      </c>
      <c r="K350" s="8" t="s">
        <v>28</v>
      </c>
      <c r="L350" s="8" t="str">
        <f t="shared" si="12"/>
        <v>Senior</v>
      </c>
      <c r="M350" s="8" t="str">
        <f t="shared" si="13"/>
        <v>Pending</v>
      </c>
      <c r="N350" s="9">
        <f>VLOOKUP(B350,Questions!$K$2:$L$7,2,FALSE)</f>
        <v>70</v>
      </c>
    </row>
    <row r="351" spans="1:14">
      <c r="A351" s="8" t="s">
        <v>63</v>
      </c>
      <c r="B351" s="8">
        <v>8</v>
      </c>
      <c r="C351" s="8" t="s">
        <v>21</v>
      </c>
      <c r="D351" s="8">
        <v>86</v>
      </c>
      <c r="E351" s="8" t="s">
        <v>27</v>
      </c>
      <c r="F351" s="8">
        <v>14</v>
      </c>
      <c r="G351" s="8" t="s">
        <v>15</v>
      </c>
      <c r="H351" s="8" t="s">
        <v>16</v>
      </c>
      <c r="I351" s="8" t="s">
        <v>17</v>
      </c>
      <c r="J351" s="8" t="s">
        <v>28</v>
      </c>
      <c r="K351" s="8" t="s">
        <v>31</v>
      </c>
      <c r="L351" s="8" t="str">
        <f t="shared" si="12"/>
        <v>Senior</v>
      </c>
      <c r="M351" s="8" t="str">
        <f t="shared" si="13"/>
        <v>OK</v>
      </c>
      <c r="N351" s="9">
        <f>VLOOKUP(B351,Questions!$K$2:$L$7,2,FALSE)</f>
        <v>70</v>
      </c>
    </row>
    <row r="352" spans="1:14">
      <c r="A352" s="8" t="s">
        <v>163</v>
      </c>
      <c r="B352" s="8">
        <v>8</v>
      </c>
      <c r="C352" s="8" t="s">
        <v>21</v>
      </c>
      <c r="D352" s="8">
        <v>120</v>
      </c>
      <c r="E352" s="8" t="s">
        <v>27</v>
      </c>
      <c r="F352" s="8">
        <v>14</v>
      </c>
      <c r="G352" s="8" t="s">
        <v>15</v>
      </c>
      <c r="H352" s="8" t="s">
        <v>16</v>
      </c>
      <c r="I352" s="8" t="s">
        <v>23</v>
      </c>
      <c r="J352" s="8" t="s">
        <v>30</v>
      </c>
      <c r="K352" s="8" t="s">
        <v>31</v>
      </c>
      <c r="L352" s="8" t="str">
        <f t="shared" si="12"/>
        <v>Senior</v>
      </c>
      <c r="M352" s="8" t="str">
        <f t="shared" si="13"/>
        <v>OK</v>
      </c>
      <c r="N352" s="9">
        <f>VLOOKUP(B352,Questions!$K$2:$L$7,2,FALSE)</f>
        <v>70</v>
      </c>
    </row>
    <row r="353" spans="1:14">
      <c r="A353" s="8" t="s">
        <v>429</v>
      </c>
      <c r="B353" s="8">
        <v>8</v>
      </c>
      <c r="C353" s="8" t="s">
        <v>21</v>
      </c>
      <c r="D353" s="8">
        <v>127</v>
      </c>
      <c r="E353" s="8" t="s">
        <v>27</v>
      </c>
      <c r="F353" s="8">
        <v>14</v>
      </c>
      <c r="G353" s="8" t="s">
        <v>15</v>
      </c>
      <c r="H353" s="8" t="s">
        <v>22</v>
      </c>
      <c r="I353" s="8" t="s">
        <v>17</v>
      </c>
      <c r="J353" s="8" t="s">
        <v>28</v>
      </c>
      <c r="K353" s="8" t="s">
        <v>28</v>
      </c>
      <c r="L353" s="8" t="str">
        <f t="shared" si="12"/>
        <v>Senior</v>
      </c>
      <c r="M353" s="8" t="str">
        <f t="shared" si="13"/>
        <v>OK</v>
      </c>
      <c r="N353" s="9">
        <f>VLOOKUP(B353,Questions!$K$2:$L$7,2,FALSE)</f>
        <v>70</v>
      </c>
    </row>
    <row r="354" spans="1:14">
      <c r="A354" s="8" t="s">
        <v>293</v>
      </c>
      <c r="B354" s="8">
        <v>8</v>
      </c>
      <c r="C354" s="8" t="s">
        <v>21</v>
      </c>
      <c r="D354" s="8">
        <v>135</v>
      </c>
      <c r="E354" s="8" t="s">
        <v>14</v>
      </c>
      <c r="F354" s="8">
        <v>13</v>
      </c>
      <c r="G354" s="8" t="s">
        <v>15</v>
      </c>
      <c r="H354" s="8" t="s">
        <v>22</v>
      </c>
      <c r="I354" s="8" t="s">
        <v>17</v>
      </c>
      <c r="J354" s="8" t="s">
        <v>18</v>
      </c>
      <c r="K354" s="8" t="s">
        <v>28</v>
      </c>
      <c r="L354" s="8" t="str">
        <f t="shared" si="12"/>
        <v>Senior</v>
      </c>
      <c r="M354" s="8" t="str">
        <f t="shared" si="13"/>
        <v>OK</v>
      </c>
      <c r="N354" s="9">
        <f>VLOOKUP(B354,Questions!$K$2:$L$7,2,FALSE)</f>
        <v>70</v>
      </c>
    </row>
    <row r="355" spans="1:14">
      <c r="A355" s="8" t="s">
        <v>168</v>
      </c>
      <c r="B355" s="8">
        <v>8</v>
      </c>
      <c r="C355" s="8" t="s">
        <v>21</v>
      </c>
      <c r="D355" s="8">
        <v>148</v>
      </c>
      <c r="E355" s="8" t="s">
        <v>14</v>
      </c>
      <c r="F355" s="8">
        <v>13</v>
      </c>
      <c r="G355" s="8" t="s">
        <v>33</v>
      </c>
      <c r="H355" s="8" t="s">
        <v>22</v>
      </c>
      <c r="I355" s="8" t="s">
        <v>17</v>
      </c>
      <c r="J355" s="8" t="s">
        <v>28</v>
      </c>
      <c r="K355" s="8" t="s">
        <v>31</v>
      </c>
      <c r="L355" s="8" t="str">
        <f t="shared" si="12"/>
        <v>Senior</v>
      </c>
      <c r="M355" s="8" t="str">
        <f t="shared" si="13"/>
        <v>Pending</v>
      </c>
      <c r="N355" s="9">
        <f>VLOOKUP(B355,Questions!$K$2:$L$7,2,FALSE)</f>
        <v>70</v>
      </c>
    </row>
    <row r="356" spans="1:14">
      <c r="A356" s="8" t="s">
        <v>268</v>
      </c>
      <c r="B356" s="8">
        <v>8</v>
      </c>
      <c r="C356" s="8" t="s">
        <v>21</v>
      </c>
      <c r="D356" s="8">
        <v>150</v>
      </c>
      <c r="E356" s="8" t="s">
        <v>27</v>
      </c>
      <c r="F356" s="8">
        <v>13</v>
      </c>
      <c r="G356" s="8" t="s">
        <v>15</v>
      </c>
      <c r="H356" s="8" t="s">
        <v>22</v>
      </c>
      <c r="I356" s="8" t="s">
        <v>23</v>
      </c>
      <c r="J356" s="8" t="s">
        <v>24</v>
      </c>
      <c r="K356" s="8" t="s">
        <v>42</v>
      </c>
      <c r="L356" s="8" t="str">
        <f t="shared" si="12"/>
        <v>Senior</v>
      </c>
      <c r="M356" s="8" t="str">
        <f t="shared" si="13"/>
        <v>OK</v>
      </c>
      <c r="N356" s="9">
        <f>VLOOKUP(B356,Questions!$K$2:$L$7,2,FALSE)</f>
        <v>70</v>
      </c>
    </row>
    <row r="357" spans="1:14">
      <c r="A357" s="8" t="s">
        <v>32</v>
      </c>
      <c r="B357" s="8">
        <v>8</v>
      </c>
      <c r="C357" s="8" t="s">
        <v>21</v>
      </c>
      <c r="D357" s="8">
        <v>163</v>
      </c>
      <c r="E357" s="8" t="s">
        <v>27</v>
      </c>
      <c r="F357" s="8">
        <v>13</v>
      </c>
      <c r="G357" s="8" t="s">
        <v>33</v>
      </c>
      <c r="H357" s="8" t="s">
        <v>22</v>
      </c>
      <c r="I357" s="8" t="s">
        <v>17</v>
      </c>
      <c r="J357" s="8" t="s">
        <v>28</v>
      </c>
      <c r="K357" s="8" t="s">
        <v>28</v>
      </c>
      <c r="L357" s="8" t="str">
        <f t="shared" si="12"/>
        <v>Senior</v>
      </c>
      <c r="M357" s="8" t="str">
        <f t="shared" si="13"/>
        <v>Pending</v>
      </c>
      <c r="N357" s="9">
        <f>VLOOKUP(B357,Questions!$K$2:$L$7,2,FALSE)</f>
        <v>70</v>
      </c>
    </row>
    <row r="358" spans="1:14">
      <c r="A358" s="8" t="s">
        <v>351</v>
      </c>
      <c r="B358" s="8">
        <v>8</v>
      </c>
      <c r="C358" s="8" t="s">
        <v>21</v>
      </c>
      <c r="D358" s="8">
        <v>173</v>
      </c>
      <c r="E358" s="8" t="s">
        <v>14</v>
      </c>
      <c r="F358" s="8">
        <v>13</v>
      </c>
      <c r="G358" s="8" t="s">
        <v>15</v>
      </c>
      <c r="H358" s="8" t="s">
        <v>16</v>
      </c>
      <c r="I358" s="8" t="s">
        <v>23</v>
      </c>
      <c r="J358" s="8" t="s">
        <v>28</v>
      </c>
      <c r="K358" s="8" t="s">
        <v>42</v>
      </c>
      <c r="L358" s="8" t="str">
        <f t="shared" si="12"/>
        <v>Senior</v>
      </c>
      <c r="M358" s="8" t="str">
        <f t="shared" si="13"/>
        <v>OK</v>
      </c>
      <c r="N358" s="9">
        <f>VLOOKUP(B358,Questions!$K$2:$L$7,2,FALSE)</f>
        <v>70</v>
      </c>
    </row>
    <row r="359" spans="1:14">
      <c r="A359" s="8" t="s">
        <v>501</v>
      </c>
      <c r="B359" s="8">
        <v>8</v>
      </c>
      <c r="C359" s="8" t="s">
        <v>21</v>
      </c>
      <c r="D359" s="8">
        <v>184</v>
      </c>
      <c r="E359" s="8" t="s">
        <v>27</v>
      </c>
      <c r="F359" s="8">
        <v>13</v>
      </c>
      <c r="G359" s="8" t="s">
        <v>33</v>
      </c>
      <c r="H359" s="8" t="s">
        <v>16</v>
      </c>
      <c r="I359" s="8" t="s">
        <v>17</v>
      </c>
      <c r="J359" s="8" t="s">
        <v>18</v>
      </c>
      <c r="K359" s="8" t="s">
        <v>19</v>
      </c>
      <c r="L359" s="8" t="str">
        <f t="shared" si="12"/>
        <v>Senior</v>
      </c>
      <c r="M359" s="8" t="str">
        <f t="shared" si="13"/>
        <v>Pending</v>
      </c>
      <c r="N359" s="9">
        <f>VLOOKUP(B359,Questions!$K$2:$L$7,2,FALSE)</f>
        <v>70</v>
      </c>
    </row>
    <row r="360" spans="1:14">
      <c r="A360" s="8" t="s">
        <v>283</v>
      </c>
      <c r="B360" s="8">
        <v>8</v>
      </c>
      <c r="C360" s="8" t="s">
        <v>21</v>
      </c>
      <c r="D360" s="8">
        <v>194</v>
      </c>
      <c r="E360" s="8" t="s">
        <v>27</v>
      </c>
      <c r="F360" s="8">
        <v>14</v>
      </c>
      <c r="G360" s="8" t="s">
        <v>15</v>
      </c>
      <c r="H360" s="8" t="s">
        <v>22</v>
      </c>
      <c r="I360" s="8" t="s">
        <v>17</v>
      </c>
      <c r="J360" s="8" t="s">
        <v>30</v>
      </c>
      <c r="K360" s="8" t="s">
        <v>19</v>
      </c>
      <c r="L360" s="8" t="str">
        <f t="shared" si="12"/>
        <v>Senior</v>
      </c>
      <c r="M360" s="8" t="str">
        <f t="shared" si="13"/>
        <v>OK</v>
      </c>
      <c r="N360" s="9">
        <f>VLOOKUP(B360,Questions!$K$2:$L$7,2,FALSE)</f>
        <v>70</v>
      </c>
    </row>
    <row r="361" spans="1:14">
      <c r="A361" s="8" t="s">
        <v>508</v>
      </c>
      <c r="B361" s="8">
        <v>8</v>
      </c>
      <c r="C361" s="8" t="s">
        <v>21</v>
      </c>
      <c r="D361" s="8">
        <v>195</v>
      </c>
      <c r="E361" s="8" t="s">
        <v>27</v>
      </c>
      <c r="F361" s="8">
        <v>13</v>
      </c>
      <c r="G361" s="8" t="s">
        <v>33</v>
      </c>
      <c r="H361" s="8" t="s">
        <v>16</v>
      </c>
      <c r="I361" s="8" t="s">
        <v>17</v>
      </c>
      <c r="J361" s="8" t="s">
        <v>30</v>
      </c>
      <c r="K361" s="8" t="s">
        <v>19</v>
      </c>
      <c r="L361" s="8" t="str">
        <f t="shared" si="12"/>
        <v>Senior</v>
      </c>
      <c r="M361" s="8" t="str">
        <f t="shared" si="13"/>
        <v>Pending</v>
      </c>
      <c r="N361" s="9">
        <f>VLOOKUP(B361,Questions!$K$2:$L$7,2,FALSE)</f>
        <v>70</v>
      </c>
    </row>
    <row r="362" spans="1:14">
      <c r="A362" s="8" t="s">
        <v>64</v>
      </c>
      <c r="B362" s="8">
        <v>8</v>
      </c>
      <c r="C362" s="8" t="s">
        <v>21</v>
      </c>
      <c r="D362" s="8">
        <v>196</v>
      </c>
      <c r="E362" s="8" t="s">
        <v>14</v>
      </c>
      <c r="F362" s="8">
        <v>14</v>
      </c>
      <c r="G362" s="8" t="s">
        <v>15</v>
      </c>
      <c r="H362" s="8" t="s">
        <v>16</v>
      </c>
      <c r="I362" s="8" t="s">
        <v>23</v>
      </c>
      <c r="J362" s="8" t="s">
        <v>28</v>
      </c>
      <c r="K362" s="8" t="s">
        <v>28</v>
      </c>
      <c r="L362" s="8" t="str">
        <f t="shared" si="12"/>
        <v>Senior</v>
      </c>
      <c r="M362" s="8" t="str">
        <f t="shared" si="13"/>
        <v>OK</v>
      </c>
      <c r="N362" s="9">
        <f>VLOOKUP(B362,Questions!$K$2:$L$7,2,FALSE)</f>
        <v>70</v>
      </c>
    </row>
    <row r="363" spans="1:14">
      <c r="A363" s="8" t="s">
        <v>12</v>
      </c>
      <c r="B363" s="8">
        <v>9</v>
      </c>
      <c r="C363" s="8" t="s">
        <v>13</v>
      </c>
      <c r="D363" s="8">
        <v>11</v>
      </c>
      <c r="E363" s="8" t="s">
        <v>14</v>
      </c>
      <c r="F363" s="8">
        <v>14</v>
      </c>
      <c r="G363" s="8" t="s">
        <v>15</v>
      </c>
      <c r="H363" s="8" t="s">
        <v>16</v>
      </c>
      <c r="I363" s="8" t="s">
        <v>17</v>
      </c>
      <c r="J363" s="8" t="s">
        <v>18</v>
      </c>
      <c r="K363" s="8" t="s">
        <v>19</v>
      </c>
      <c r="L363" s="8" t="str">
        <f t="shared" si="12"/>
        <v>Senior</v>
      </c>
      <c r="M363" s="8" t="str">
        <f t="shared" si="13"/>
        <v>OK</v>
      </c>
      <c r="N363" s="9">
        <f>VLOOKUP(B363,Questions!$K$2:$L$7,2,FALSE)</f>
        <v>80</v>
      </c>
    </row>
    <row r="364" spans="1:14">
      <c r="A364" s="8" t="s">
        <v>158</v>
      </c>
      <c r="B364" s="8">
        <v>9</v>
      </c>
      <c r="C364" s="8" t="s">
        <v>13</v>
      </c>
      <c r="D364" s="8">
        <v>13</v>
      </c>
      <c r="E364" s="8" t="s">
        <v>14</v>
      </c>
      <c r="F364" s="8">
        <v>15</v>
      </c>
      <c r="G364" s="8" t="s">
        <v>33</v>
      </c>
      <c r="H364" s="8" t="s">
        <v>16</v>
      </c>
      <c r="I364" s="8" t="s">
        <v>23</v>
      </c>
      <c r="J364" s="8" t="s">
        <v>49</v>
      </c>
      <c r="K364" s="8" t="s">
        <v>31</v>
      </c>
      <c r="L364" s="8" t="str">
        <f t="shared" si="12"/>
        <v>Senior</v>
      </c>
      <c r="M364" s="8" t="str">
        <f t="shared" si="13"/>
        <v>Pending</v>
      </c>
      <c r="N364" s="9">
        <f>VLOOKUP(B364,Questions!$K$2:$L$7,2,FALSE)</f>
        <v>80</v>
      </c>
    </row>
    <row r="365" spans="1:14">
      <c r="A365" s="8" t="s">
        <v>427</v>
      </c>
      <c r="B365" s="8">
        <v>9</v>
      </c>
      <c r="C365" s="8" t="s">
        <v>13</v>
      </c>
      <c r="D365" s="8">
        <v>19</v>
      </c>
      <c r="E365" s="8" t="s">
        <v>27</v>
      </c>
      <c r="F365" s="8">
        <v>14</v>
      </c>
      <c r="G365" s="8" t="s">
        <v>15</v>
      </c>
      <c r="H365" s="8" t="s">
        <v>22</v>
      </c>
      <c r="I365" s="8" t="s">
        <v>17</v>
      </c>
      <c r="J365" s="8" t="s">
        <v>24</v>
      </c>
      <c r="K365" s="8" t="s">
        <v>31</v>
      </c>
      <c r="L365" s="8" t="str">
        <f t="shared" si="12"/>
        <v>Senior</v>
      </c>
      <c r="M365" s="8" t="str">
        <f t="shared" si="13"/>
        <v>OK</v>
      </c>
      <c r="N365" s="9">
        <f>VLOOKUP(B365,Questions!$K$2:$L$7,2,FALSE)</f>
        <v>80</v>
      </c>
    </row>
    <row r="366" spans="1:14">
      <c r="A366" s="8" t="s">
        <v>280</v>
      </c>
      <c r="B366" s="8">
        <v>9</v>
      </c>
      <c r="C366" s="8" t="s">
        <v>13</v>
      </c>
      <c r="D366" s="8">
        <v>24</v>
      </c>
      <c r="E366" s="8" t="s">
        <v>27</v>
      </c>
      <c r="F366" s="8">
        <v>15</v>
      </c>
      <c r="G366" s="8" t="s">
        <v>33</v>
      </c>
      <c r="H366" s="8" t="s">
        <v>22</v>
      </c>
      <c r="I366" s="8" t="s">
        <v>17</v>
      </c>
      <c r="J366" s="8" t="s">
        <v>49</v>
      </c>
      <c r="K366" s="8" t="s">
        <v>28</v>
      </c>
      <c r="L366" s="8" t="str">
        <f t="shared" si="12"/>
        <v>Senior</v>
      </c>
      <c r="M366" s="8" t="str">
        <f t="shared" si="13"/>
        <v>Pending</v>
      </c>
      <c r="N366" s="9">
        <f>VLOOKUP(B366,Questions!$K$2:$L$7,2,FALSE)</f>
        <v>80</v>
      </c>
    </row>
    <row r="367" spans="1:14">
      <c r="A367" s="8" t="s">
        <v>143</v>
      </c>
      <c r="B367" s="8">
        <v>9</v>
      </c>
      <c r="C367" s="8" t="s">
        <v>13</v>
      </c>
      <c r="D367" s="8">
        <v>32</v>
      </c>
      <c r="E367" s="8" t="s">
        <v>14</v>
      </c>
      <c r="F367" s="8">
        <v>15</v>
      </c>
      <c r="G367" s="8" t="s">
        <v>33</v>
      </c>
      <c r="H367" s="8" t="s">
        <v>22</v>
      </c>
      <c r="I367" s="8" t="s">
        <v>17</v>
      </c>
      <c r="J367" s="8" t="s">
        <v>28</v>
      </c>
      <c r="K367" s="8" t="s">
        <v>19</v>
      </c>
      <c r="L367" s="8" t="str">
        <f t="shared" si="12"/>
        <v>Senior</v>
      </c>
      <c r="M367" s="8" t="str">
        <f t="shared" si="13"/>
        <v>Pending</v>
      </c>
      <c r="N367" s="9">
        <f>VLOOKUP(B367,Questions!$K$2:$L$7,2,FALSE)</f>
        <v>80</v>
      </c>
    </row>
    <row r="368" spans="1:14">
      <c r="A368" s="8" t="s">
        <v>389</v>
      </c>
      <c r="B368" s="8">
        <v>9</v>
      </c>
      <c r="C368" s="8" t="s">
        <v>13</v>
      </c>
      <c r="D368" s="8">
        <v>33</v>
      </c>
      <c r="E368" s="8" t="s">
        <v>27</v>
      </c>
      <c r="F368" s="8">
        <v>15</v>
      </c>
      <c r="G368" s="8" t="s">
        <v>33</v>
      </c>
      <c r="H368" s="8" t="s">
        <v>16</v>
      </c>
      <c r="I368" s="8" t="s">
        <v>17</v>
      </c>
      <c r="J368" s="8" t="s">
        <v>49</v>
      </c>
      <c r="K368" s="8" t="s">
        <v>31</v>
      </c>
      <c r="L368" s="8" t="str">
        <f t="shared" si="12"/>
        <v>Senior</v>
      </c>
      <c r="M368" s="8" t="str">
        <f t="shared" si="13"/>
        <v>Pending</v>
      </c>
      <c r="N368" s="9">
        <f>VLOOKUP(B368,Questions!$K$2:$L$7,2,FALSE)</f>
        <v>80</v>
      </c>
    </row>
    <row r="369" spans="1:14">
      <c r="A369" s="8" t="s">
        <v>555</v>
      </c>
      <c r="B369" s="8">
        <v>9</v>
      </c>
      <c r="C369" s="8" t="s">
        <v>13</v>
      </c>
      <c r="D369" s="8">
        <v>42</v>
      </c>
      <c r="E369" s="8" t="s">
        <v>27</v>
      </c>
      <c r="F369" s="8">
        <v>14</v>
      </c>
      <c r="G369" s="8" t="s">
        <v>15</v>
      </c>
      <c r="H369" s="8" t="s">
        <v>16</v>
      </c>
      <c r="I369" s="8" t="s">
        <v>23</v>
      </c>
      <c r="J369" s="8" t="s">
        <v>30</v>
      </c>
      <c r="K369" s="8" t="s">
        <v>31</v>
      </c>
      <c r="L369" s="8" t="str">
        <f t="shared" si="12"/>
        <v>Senior</v>
      </c>
      <c r="M369" s="8" t="str">
        <f t="shared" si="13"/>
        <v>OK</v>
      </c>
      <c r="N369" s="9">
        <f>VLOOKUP(B369,Questions!$K$2:$L$7,2,FALSE)</f>
        <v>80</v>
      </c>
    </row>
    <row r="370" spans="1:14">
      <c r="A370" s="8" t="s">
        <v>382</v>
      </c>
      <c r="B370" s="8">
        <v>9</v>
      </c>
      <c r="C370" s="8" t="s">
        <v>13</v>
      </c>
      <c r="D370" s="8">
        <v>50</v>
      </c>
      <c r="E370" s="8" t="s">
        <v>27</v>
      </c>
      <c r="F370" s="8">
        <v>14</v>
      </c>
      <c r="G370" s="8" t="s">
        <v>15</v>
      </c>
      <c r="H370" s="8" t="s">
        <v>16</v>
      </c>
      <c r="I370" s="8" t="s">
        <v>23</v>
      </c>
      <c r="J370" s="8" t="s">
        <v>28</v>
      </c>
      <c r="K370" s="8" t="s">
        <v>28</v>
      </c>
      <c r="L370" s="8" t="str">
        <f t="shared" si="12"/>
        <v>Senior</v>
      </c>
      <c r="M370" s="8" t="str">
        <f t="shared" si="13"/>
        <v>OK</v>
      </c>
      <c r="N370" s="9">
        <f>VLOOKUP(B370,Questions!$K$2:$L$7,2,FALSE)</f>
        <v>80</v>
      </c>
    </row>
    <row r="371" spans="1:14">
      <c r="A371" s="8" t="s">
        <v>452</v>
      </c>
      <c r="B371" s="8">
        <v>9</v>
      </c>
      <c r="C371" s="8" t="s">
        <v>13</v>
      </c>
      <c r="D371" s="8">
        <v>60</v>
      </c>
      <c r="E371" s="8" t="s">
        <v>14</v>
      </c>
      <c r="F371" s="8">
        <v>14</v>
      </c>
      <c r="G371" s="8" t="s">
        <v>15</v>
      </c>
      <c r="H371" s="8" t="s">
        <v>16</v>
      </c>
      <c r="I371" s="8" t="s">
        <v>17</v>
      </c>
      <c r="J371" s="8" t="s">
        <v>28</v>
      </c>
      <c r="K371" s="8" t="s">
        <v>31</v>
      </c>
      <c r="L371" s="8" t="str">
        <f t="shared" si="12"/>
        <v>Senior</v>
      </c>
      <c r="M371" s="8" t="str">
        <f t="shared" si="13"/>
        <v>OK</v>
      </c>
      <c r="N371" s="9">
        <f>VLOOKUP(B371,Questions!$K$2:$L$7,2,FALSE)</f>
        <v>80</v>
      </c>
    </row>
    <row r="372" spans="1:14">
      <c r="A372" s="8" t="s">
        <v>134</v>
      </c>
      <c r="B372" s="8">
        <v>9</v>
      </c>
      <c r="C372" s="8" t="s">
        <v>13</v>
      </c>
      <c r="D372" s="8">
        <v>62</v>
      </c>
      <c r="E372" s="8" t="s">
        <v>27</v>
      </c>
      <c r="F372" s="8">
        <v>14</v>
      </c>
      <c r="G372" s="8" t="s">
        <v>33</v>
      </c>
      <c r="H372" s="8" t="s">
        <v>16</v>
      </c>
      <c r="I372" s="8" t="s">
        <v>23</v>
      </c>
      <c r="J372" s="8" t="s">
        <v>18</v>
      </c>
      <c r="K372" s="8" t="s">
        <v>28</v>
      </c>
      <c r="L372" s="8" t="str">
        <f t="shared" si="12"/>
        <v>Senior</v>
      </c>
      <c r="M372" s="8" t="str">
        <f t="shared" si="13"/>
        <v>Pending</v>
      </c>
      <c r="N372" s="9">
        <f>VLOOKUP(B372,Questions!$K$2:$L$7,2,FALSE)</f>
        <v>80</v>
      </c>
    </row>
    <row r="373" spans="1:14">
      <c r="A373" s="8" t="s">
        <v>359</v>
      </c>
      <c r="B373" s="8">
        <v>9</v>
      </c>
      <c r="C373" s="8" t="s">
        <v>13</v>
      </c>
      <c r="D373" s="8">
        <v>70</v>
      </c>
      <c r="E373" s="8" t="s">
        <v>14</v>
      </c>
      <c r="F373" s="8">
        <v>14</v>
      </c>
      <c r="G373" s="8" t="s">
        <v>15</v>
      </c>
      <c r="H373" s="8" t="s">
        <v>22</v>
      </c>
      <c r="I373" s="8" t="s">
        <v>17</v>
      </c>
      <c r="J373" s="8" t="s">
        <v>24</v>
      </c>
      <c r="K373" s="8" t="s">
        <v>28</v>
      </c>
      <c r="L373" s="8" t="str">
        <f t="shared" si="12"/>
        <v>Senior</v>
      </c>
      <c r="M373" s="8" t="str">
        <f t="shared" si="13"/>
        <v>OK</v>
      </c>
      <c r="N373" s="9">
        <f>VLOOKUP(B373,Questions!$K$2:$L$7,2,FALSE)</f>
        <v>80</v>
      </c>
    </row>
    <row r="374" spans="1:14">
      <c r="A374" s="8" t="s">
        <v>595</v>
      </c>
      <c r="B374" s="8">
        <v>9</v>
      </c>
      <c r="C374" s="8" t="s">
        <v>13</v>
      </c>
      <c r="D374" s="8">
        <v>78</v>
      </c>
      <c r="E374" s="8" t="s">
        <v>14</v>
      </c>
      <c r="F374" s="8">
        <v>14</v>
      </c>
      <c r="G374" s="8" t="s">
        <v>15</v>
      </c>
      <c r="H374" s="8" t="s">
        <v>16</v>
      </c>
      <c r="I374" s="8" t="s">
        <v>17</v>
      </c>
      <c r="J374" s="8" t="s">
        <v>49</v>
      </c>
      <c r="K374" s="8" t="s">
        <v>31</v>
      </c>
      <c r="L374" s="8" t="str">
        <f t="shared" si="12"/>
        <v>Senior</v>
      </c>
      <c r="M374" s="8" t="str">
        <f t="shared" si="13"/>
        <v>OK</v>
      </c>
      <c r="N374" s="9">
        <f>VLOOKUP(B374,Questions!$K$2:$L$7,2,FALSE)</f>
        <v>80</v>
      </c>
    </row>
    <row r="375" spans="1:14">
      <c r="A375" s="8" t="s">
        <v>382</v>
      </c>
      <c r="B375" s="8">
        <v>9</v>
      </c>
      <c r="C375" s="8" t="s">
        <v>13</v>
      </c>
      <c r="D375" s="8">
        <v>84</v>
      </c>
      <c r="E375" s="8" t="s">
        <v>27</v>
      </c>
      <c r="F375" s="8">
        <v>15</v>
      </c>
      <c r="G375" s="8" t="s">
        <v>33</v>
      </c>
      <c r="H375" s="8" t="s">
        <v>16</v>
      </c>
      <c r="I375" s="8" t="s">
        <v>17</v>
      </c>
      <c r="J375" s="8" t="s">
        <v>49</v>
      </c>
      <c r="K375" s="8" t="s">
        <v>42</v>
      </c>
      <c r="L375" s="8" t="str">
        <f t="shared" si="12"/>
        <v>Senior</v>
      </c>
      <c r="M375" s="8" t="str">
        <f t="shared" si="13"/>
        <v>Pending</v>
      </c>
      <c r="N375" s="9">
        <f>VLOOKUP(B375,Questions!$K$2:$L$7,2,FALSE)</f>
        <v>80</v>
      </c>
    </row>
    <row r="376" spans="1:14">
      <c r="A376" s="8" t="s">
        <v>403</v>
      </c>
      <c r="B376" s="8">
        <v>9</v>
      </c>
      <c r="C376" s="8" t="s">
        <v>13</v>
      </c>
      <c r="D376" s="8">
        <v>92</v>
      </c>
      <c r="E376" s="8" t="s">
        <v>14</v>
      </c>
      <c r="F376" s="8">
        <v>14</v>
      </c>
      <c r="G376" s="8" t="s">
        <v>15</v>
      </c>
      <c r="H376" s="8" t="s">
        <v>22</v>
      </c>
      <c r="I376" s="8" t="s">
        <v>23</v>
      </c>
      <c r="J376" s="8" t="s">
        <v>18</v>
      </c>
      <c r="K376" s="8" t="s">
        <v>28</v>
      </c>
      <c r="L376" s="8" t="str">
        <f t="shared" si="12"/>
        <v>Senior</v>
      </c>
      <c r="M376" s="8" t="str">
        <f t="shared" si="13"/>
        <v>OK</v>
      </c>
      <c r="N376" s="9">
        <f>VLOOKUP(B376,Questions!$K$2:$L$7,2,FALSE)</f>
        <v>80</v>
      </c>
    </row>
    <row r="377" spans="1:14">
      <c r="A377" s="8" t="s">
        <v>230</v>
      </c>
      <c r="B377" s="8">
        <v>9</v>
      </c>
      <c r="C377" s="8" t="s">
        <v>13</v>
      </c>
      <c r="D377" s="8">
        <v>98</v>
      </c>
      <c r="E377" s="8" t="s">
        <v>27</v>
      </c>
      <c r="F377" s="8">
        <v>15</v>
      </c>
      <c r="G377" s="8" t="s">
        <v>33</v>
      </c>
      <c r="H377" s="8" t="s">
        <v>16</v>
      </c>
      <c r="I377" s="8" t="s">
        <v>17</v>
      </c>
      <c r="J377" s="8" t="s">
        <v>18</v>
      </c>
      <c r="K377" s="8" t="s">
        <v>28</v>
      </c>
      <c r="L377" s="8" t="str">
        <f t="shared" si="12"/>
        <v>Senior</v>
      </c>
      <c r="M377" s="8" t="str">
        <f t="shared" si="13"/>
        <v>Pending</v>
      </c>
      <c r="N377" s="9">
        <f>VLOOKUP(B377,Questions!$K$2:$L$7,2,FALSE)</f>
        <v>80</v>
      </c>
    </row>
    <row r="378" spans="1:14">
      <c r="A378" s="8" t="s">
        <v>151</v>
      </c>
      <c r="B378" s="8">
        <v>9</v>
      </c>
      <c r="C378" s="8" t="s">
        <v>13</v>
      </c>
      <c r="D378" s="8">
        <v>101</v>
      </c>
      <c r="E378" s="8" t="s">
        <v>27</v>
      </c>
      <c r="F378" s="8">
        <v>15</v>
      </c>
      <c r="G378" s="8" t="s">
        <v>33</v>
      </c>
      <c r="H378" s="8" t="s">
        <v>22</v>
      </c>
      <c r="I378" s="8" t="s">
        <v>17</v>
      </c>
      <c r="J378" s="8" t="s">
        <v>28</v>
      </c>
      <c r="K378" s="8" t="s">
        <v>42</v>
      </c>
      <c r="L378" s="8" t="str">
        <f t="shared" si="12"/>
        <v>Senior</v>
      </c>
      <c r="M378" s="8" t="str">
        <f t="shared" si="13"/>
        <v>Pending</v>
      </c>
      <c r="N378" s="9">
        <f>VLOOKUP(B378,Questions!$K$2:$L$7,2,FALSE)</f>
        <v>80</v>
      </c>
    </row>
    <row r="379" spans="1:14">
      <c r="A379" s="8" t="s">
        <v>156</v>
      </c>
      <c r="B379" s="8">
        <v>9</v>
      </c>
      <c r="C379" s="8" t="s">
        <v>13</v>
      </c>
      <c r="D379" s="8">
        <v>109</v>
      </c>
      <c r="E379" s="8" t="s">
        <v>27</v>
      </c>
      <c r="F379" s="8">
        <v>15</v>
      </c>
      <c r="G379" s="8" t="s">
        <v>15</v>
      </c>
      <c r="H379" s="8" t="s">
        <v>22</v>
      </c>
      <c r="I379" s="8" t="s">
        <v>23</v>
      </c>
      <c r="J379" s="8" t="s">
        <v>49</v>
      </c>
      <c r="K379" s="8" t="s">
        <v>31</v>
      </c>
      <c r="L379" s="8" t="str">
        <f t="shared" si="12"/>
        <v>Senior</v>
      </c>
      <c r="M379" s="8" t="str">
        <f t="shared" si="13"/>
        <v>OK</v>
      </c>
      <c r="N379" s="9">
        <f>VLOOKUP(B379,Questions!$K$2:$L$7,2,FALSE)</f>
        <v>80</v>
      </c>
    </row>
    <row r="380" spans="1:14">
      <c r="A380" s="8" t="s">
        <v>446</v>
      </c>
      <c r="B380" s="8">
        <v>9</v>
      </c>
      <c r="C380" s="8" t="s">
        <v>13</v>
      </c>
      <c r="D380" s="8">
        <v>114</v>
      </c>
      <c r="E380" s="8" t="s">
        <v>27</v>
      </c>
      <c r="F380" s="8">
        <v>14</v>
      </c>
      <c r="G380" s="8" t="s">
        <v>15</v>
      </c>
      <c r="H380" s="8" t="s">
        <v>22</v>
      </c>
      <c r="I380" s="8" t="s">
        <v>23</v>
      </c>
      <c r="J380" s="8" t="s">
        <v>18</v>
      </c>
      <c r="K380" s="8" t="s">
        <v>19</v>
      </c>
      <c r="L380" s="8" t="str">
        <f t="shared" si="12"/>
        <v>Senior</v>
      </c>
      <c r="M380" s="8" t="str">
        <f t="shared" si="13"/>
        <v>OK</v>
      </c>
      <c r="N380" s="9">
        <f>VLOOKUP(B380,Questions!$K$2:$L$7,2,FALSE)</f>
        <v>80</v>
      </c>
    </row>
    <row r="381" spans="1:14">
      <c r="A381" s="8" t="s">
        <v>285</v>
      </c>
      <c r="B381" s="8">
        <v>9</v>
      </c>
      <c r="C381" s="8" t="s">
        <v>13</v>
      </c>
      <c r="D381" s="8">
        <v>126</v>
      </c>
      <c r="E381" s="8" t="s">
        <v>14</v>
      </c>
      <c r="F381" s="8">
        <v>14</v>
      </c>
      <c r="G381" s="8" t="s">
        <v>15</v>
      </c>
      <c r="H381" s="8" t="s">
        <v>22</v>
      </c>
      <c r="I381" s="8" t="s">
        <v>17</v>
      </c>
      <c r="J381" s="8" t="s">
        <v>49</v>
      </c>
      <c r="K381" s="8" t="s">
        <v>28</v>
      </c>
      <c r="L381" s="8" t="str">
        <f t="shared" si="12"/>
        <v>Senior</v>
      </c>
      <c r="M381" s="8" t="str">
        <f t="shared" si="13"/>
        <v>OK</v>
      </c>
      <c r="N381" s="9">
        <f>VLOOKUP(B381,Questions!$K$2:$L$7,2,FALSE)</f>
        <v>80</v>
      </c>
    </row>
    <row r="382" spans="1:14">
      <c r="A382" s="8" t="s">
        <v>410</v>
      </c>
      <c r="B382" s="8">
        <v>9</v>
      </c>
      <c r="C382" s="8" t="s">
        <v>13</v>
      </c>
      <c r="D382" s="8">
        <v>141</v>
      </c>
      <c r="E382" s="8" t="s">
        <v>27</v>
      </c>
      <c r="F382" s="8">
        <v>14</v>
      </c>
      <c r="G382" s="8" t="s">
        <v>15</v>
      </c>
      <c r="H382" s="8" t="s">
        <v>16</v>
      </c>
      <c r="I382" s="8" t="s">
        <v>23</v>
      </c>
      <c r="J382" s="8" t="s">
        <v>28</v>
      </c>
      <c r="K382" s="8" t="s">
        <v>31</v>
      </c>
      <c r="L382" s="8" t="str">
        <f t="shared" si="12"/>
        <v>Senior</v>
      </c>
      <c r="M382" s="8" t="str">
        <f t="shared" si="13"/>
        <v>OK</v>
      </c>
      <c r="N382" s="9">
        <f>VLOOKUP(B382,Questions!$K$2:$L$7,2,FALSE)</f>
        <v>80</v>
      </c>
    </row>
    <row r="383" spans="1:14">
      <c r="A383" s="8" t="s">
        <v>416</v>
      </c>
      <c r="B383" s="8">
        <v>9</v>
      </c>
      <c r="C383" s="8" t="s">
        <v>13</v>
      </c>
      <c r="D383" s="8">
        <v>145</v>
      </c>
      <c r="E383" s="8" t="s">
        <v>27</v>
      </c>
      <c r="F383" s="8">
        <v>15</v>
      </c>
      <c r="G383" s="8" t="s">
        <v>33</v>
      </c>
      <c r="H383" s="8" t="s">
        <v>16</v>
      </c>
      <c r="I383" s="8" t="s">
        <v>17</v>
      </c>
      <c r="J383" s="8" t="s">
        <v>28</v>
      </c>
      <c r="K383" s="8" t="s">
        <v>28</v>
      </c>
      <c r="L383" s="8" t="str">
        <f t="shared" si="12"/>
        <v>Senior</v>
      </c>
      <c r="M383" s="8" t="str">
        <f t="shared" si="13"/>
        <v>Pending</v>
      </c>
      <c r="N383" s="9">
        <f>VLOOKUP(B383,Questions!$K$2:$L$7,2,FALSE)</f>
        <v>80</v>
      </c>
    </row>
    <row r="384" spans="1:14">
      <c r="A384" s="8" t="s">
        <v>349</v>
      </c>
      <c r="B384" s="8">
        <v>9</v>
      </c>
      <c r="C384" s="8" t="s">
        <v>13</v>
      </c>
      <c r="D384" s="8">
        <v>146</v>
      </c>
      <c r="E384" s="8" t="s">
        <v>14</v>
      </c>
      <c r="F384" s="8">
        <v>15</v>
      </c>
      <c r="G384" s="8" t="s">
        <v>33</v>
      </c>
      <c r="H384" s="8" t="s">
        <v>16</v>
      </c>
      <c r="I384" s="8" t="s">
        <v>17</v>
      </c>
      <c r="J384" s="8" t="s">
        <v>28</v>
      </c>
      <c r="K384" s="8" t="s">
        <v>28</v>
      </c>
      <c r="L384" s="8" t="str">
        <f t="shared" si="12"/>
        <v>Senior</v>
      </c>
      <c r="M384" s="8" t="str">
        <f t="shared" si="13"/>
        <v>Pending</v>
      </c>
      <c r="N384" s="9">
        <f>VLOOKUP(B384,Questions!$K$2:$L$7,2,FALSE)</f>
        <v>80</v>
      </c>
    </row>
    <row r="385" spans="1:14">
      <c r="A385" s="8" t="s">
        <v>337</v>
      </c>
      <c r="B385" s="8">
        <v>9</v>
      </c>
      <c r="C385" s="8" t="s">
        <v>13</v>
      </c>
      <c r="D385" s="8">
        <v>165</v>
      </c>
      <c r="E385" s="8" t="s">
        <v>27</v>
      </c>
      <c r="F385" s="8">
        <v>15</v>
      </c>
      <c r="G385" s="8" t="s">
        <v>15</v>
      </c>
      <c r="H385" s="8" t="s">
        <v>16</v>
      </c>
      <c r="I385" s="8" t="s">
        <v>23</v>
      </c>
      <c r="J385" s="8" t="s">
        <v>30</v>
      </c>
      <c r="K385" s="8" t="s">
        <v>28</v>
      </c>
      <c r="L385" s="8" t="str">
        <f t="shared" si="12"/>
        <v>Senior</v>
      </c>
      <c r="M385" s="8" t="str">
        <f t="shared" si="13"/>
        <v>OK</v>
      </c>
      <c r="N385" s="9">
        <f>VLOOKUP(B385,Questions!$K$2:$L$7,2,FALSE)</f>
        <v>80</v>
      </c>
    </row>
    <row r="386" spans="1:14">
      <c r="A386" s="8" t="s">
        <v>54</v>
      </c>
      <c r="B386" s="8">
        <v>9</v>
      </c>
      <c r="C386" s="8" t="s">
        <v>13</v>
      </c>
      <c r="D386" s="8">
        <v>173</v>
      </c>
      <c r="E386" s="8" t="s">
        <v>14</v>
      </c>
      <c r="F386" s="8">
        <v>14</v>
      </c>
      <c r="G386" s="8" t="s">
        <v>15</v>
      </c>
      <c r="H386" s="8" t="s">
        <v>16</v>
      </c>
      <c r="I386" s="8" t="s">
        <v>23</v>
      </c>
      <c r="J386" s="8" t="s">
        <v>18</v>
      </c>
      <c r="K386" s="8" t="s">
        <v>31</v>
      </c>
      <c r="L386" s="8" t="str">
        <f t="shared" si="12"/>
        <v>Senior</v>
      </c>
      <c r="M386" s="8" t="str">
        <f t="shared" si="13"/>
        <v>OK</v>
      </c>
      <c r="N386" s="9">
        <f>VLOOKUP(B386,Questions!$K$2:$L$7,2,FALSE)</f>
        <v>80</v>
      </c>
    </row>
    <row r="387" spans="1:14">
      <c r="A387" s="8" t="s">
        <v>492</v>
      </c>
      <c r="B387" s="8">
        <v>9</v>
      </c>
      <c r="C387" s="8" t="s">
        <v>13</v>
      </c>
      <c r="D387" s="8">
        <v>176</v>
      </c>
      <c r="E387" s="8" t="s">
        <v>14</v>
      </c>
      <c r="F387" s="8">
        <v>15</v>
      </c>
      <c r="G387" s="8" t="s">
        <v>15</v>
      </c>
      <c r="H387" s="8" t="s">
        <v>22</v>
      </c>
      <c r="I387" s="8" t="s">
        <v>17</v>
      </c>
      <c r="J387" s="8" t="s">
        <v>28</v>
      </c>
      <c r="K387" s="8" t="s">
        <v>31</v>
      </c>
      <c r="L387" s="8" t="str">
        <f t="shared" ref="L387:L450" si="14">IF(B387&lt;=7,"Junior","Senior")</f>
        <v>Senior</v>
      </c>
      <c r="M387" s="8" t="str">
        <f t="shared" si="13"/>
        <v>OK</v>
      </c>
      <c r="N387" s="9">
        <f>VLOOKUP(B387,Questions!$K$2:$L$7,2,FALSE)</f>
        <v>80</v>
      </c>
    </row>
    <row r="388" spans="1:14">
      <c r="A388" s="8" t="s">
        <v>176</v>
      </c>
      <c r="B388" s="8">
        <v>9</v>
      </c>
      <c r="C388" s="8" t="s">
        <v>13</v>
      </c>
      <c r="D388" s="8">
        <v>181</v>
      </c>
      <c r="E388" s="8" t="s">
        <v>14</v>
      </c>
      <c r="F388" s="8">
        <v>15</v>
      </c>
      <c r="G388" s="8" t="s">
        <v>33</v>
      </c>
      <c r="H388" s="8" t="s">
        <v>22</v>
      </c>
      <c r="I388" s="8" t="s">
        <v>23</v>
      </c>
      <c r="J388" s="8" t="s">
        <v>18</v>
      </c>
      <c r="K388" s="8" t="s">
        <v>31</v>
      </c>
      <c r="L388" s="8" t="str">
        <f t="shared" si="14"/>
        <v>Senior</v>
      </c>
      <c r="M388" s="8" t="str">
        <f t="shared" ref="M388:M451" si="15">IF(G388="Paid","OK","Pending")</f>
        <v>Pending</v>
      </c>
      <c r="N388" s="9">
        <f>VLOOKUP(B388,Questions!$K$2:$L$7,2,FALSE)</f>
        <v>80</v>
      </c>
    </row>
    <row r="389" spans="1:14">
      <c r="A389" s="8" t="s">
        <v>574</v>
      </c>
      <c r="B389" s="8">
        <v>9</v>
      </c>
      <c r="C389" s="8" t="s">
        <v>13</v>
      </c>
      <c r="D389" s="8">
        <v>184</v>
      </c>
      <c r="E389" s="8" t="s">
        <v>27</v>
      </c>
      <c r="F389" s="8">
        <v>14</v>
      </c>
      <c r="G389" s="8" t="s">
        <v>33</v>
      </c>
      <c r="H389" s="8" t="s">
        <v>22</v>
      </c>
      <c r="I389" s="8" t="s">
        <v>23</v>
      </c>
      <c r="J389" s="8" t="s">
        <v>49</v>
      </c>
      <c r="K389" s="8" t="s">
        <v>19</v>
      </c>
      <c r="L389" s="8" t="str">
        <f t="shared" si="14"/>
        <v>Senior</v>
      </c>
      <c r="M389" s="8" t="str">
        <f t="shared" si="15"/>
        <v>Pending</v>
      </c>
      <c r="N389" s="9">
        <f>VLOOKUP(B389,Questions!$K$2:$L$7,2,FALSE)</f>
        <v>80</v>
      </c>
    </row>
    <row r="390" spans="1:14">
      <c r="A390" s="8" t="s">
        <v>282</v>
      </c>
      <c r="B390" s="8">
        <v>9</v>
      </c>
      <c r="C390" s="8" t="s">
        <v>13</v>
      </c>
      <c r="D390" s="8">
        <v>195</v>
      </c>
      <c r="E390" s="8" t="s">
        <v>14</v>
      </c>
      <c r="F390" s="8">
        <v>14</v>
      </c>
      <c r="G390" s="8" t="s">
        <v>33</v>
      </c>
      <c r="H390" s="8" t="s">
        <v>22</v>
      </c>
      <c r="I390" s="8" t="s">
        <v>23</v>
      </c>
      <c r="J390" s="8" t="s">
        <v>30</v>
      </c>
      <c r="K390" s="8" t="s">
        <v>19</v>
      </c>
      <c r="L390" s="8" t="str">
        <f t="shared" si="14"/>
        <v>Senior</v>
      </c>
      <c r="M390" s="8" t="str">
        <f t="shared" si="15"/>
        <v>Pending</v>
      </c>
      <c r="N390" s="9">
        <f>VLOOKUP(B390,Questions!$K$2:$L$7,2,FALSE)</f>
        <v>80</v>
      </c>
    </row>
    <row r="391" spans="1:14">
      <c r="A391" s="8" t="s">
        <v>199</v>
      </c>
      <c r="B391" s="8">
        <v>9</v>
      </c>
      <c r="C391" s="8" t="s">
        <v>13</v>
      </c>
      <c r="D391" s="8">
        <v>198</v>
      </c>
      <c r="E391" s="8" t="s">
        <v>27</v>
      </c>
      <c r="F391" s="8">
        <v>15</v>
      </c>
      <c r="G391" s="8" t="s">
        <v>15</v>
      </c>
      <c r="H391" s="8" t="s">
        <v>22</v>
      </c>
      <c r="I391" s="8" t="s">
        <v>23</v>
      </c>
      <c r="J391" s="8" t="s">
        <v>28</v>
      </c>
      <c r="K391" s="8" t="s">
        <v>42</v>
      </c>
      <c r="L391" s="8" t="str">
        <f t="shared" si="14"/>
        <v>Senior</v>
      </c>
      <c r="M391" s="8" t="str">
        <f t="shared" si="15"/>
        <v>OK</v>
      </c>
      <c r="N391" s="9">
        <f>VLOOKUP(B391,Questions!$K$2:$L$7,2,FALSE)</f>
        <v>80</v>
      </c>
    </row>
    <row r="392" spans="1:14">
      <c r="A392" s="8" t="s">
        <v>235</v>
      </c>
      <c r="B392" s="8">
        <v>9</v>
      </c>
      <c r="C392" s="8" t="s">
        <v>13</v>
      </c>
      <c r="D392" s="8">
        <v>199</v>
      </c>
      <c r="E392" s="8" t="s">
        <v>14</v>
      </c>
      <c r="F392" s="8">
        <v>15</v>
      </c>
      <c r="G392" s="8" t="s">
        <v>15</v>
      </c>
      <c r="H392" s="8" t="s">
        <v>22</v>
      </c>
      <c r="I392" s="8" t="s">
        <v>23</v>
      </c>
      <c r="J392" s="8" t="s">
        <v>28</v>
      </c>
      <c r="K392" s="8" t="s">
        <v>19</v>
      </c>
      <c r="L392" s="8" t="str">
        <f t="shared" si="14"/>
        <v>Senior</v>
      </c>
      <c r="M392" s="8" t="str">
        <f t="shared" si="15"/>
        <v>OK</v>
      </c>
      <c r="N392" s="9">
        <f>VLOOKUP(B392,Questions!$K$2:$L$7,2,FALSE)</f>
        <v>80</v>
      </c>
    </row>
    <row r="393" spans="1:14">
      <c r="A393" s="8" t="s">
        <v>60</v>
      </c>
      <c r="B393" s="8">
        <v>9</v>
      </c>
      <c r="C393" s="8" t="s">
        <v>37</v>
      </c>
      <c r="D393" s="8">
        <v>14</v>
      </c>
      <c r="E393" s="8" t="s">
        <v>27</v>
      </c>
      <c r="F393" s="8">
        <v>14</v>
      </c>
      <c r="G393" s="8" t="s">
        <v>33</v>
      </c>
      <c r="H393" s="8" t="s">
        <v>16</v>
      </c>
      <c r="I393" s="8" t="s">
        <v>23</v>
      </c>
      <c r="J393" s="8" t="s">
        <v>30</v>
      </c>
      <c r="K393" s="8" t="s">
        <v>28</v>
      </c>
      <c r="L393" s="8" t="str">
        <f t="shared" si="14"/>
        <v>Senior</v>
      </c>
      <c r="M393" s="8" t="str">
        <f t="shared" si="15"/>
        <v>Pending</v>
      </c>
      <c r="N393" s="9">
        <f>VLOOKUP(B393,Questions!$K$2:$L$7,2,FALSE)</f>
        <v>80</v>
      </c>
    </row>
    <row r="394" spans="1:14">
      <c r="A394" s="8" t="s">
        <v>197</v>
      </c>
      <c r="B394" s="8">
        <v>9</v>
      </c>
      <c r="C394" s="8" t="s">
        <v>37</v>
      </c>
      <c r="D394" s="8">
        <v>22</v>
      </c>
      <c r="E394" s="8" t="s">
        <v>27</v>
      </c>
      <c r="F394" s="8">
        <v>14</v>
      </c>
      <c r="G394" s="8" t="s">
        <v>15</v>
      </c>
      <c r="H394" s="8" t="s">
        <v>22</v>
      </c>
      <c r="I394" s="8" t="s">
        <v>23</v>
      </c>
      <c r="J394" s="8" t="s">
        <v>28</v>
      </c>
      <c r="K394" s="8" t="s">
        <v>31</v>
      </c>
      <c r="L394" s="8" t="str">
        <f t="shared" si="14"/>
        <v>Senior</v>
      </c>
      <c r="M394" s="8" t="str">
        <f t="shared" si="15"/>
        <v>OK</v>
      </c>
      <c r="N394" s="9">
        <f>VLOOKUP(B394,Questions!$K$2:$L$7,2,FALSE)</f>
        <v>80</v>
      </c>
    </row>
    <row r="395" spans="1:14">
      <c r="A395" s="8" t="s">
        <v>402</v>
      </c>
      <c r="B395" s="8">
        <v>9</v>
      </c>
      <c r="C395" s="8" t="s">
        <v>37</v>
      </c>
      <c r="D395" s="8">
        <v>23</v>
      </c>
      <c r="E395" s="8" t="s">
        <v>14</v>
      </c>
      <c r="F395" s="8">
        <v>14</v>
      </c>
      <c r="G395" s="8" t="s">
        <v>15</v>
      </c>
      <c r="H395" s="8" t="s">
        <v>22</v>
      </c>
      <c r="I395" s="8" t="s">
        <v>23</v>
      </c>
      <c r="J395" s="8" t="s">
        <v>28</v>
      </c>
      <c r="K395" s="8" t="s">
        <v>28</v>
      </c>
      <c r="L395" s="8" t="str">
        <f t="shared" si="14"/>
        <v>Senior</v>
      </c>
      <c r="M395" s="8" t="str">
        <f t="shared" si="15"/>
        <v>OK</v>
      </c>
      <c r="N395" s="9">
        <f>VLOOKUP(B395,Questions!$K$2:$L$7,2,FALSE)</f>
        <v>80</v>
      </c>
    </row>
    <row r="396" spans="1:14">
      <c r="A396" s="8" t="s">
        <v>224</v>
      </c>
      <c r="B396" s="8">
        <v>9</v>
      </c>
      <c r="C396" s="8" t="s">
        <v>37</v>
      </c>
      <c r="D396" s="8">
        <v>35</v>
      </c>
      <c r="E396" s="8" t="s">
        <v>14</v>
      </c>
      <c r="F396" s="8">
        <v>14</v>
      </c>
      <c r="G396" s="8" t="s">
        <v>33</v>
      </c>
      <c r="H396" s="8" t="s">
        <v>22</v>
      </c>
      <c r="I396" s="8" t="s">
        <v>23</v>
      </c>
      <c r="J396" s="8" t="s">
        <v>24</v>
      </c>
      <c r="K396" s="8" t="s">
        <v>31</v>
      </c>
      <c r="L396" s="8" t="str">
        <f t="shared" si="14"/>
        <v>Senior</v>
      </c>
      <c r="M396" s="8" t="str">
        <f t="shared" si="15"/>
        <v>Pending</v>
      </c>
      <c r="N396" s="9">
        <f>VLOOKUP(B396,Questions!$K$2:$L$7,2,FALSE)</f>
        <v>80</v>
      </c>
    </row>
    <row r="397" spans="1:14">
      <c r="A397" s="8" t="s">
        <v>213</v>
      </c>
      <c r="B397" s="8">
        <v>9</v>
      </c>
      <c r="C397" s="8" t="s">
        <v>37</v>
      </c>
      <c r="D397" s="8">
        <v>38</v>
      </c>
      <c r="E397" s="8" t="s">
        <v>27</v>
      </c>
      <c r="F397" s="8">
        <v>14</v>
      </c>
      <c r="G397" s="8" t="s">
        <v>15</v>
      </c>
      <c r="H397" s="8" t="s">
        <v>16</v>
      </c>
      <c r="I397" s="8" t="s">
        <v>23</v>
      </c>
      <c r="J397" s="8" t="s">
        <v>24</v>
      </c>
      <c r="K397" s="8" t="s">
        <v>42</v>
      </c>
      <c r="L397" s="8" t="str">
        <f t="shared" si="14"/>
        <v>Senior</v>
      </c>
      <c r="M397" s="8" t="str">
        <f t="shared" si="15"/>
        <v>OK</v>
      </c>
      <c r="N397" s="9">
        <f>VLOOKUP(B397,Questions!$K$2:$L$7,2,FALSE)</f>
        <v>80</v>
      </c>
    </row>
    <row r="398" spans="1:14">
      <c r="A398" s="8" t="s">
        <v>341</v>
      </c>
      <c r="B398" s="8">
        <v>9</v>
      </c>
      <c r="C398" s="8" t="s">
        <v>37</v>
      </c>
      <c r="D398" s="8">
        <v>39</v>
      </c>
      <c r="E398" s="8" t="s">
        <v>27</v>
      </c>
      <c r="F398" s="8">
        <v>14</v>
      </c>
      <c r="G398" s="8" t="s">
        <v>33</v>
      </c>
      <c r="H398" s="8" t="s">
        <v>22</v>
      </c>
      <c r="I398" s="8" t="s">
        <v>17</v>
      </c>
      <c r="J398" s="8" t="s">
        <v>49</v>
      </c>
      <c r="K398" s="8" t="s">
        <v>31</v>
      </c>
      <c r="L398" s="8" t="str">
        <f t="shared" si="14"/>
        <v>Senior</v>
      </c>
      <c r="M398" s="8" t="str">
        <f t="shared" si="15"/>
        <v>Pending</v>
      </c>
      <c r="N398" s="9">
        <f>VLOOKUP(B398,Questions!$K$2:$L$7,2,FALSE)</f>
        <v>80</v>
      </c>
    </row>
    <row r="399" spans="1:14">
      <c r="A399" s="8" t="s">
        <v>415</v>
      </c>
      <c r="B399" s="8">
        <v>9</v>
      </c>
      <c r="C399" s="8" t="s">
        <v>37</v>
      </c>
      <c r="D399" s="8">
        <v>45</v>
      </c>
      <c r="E399" s="8" t="s">
        <v>14</v>
      </c>
      <c r="F399" s="8">
        <v>15</v>
      </c>
      <c r="G399" s="8" t="s">
        <v>33</v>
      </c>
      <c r="H399" s="8" t="s">
        <v>22</v>
      </c>
      <c r="I399" s="8" t="s">
        <v>17</v>
      </c>
      <c r="J399" s="8" t="s">
        <v>28</v>
      </c>
      <c r="K399" s="8" t="s">
        <v>31</v>
      </c>
      <c r="L399" s="8" t="str">
        <f t="shared" si="14"/>
        <v>Senior</v>
      </c>
      <c r="M399" s="8" t="str">
        <f t="shared" si="15"/>
        <v>Pending</v>
      </c>
      <c r="N399" s="9">
        <f>VLOOKUP(B399,Questions!$K$2:$L$7,2,FALSE)</f>
        <v>80</v>
      </c>
    </row>
    <row r="400" spans="1:14">
      <c r="A400" s="8" t="s">
        <v>176</v>
      </c>
      <c r="B400" s="8">
        <v>9</v>
      </c>
      <c r="C400" s="8" t="s">
        <v>37</v>
      </c>
      <c r="D400" s="8">
        <v>49</v>
      </c>
      <c r="E400" s="8" t="s">
        <v>14</v>
      </c>
      <c r="F400" s="8">
        <v>14</v>
      </c>
      <c r="G400" s="8" t="s">
        <v>33</v>
      </c>
      <c r="H400" s="8" t="s">
        <v>22</v>
      </c>
      <c r="I400" s="8" t="s">
        <v>23</v>
      </c>
      <c r="J400" s="8" t="s">
        <v>18</v>
      </c>
      <c r="K400" s="8" t="s">
        <v>28</v>
      </c>
      <c r="L400" s="8" t="str">
        <f t="shared" si="14"/>
        <v>Senior</v>
      </c>
      <c r="M400" s="8" t="str">
        <f t="shared" si="15"/>
        <v>Pending</v>
      </c>
      <c r="N400" s="9">
        <f>VLOOKUP(B400,Questions!$K$2:$L$7,2,FALSE)</f>
        <v>80</v>
      </c>
    </row>
    <row r="401" spans="1:14">
      <c r="A401" s="8" t="s">
        <v>135</v>
      </c>
      <c r="B401" s="8">
        <v>9</v>
      </c>
      <c r="C401" s="8" t="s">
        <v>37</v>
      </c>
      <c r="D401" s="8">
        <v>51</v>
      </c>
      <c r="E401" s="8" t="s">
        <v>27</v>
      </c>
      <c r="F401" s="8">
        <v>15</v>
      </c>
      <c r="G401" s="8" t="s">
        <v>33</v>
      </c>
      <c r="H401" s="8" t="s">
        <v>22</v>
      </c>
      <c r="I401" s="8" t="s">
        <v>23</v>
      </c>
      <c r="J401" s="8" t="s">
        <v>24</v>
      </c>
      <c r="K401" s="8" t="s">
        <v>31</v>
      </c>
      <c r="L401" s="8" t="str">
        <f t="shared" si="14"/>
        <v>Senior</v>
      </c>
      <c r="M401" s="8" t="str">
        <f t="shared" si="15"/>
        <v>Pending</v>
      </c>
      <c r="N401" s="9">
        <f>VLOOKUP(B401,Questions!$K$2:$L$7,2,FALSE)</f>
        <v>80</v>
      </c>
    </row>
    <row r="402" spans="1:14">
      <c r="A402" s="8" t="s">
        <v>502</v>
      </c>
      <c r="B402" s="8">
        <v>9</v>
      </c>
      <c r="C402" s="8" t="s">
        <v>37</v>
      </c>
      <c r="D402" s="8">
        <v>52</v>
      </c>
      <c r="E402" s="8" t="s">
        <v>27</v>
      </c>
      <c r="F402" s="8">
        <v>15</v>
      </c>
      <c r="G402" s="8" t="s">
        <v>33</v>
      </c>
      <c r="H402" s="8" t="s">
        <v>16</v>
      </c>
      <c r="I402" s="8" t="s">
        <v>23</v>
      </c>
      <c r="J402" s="8" t="s">
        <v>49</v>
      </c>
      <c r="K402" s="8" t="s">
        <v>28</v>
      </c>
      <c r="L402" s="8" t="str">
        <f t="shared" si="14"/>
        <v>Senior</v>
      </c>
      <c r="M402" s="8" t="str">
        <f t="shared" si="15"/>
        <v>Pending</v>
      </c>
      <c r="N402" s="9">
        <f>VLOOKUP(B402,Questions!$K$2:$L$7,2,FALSE)</f>
        <v>80</v>
      </c>
    </row>
    <row r="403" spans="1:14">
      <c r="A403" s="8" t="s">
        <v>165</v>
      </c>
      <c r="B403" s="8">
        <v>9</v>
      </c>
      <c r="C403" s="8" t="s">
        <v>37</v>
      </c>
      <c r="D403" s="8">
        <v>54</v>
      </c>
      <c r="E403" s="8" t="s">
        <v>14</v>
      </c>
      <c r="F403" s="8">
        <v>15</v>
      </c>
      <c r="G403" s="8" t="s">
        <v>15</v>
      </c>
      <c r="H403" s="8" t="s">
        <v>16</v>
      </c>
      <c r="I403" s="8" t="s">
        <v>23</v>
      </c>
      <c r="J403" s="8" t="s">
        <v>28</v>
      </c>
      <c r="K403" s="8" t="s">
        <v>19</v>
      </c>
      <c r="L403" s="8" t="str">
        <f t="shared" si="14"/>
        <v>Senior</v>
      </c>
      <c r="M403" s="8" t="str">
        <f t="shared" si="15"/>
        <v>OK</v>
      </c>
      <c r="N403" s="9">
        <f>VLOOKUP(B403,Questions!$K$2:$L$7,2,FALSE)</f>
        <v>80</v>
      </c>
    </row>
    <row r="404" spans="1:14">
      <c r="A404" s="8" t="s">
        <v>222</v>
      </c>
      <c r="B404" s="8">
        <v>9</v>
      </c>
      <c r="C404" s="8" t="s">
        <v>37</v>
      </c>
      <c r="D404" s="8">
        <v>66</v>
      </c>
      <c r="E404" s="8" t="s">
        <v>27</v>
      </c>
      <c r="F404" s="8">
        <v>15</v>
      </c>
      <c r="G404" s="8" t="s">
        <v>33</v>
      </c>
      <c r="H404" s="8" t="s">
        <v>16</v>
      </c>
      <c r="I404" s="8" t="s">
        <v>23</v>
      </c>
      <c r="J404" s="8" t="s">
        <v>28</v>
      </c>
      <c r="K404" s="8" t="s">
        <v>19</v>
      </c>
      <c r="L404" s="8" t="str">
        <f t="shared" si="14"/>
        <v>Senior</v>
      </c>
      <c r="M404" s="8" t="str">
        <f t="shared" si="15"/>
        <v>Pending</v>
      </c>
      <c r="N404" s="9">
        <f>VLOOKUP(B404,Questions!$K$2:$L$7,2,FALSE)</f>
        <v>80</v>
      </c>
    </row>
    <row r="405" spans="1:14">
      <c r="A405" s="8" t="s">
        <v>41</v>
      </c>
      <c r="B405" s="8">
        <v>9</v>
      </c>
      <c r="C405" s="8" t="s">
        <v>37</v>
      </c>
      <c r="D405" s="8">
        <v>68</v>
      </c>
      <c r="E405" s="8" t="s">
        <v>14</v>
      </c>
      <c r="F405" s="8">
        <v>15</v>
      </c>
      <c r="G405" s="8" t="s">
        <v>33</v>
      </c>
      <c r="H405" s="8" t="s">
        <v>22</v>
      </c>
      <c r="I405" s="8" t="s">
        <v>23</v>
      </c>
      <c r="J405" s="8" t="s">
        <v>24</v>
      </c>
      <c r="K405" s="8" t="s">
        <v>42</v>
      </c>
      <c r="L405" s="8" t="str">
        <f t="shared" si="14"/>
        <v>Senior</v>
      </c>
      <c r="M405" s="8" t="str">
        <f t="shared" si="15"/>
        <v>Pending</v>
      </c>
      <c r="N405" s="9">
        <f>VLOOKUP(B405,Questions!$K$2:$L$7,2,FALSE)</f>
        <v>80</v>
      </c>
    </row>
    <row r="406" spans="1:14">
      <c r="A406" s="8" t="s">
        <v>255</v>
      </c>
      <c r="B406" s="8">
        <v>9</v>
      </c>
      <c r="C406" s="8" t="s">
        <v>37</v>
      </c>
      <c r="D406" s="8">
        <v>77</v>
      </c>
      <c r="E406" s="8" t="s">
        <v>27</v>
      </c>
      <c r="F406" s="8">
        <v>15</v>
      </c>
      <c r="G406" s="8" t="s">
        <v>33</v>
      </c>
      <c r="H406" s="8" t="s">
        <v>16</v>
      </c>
      <c r="I406" s="8" t="s">
        <v>17</v>
      </c>
      <c r="J406" s="8" t="s">
        <v>49</v>
      </c>
      <c r="K406" s="8" t="s">
        <v>31</v>
      </c>
      <c r="L406" s="8" t="str">
        <f t="shared" si="14"/>
        <v>Senior</v>
      </c>
      <c r="M406" s="8" t="str">
        <f t="shared" si="15"/>
        <v>Pending</v>
      </c>
      <c r="N406" s="9">
        <f>VLOOKUP(B406,Questions!$K$2:$L$7,2,FALSE)</f>
        <v>80</v>
      </c>
    </row>
    <row r="407" spans="1:14">
      <c r="A407" s="8" t="s">
        <v>40</v>
      </c>
      <c r="B407" s="8">
        <v>9</v>
      </c>
      <c r="C407" s="8" t="s">
        <v>37</v>
      </c>
      <c r="D407" s="8">
        <v>96</v>
      </c>
      <c r="E407" s="8" t="s">
        <v>14</v>
      </c>
      <c r="F407" s="8">
        <v>14</v>
      </c>
      <c r="G407" s="8" t="s">
        <v>15</v>
      </c>
      <c r="H407" s="8" t="s">
        <v>22</v>
      </c>
      <c r="I407" s="8" t="s">
        <v>23</v>
      </c>
      <c r="J407" s="8" t="s">
        <v>28</v>
      </c>
      <c r="K407" s="8" t="s">
        <v>28</v>
      </c>
      <c r="L407" s="8" t="str">
        <f t="shared" si="14"/>
        <v>Senior</v>
      </c>
      <c r="M407" s="8" t="str">
        <f t="shared" si="15"/>
        <v>OK</v>
      </c>
      <c r="N407" s="9">
        <f>VLOOKUP(B407,Questions!$K$2:$L$7,2,FALSE)</f>
        <v>80</v>
      </c>
    </row>
    <row r="408" spans="1:14">
      <c r="A408" s="8" t="s">
        <v>339</v>
      </c>
      <c r="B408" s="8">
        <v>9</v>
      </c>
      <c r="C408" s="8" t="s">
        <v>37</v>
      </c>
      <c r="D408" s="8">
        <v>100</v>
      </c>
      <c r="E408" s="8" t="s">
        <v>14</v>
      </c>
      <c r="F408" s="8">
        <v>14</v>
      </c>
      <c r="G408" s="8" t="s">
        <v>15</v>
      </c>
      <c r="H408" s="8" t="s">
        <v>16</v>
      </c>
      <c r="I408" s="8" t="s">
        <v>23</v>
      </c>
      <c r="J408" s="8" t="s">
        <v>24</v>
      </c>
      <c r="K408" s="8" t="s">
        <v>28</v>
      </c>
      <c r="L408" s="8" t="str">
        <f t="shared" si="14"/>
        <v>Senior</v>
      </c>
      <c r="M408" s="8" t="str">
        <f t="shared" si="15"/>
        <v>OK</v>
      </c>
      <c r="N408" s="9">
        <f>VLOOKUP(B408,Questions!$K$2:$L$7,2,FALSE)</f>
        <v>80</v>
      </c>
    </row>
    <row r="409" spans="1:14">
      <c r="A409" s="8" t="s">
        <v>551</v>
      </c>
      <c r="B409" s="8">
        <v>9</v>
      </c>
      <c r="C409" s="8" t="s">
        <v>37</v>
      </c>
      <c r="D409" s="8">
        <v>111</v>
      </c>
      <c r="E409" s="8" t="s">
        <v>14</v>
      </c>
      <c r="F409" s="8">
        <v>15</v>
      </c>
      <c r="G409" s="8" t="s">
        <v>15</v>
      </c>
      <c r="H409" s="8" t="s">
        <v>16</v>
      </c>
      <c r="I409" s="8" t="s">
        <v>17</v>
      </c>
      <c r="J409" s="8" t="s">
        <v>28</v>
      </c>
      <c r="K409" s="8" t="s">
        <v>31</v>
      </c>
      <c r="L409" s="8" t="str">
        <f t="shared" si="14"/>
        <v>Senior</v>
      </c>
      <c r="M409" s="8" t="str">
        <f t="shared" si="15"/>
        <v>OK</v>
      </c>
      <c r="N409" s="9">
        <f>VLOOKUP(B409,Questions!$K$2:$L$7,2,FALSE)</f>
        <v>80</v>
      </c>
    </row>
    <row r="410" spans="1:14">
      <c r="A410" s="8" t="s">
        <v>321</v>
      </c>
      <c r="B410" s="8">
        <v>9</v>
      </c>
      <c r="C410" s="8" t="s">
        <v>37</v>
      </c>
      <c r="D410" s="8">
        <v>112</v>
      </c>
      <c r="E410" s="8" t="s">
        <v>27</v>
      </c>
      <c r="F410" s="8">
        <v>14</v>
      </c>
      <c r="G410" s="8" t="s">
        <v>33</v>
      </c>
      <c r="H410" s="8" t="s">
        <v>16</v>
      </c>
      <c r="I410" s="8" t="s">
        <v>17</v>
      </c>
      <c r="J410" s="8" t="s">
        <v>24</v>
      </c>
      <c r="K410" s="8" t="s">
        <v>28</v>
      </c>
      <c r="L410" s="8" t="str">
        <f t="shared" si="14"/>
        <v>Senior</v>
      </c>
      <c r="M410" s="8" t="str">
        <f t="shared" si="15"/>
        <v>Pending</v>
      </c>
      <c r="N410" s="9">
        <f>VLOOKUP(B410,Questions!$K$2:$L$7,2,FALSE)</f>
        <v>80</v>
      </c>
    </row>
    <row r="411" spans="1:14">
      <c r="A411" s="8" t="s">
        <v>477</v>
      </c>
      <c r="B411" s="8">
        <v>9</v>
      </c>
      <c r="C411" s="8" t="s">
        <v>37</v>
      </c>
      <c r="D411" s="8">
        <v>116</v>
      </c>
      <c r="E411" s="8" t="s">
        <v>14</v>
      </c>
      <c r="F411" s="8">
        <v>15</v>
      </c>
      <c r="G411" s="8" t="s">
        <v>33</v>
      </c>
      <c r="H411" s="8" t="s">
        <v>22</v>
      </c>
      <c r="I411" s="8" t="s">
        <v>23</v>
      </c>
      <c r="J411" s="8" t="s">
        <v>24</v>
      </c>
      <c r="K411" s="8" t="s">
        <v>28</v>
      </c>
      <c r="L411" s="8" t="str">
        <f t="shared" si="14"/>
        <v>Senior</v>
      </c>
      <c r="M411" s="8" t="str">
        <f t="shared" si="15"/>
        <v>Pending</v>
      </c>
      <c r="N411" s="9">
        <f>VLOOKUP(B411,Questions!$K$2:$L$7,2,FALSE)</f>
        <v>80</v>
      </c>
    </row>
    <row r="412" spans="1:14">
      <c r="A412" s="8" t="s">
        <v>571</v>
      </c>
      <c r="B412" s="8">
        <v>9</v>
      </c>
      <c r="C412" s="8" t="s">
        <v>37</v>
      </c>
      <c r="D412" s="8">
        <v>122</v>
      </c>
      <c r="E412" s="8" t="s">
        <v>27</v>
      </c>
      <c r="F412" s="8">
        <v>15</v>
      </c>
      <c r="G412" s="8" t="s">
        <v>33</v>
      </c>
      <c r="H412" s="8" t="s">
        <v>16</v>
      </c>
      <c r="I412" s="8" t="s">
        <v>17</v>
      </c>
      <c r="J412" s="8" t="s">
        <v>28</v>
      </c>
      <c r="K412" s="8" t="s">
        <v>42</v>
      </c>
      <c r="L412" s="8" t="str">
        <f t="shared" si="14"/>
        <v>Senior</v>
      </c>
      <c r="M412" s="8" t="str">
        <f t="shared" si="15"/>
        <v>Pending</v>
      </c>
      <c r="N412" s="9">
        <f>VLOOKUP(B412,Questions!$K$2:$L$7,2,FALSE)</f>
        <v>80</v>
      </c>
    </row>
    <row r="413" spans="1:14">
      <c r="A413" s="8" t="s">
        <v>607</v>
      </c>
      <c r="B413" s="8">
        <v>9</v>
      </c>
      <c r="C413" s="8" t="s">
        <v>37</v>
      </c>
      <c r="D413" s="8">
        <v>127</v>
      </c>
      <c r="E413" s="8" t="s">
        <v>14</v>
      </c>
      <c r="F413" s="8">
        <v>15</v>
      </c>
      <c r="G413" s="8" t="s">
        <v>33</v>
      </c>
      <c r="H413" s="8" t="s">
        <v>16</v>
      </c>
      <c r="I413" s="8" t="s">
        <v>23</v>
      </c>
      <c r="J413" s="8" t="s">
        <v>49</v>
      </c>
      <c r="K413" s="8" t="s">
        <v>28</v>
      </c>
      <c r="L413" s="8" t="str">
        <f t="shared" si="14"/>
        <v>Senior</v>
      </c>
      <c r="M413" s="8" t="str">
        <f t="shared" si="15"/>
        <v>Pending</v>
      </c>
      <c r="N413" s="9">
        <f>VLOOKUP(B413,Questions!$K$2:$L$7,2,FALSE)</f>
        <v>80</v>
      </c>
    </row>
    <row r="414" spans="1:14">
      <c r="A414" s="8" t="s">
        <v>85</v>
      </c>
      <c r="B414" s="8">
        <v>9</v>
      </c>
      <c r="C414" s="8" t="s">
        <v>37</v>
      </c>
      <c r="D414" s="8">
        <v>128</v>
      </c>
      <c r="E414" s="8" t="s">
        <v>14</v>
      </c>
      <c r="F414" s="8">
        <v>14</v>
      </c>
      <c r="G414" s="8" t="s">
        <v>15</v>
      </c>
      <c r="H414" s="8" t="s">
        <v>22</v>
      </c>
      <c r="I414" s="8" t="s">
        <v>17</v>
      </c>
      <c r="J414" s="8" t="s">
        <v>30</v>
      </c>
      <c r="K414" s="8" t="s">
        <v>19</v>
      </c>
      <c r="L414" s="8" t="str">
        <f t="shared" si="14"/>
        <v>Senior</v>
      </c>
      <c r="M414" s="8" t="str">
        <f t="shared" si="15"/>
        <v>OK</v>
      </c>
      <c r="N414" s="9">
        <f>VLOOKUP(B414,Questions!$K$2:$L$7,2,FALSE)</f>
        <v>80</v>
      </c>
    </row>
    <row r="415" spans="1:14">
      <c r="A415" s="8" t="s">
        <v>122</v>
      </c>
      <c r="B415" s="8">
        <v>9</v>
      </c>
      <c r="C415" s="8" t="s">
        <v>37</v>
      </c>
      <c r="D415" s="8">
        <v>130</v>
      </c>
      <c r="E415" s="8" t="s">
        <v>14</v>
      </c>
      <c r="F415" s="8">
        <v>15</v>
      </c>
      <c r="G415" s="8" t="s">
        <v>15</v>
      </c>
      <c r="H415" s="8" t="s">
        <v>16</v>
      </c>
      <c r="I415" s="8" t="s">
        <v>17</v>
      </c>
      <c r="J415" s="8" t="s">
        <v>30</v>
      </c>
      <c r="K415" s="8" t="s">
        <v>31</v>
      </c>
      <c r="L415" s="8" t="str">
        <f t="shared" si="14"/>
        <v>Senior</v>
      </c>
      <c r="M415" s="8" t="str">
        <f t="shared" si="15"/>
        <v>OK</v>
      </c>
      <c r="N415" s="9">
        <f>VLOOKUP(B415,Questions!$K$2:$L$7,2,FALSE)</f>
        <v>80</v>
      </c>
    </row>
    <row r="416" spans="1:14">
      <c r="A416" s="8" t="s">
        <v>388</v>
      </c>
      <c r="B416" s="8">
        <v>9</v>
      </c>
      <c r="C416" s="8" t="s">
        <v>37</v>
      </c>
      <c r="D416" s="8">
        <v>136</v>
      </c>
      <c r="E416" s="8" t="s">
        <v>27</v>
      </c>
      <c r="F416" s="8">
        <v>14</v>
      </c>
      <c r="G416" s="8" t="s">
        <v>15</v>
      </c>
      <c r="H416" s="8" t="s">
        <v>16</v>
      </c>
      <c r="I416" s="8" t="s">
        <v>17</v>
      </c>
      <c r="J416" s="8" t="s">
        <v>30</v>
      </c>
      <c r="K416" s="8" t="s">
        <v>28</v>
      </c>
      <c r="L416" s="8" t="str">
        <f t="shared" si="14"/>
        <v>Senior</v>
      </c>
      <c r="M416" s="8" t="str">
        <f t="shared" si="15"/>
        <v>OK</v>
      </c>
      <c r="N416" s="9">
        <f>VLOOKUP(B416,Questions!$K$2:$L$7,2,FALSE)</f>
        <v>80</v>
      </c>
    </row>
    <row r="417" spans="1:14">
      <c r="A417" s="8" t="s">
        <v>166</v>
      </c>
      <c r="B417" s="8">
        <v>9</v>
      </c>
      <c r="C417" s="8" t="s">
        <v>37</v>
      </c>
      <c r="D417" s="8">
        <v>147</v>
      </c>
      <c r="E417" s="8" t="s">
        <v>14</v>
      </c>
      <c r="F417" s="8">
        <v>14</v>
      </c>
      <c r="G417" s="8" t="s">
        <v>33</v>
      </c>
      <c r="H417" s="8" t="s">
        <v>16</v>
      </c>
      <c r="I417" s="8" t="s">
        <v>17</v>
      </c>
      <c r="J417" s="8" t="s">
        <v>28</v>
      </c>
      <c r="K417" s="8" t="s">
        <v>19</v>
      </c>
      <c r="L417" s="8" t="str">
        <f t="shared" si="14"/>
        <v>Senior</v>
      </c>
      <c r="M417" s="8" t="str">
        <f t="shared" si="15"/>
        <v>Pending</v>
      </c>
      <c r="N417" s="9">
        <f>VLOOKUP(B417,Questions!$K$2:$L$7,2,FALSE)</f>
        <v>80</v>
      </c>
    </row>
    <row r="418" spans="1:14">
      <c r="A418" s="8" t="s">
        <v>259</v>
      </c>
      <c r="B418" s="8">
        <v>9</v>
      </c>
      <c r="C418" s="8" t="s">
        <v>37</v>
      </c>
      <c r="D418" s="8">
        <v>157</v>
      </c>
      <c r="E418" s="8" t="s">
        <v>27</v>
      </c>
      <c r="F418" s="8">
        <v>15</v>
      </c>
      <c r="G418" s="8" t="s">
        <v>33</v>
      </c>
      <c r="H418" s="8" t="s">
        <v>22</v>
      </c>
      <c r="I418" s="8" t="s">
        <v>17</v>
      </c>
      <c r="J418" s="8" t="s">
        <v>28</v>
      </c>
      <c r="K418" s="8" t="s">
        <v>19</v>
      </c>
      <c r="L418" s="8" t="str">
        <f t="shared" si="14"/>
        <v>Senior</v>
      </c>
      <c r="M418" s="8" t="str">
        <f t="shared" si="15"/>
        <v>Pending</v>
      </c>
      <c r="N418" s="9">
        <f>VLOOKUP(B418,Questions!$K$2:$L$7,2,FALSE)</f>
        <v>80</v>
      </c>
    </row>
    <row r="419" spans="1:14">
      <c r="A419" s="8" t="s">
        <v>393</v>
      </c>
      <c r="B419" s="8">
        <v>9</v>
      </c>
      <c r="C419" s="8" t="s">
        <v>37</v>
      </c>
      <c r="D419" s="8">
        <v>158</v>
      </c>
      <c r="E419" s="8" t="s">
        <v>27</v>
      </c>
      <c r="F419" s="8">
        <v>15</v>
      </c>
      <c r="G419" s="8" t="s">
        <v>15</v>
      </c>
      <c r="H419" s="8" t="s">
        <v>22</v>
      </c>
      <c r="I419" s="8" t="s">
        <v>17</v>
      </c>
      <c r="J419" s="8" t="s">
        <v>24</v>
      </c>
      <c r="K419" s="8" t="s">
        <v>19</v>
      </c>
      <c r="L419" s="8" t="str">
        <f t="shared" si="14"/>
        <v>Senior</v>
      </c>
      <c r="M419" s="8" t="str">
        <f t="shared" si="15"/>
        <v>OK</v>
      </c>
      <c r="N419" s="9">
        <f>VLOOKUP(B419,Questions!$K$2:$L$7,2,FALSE)</f>
        <v>80</v>
      </c>
    </row>
    <row r="420" spans="1:14">
      <c r="A420" s="8" t="s">
        <v>506</v>
      </c>
      <c r="B420" s="8">
        <v>9</v>
      </c>
      <c r="C420" s="8" t="s">
        <v>37</v>
      </c>
      <c r="D420" s="8">
        <v>174</v>
      </c>
      <c r="E420" s="8" t="s">
        <v>14</v>
      </c>
      <c r="F420" s="8">
        <v>14</v>
      </c>
      <c r="G420" s="8" t="s">
        <v>33</v>
      </c>
      <c r="H420" s="8" t="s">
        <v>16</v>
      </c>
      <c r="I420" s="8" t="s">
        <v>17</v>
      </c>
      <c r="J420" s="8" t="s">
        <v>24</v>
      </c>
      <c r="K420" s="8" t="s">
        <v>28</v>
      </c>
      <c r="L420" s="8" t="str">
        <f t="shared" si="14"/>
        <v>Senior</v>
      </c>
      <c r="M420" s="8" t="str">
        <f t="shared" si="15"/>
        <v>Pending</v>
      </c>
      <c r="N420" s="9">
        <f>VLOOKUP(B420,Questions!$K$2:$L$7,2,FALSE)</f>
        <v>80</v>
      </c>
    </row>
    <row r="421" spans="1:14">
      <c r="A421" s="8" t="s">
        <v>124</v>
      </c>
      <c r="B421" s="8">
        <v>9</v>
      </c>
      <c r="C421" s="8" t="s">
        <v>37</v>
      </c>
      <c r="D421" s="8">
        <v>177</v>
      </c>
      <c r="E421" s="8" t="s">
        <v>27</v>
      </c>
      <c r="F421" s="8">
        <v>14</v>
      </c>
      <c r="G421" s="8" t="s">
        <v>33</v>
      </c>
      <c r="H421" s="8" t="s">
        <v>16</v>
      </c>
      <c r="I421" s="8" t="s">
        <v>17</v>
      </c>
      <c r="J421" s="8" t="s">
        <v>28</v>
      </c>
      <c r="K421" s="8" t="s">
        <v>31</v>
      </c>
      <c r="L421" s="8" t="str">
        <f t="shared" si="14"/>
        <v>Senior</v>
      </c>
      <c r="M421" s="8" t="str">
        <f t="shared" si="15"/>
        <v>Pending</v>
      </c>
      <c r="N421" s="9">
        <f>VLOOKUP(B421,Questions!$K$2:$L$7,2,FALSE)</f>
        <v>80</v>
      </c>
    </row>
    <row r="422" spans="1:14">
      <c r="A422" s="8" t="s">
        <v>78</v>
      </c>
      <c r="B422" s="8">
        <v>9</v>
      </c>
      <c r="C422" s="8" t="s">
        <v>37</v>
      </c>
      <c r="D422" s="8">
        <v>180</v>
      </c>
      <c r="E422" s="8" t="s">
        <v>27</v>
      </c>
      <c r="F422" s="8">
        <v>14</v>
      </c>
      <c r="G422" s="8" t="s">
        <v>15</v>
      </c>
      <c r="H422" s="8" t="s">
        <v>22</v>
      </c>
      <c r="I422" s="8" t="s">
        <v>17</v>
      </c>
      <c r="J422" s="8" t="s">
        <v>49</v>
      </c>
      <c r="K422" s="8" t="s">
        <v>28</v>
      </c>
      <c r="L422" s="8" t="str">
        <f t="shared" si="14"/>
        <v>Senior</v>
      </c>
      <c r="M422" s="8" t="str">
        <f t="shared" si="15"/>
        <v>OK</v>
      </c>
      <c r="N422" s="9">
        <f>VLOOKUP(B422,Questions!$K$2:$L$7,2,FALSE)</f>
        <v>80</v>
      </c>
    </row>
    <row r="423" spans="1:14">
      <c r="A423" s="8" t="s">
        <v>527</v>
      </c>
      <c r="B423" s="8">
        <v>9</v>
      </c>
      <c r="C423" s="8" t="s">
        <v>26</v>
      </c>
      <c r="D423" s="8">
        <v>2</v>
      </c>
      <c r="E423" s="8" t="s">
        <v>27</v>
      </c>
      <c r="F423" s="8">
        <v>14</v>
      </c>
      <c r="G423" s="8" t="s">
        <v>15</v>
      </c>
      <c r="H423" s="8" t="s">
        <v>16</v>
      </c>
      <c r="I423" s="8" t="s">
        <v>17</v>
      </c>
      <c r="J423" s="8" t="s">
        <v>28</v>
      </c>
      <c r="K423" s="8" t="s">
        <v>42</v>
      </c>
      <c r="L423" s="8" t="str">
        <f t="shared" si="14"/>
        <v>Senior</v>
      </c>
      <c r="M423" s="8" t="str">
        <f t="shared" si="15"/>
        <v>OK</v>
      </c>
      <c r="N423" s="9">
        <f>VLOOKUP(B423,Questions!$K$2:$L$7,2,FALSE)</f>
        <v>80</v>
      </c>
    </row>
    <row r="424" spans="1:14">
      <c r="A424" s="8" t="s">
        <v>424</v>
      </c>
      <c r="B424" s="8">
        <v>9</v>
      </c>
      <c r="C424" s="8" t="s">
        <v>26</v>
      </c>
      <c r="D424" s="8">
        <v>8</v>
      </c>
      <c r="E424" s="8" t="s">
        <v>27</v>
      </c>
      <c r="F424" s="8">
        <v>15</v>
      </c>
      <c r="G424" s="8" t="s">
        <v>15</v>
      </c>
      <c r="H424" s="8" t="s">
        <v>22</v>
      </c>
      <c r="I424" s="8" t="s">
        <v>23</v>
      </c>
      <c r="J424" s="8" t="s">
        <v>28</v>
      </c>
      <c r="K424" s="8" t="s">
        <v>28</v>
      </c>
      <c r="L424" s="8" t="str">
        <f t="shared" si="14"/>
        <v>Senior</v>
      </c>
      <c r="M424" s="8" t="str">
        <f t="shared" si="15"/>
        <v>OK</v>
      </c>
      <c r="N424" s="9">
        <f>VLOOKUP(B424,Questions!$K$2:$L$7,2,FALSE)</f>
        <v>80</v>
      </c>
    </row>
    <row r="425" spans="1:14">
      <c r="A425" s="8" t="s">
        <v>516</v>
      </c>
      <c r="B425" s="8">
        <v>9</v>
      </c>
      <c r="C425" s="8" t="s">
        <v>26</v>
      </c>
      <c r="D425" s="8">
        <v>9</v>
      </c>
      <c r="E425" s="8" t="s">
        <v>14</v>
      </c>
      <c r="F425" s="8">
        <v>15</v>
      </c>
      <c r="G425" s="8" t="s">
        <v>33</v>
      </c>
      <c r="H425" s="8" t="s">
        <v>16</v>
      </c>
      <c r="I425" s="8" t="s">
        <v>23</v>
      </c>
      <c r="J425" s="8" t="s">
        <v>28</v>
      </c>
      <c r="K425" s="8" t="s">
        <v>28</v>
      </c>
      <c r="L425" s="8" t="str">
        <f t="shared" si="14"/>
        <v>Senior</v>
      </c>
      <c r="M425" s="8" t="str">
        <f t="shared" si="15"/>
        <v>Pending</v>
      </c>
      <c r="N425" s="9">
        <f>VLOOKUP(B425,Questions!$K$2:$L$7,2,FALSE)</f>
        <v>80</v>
      </c>
    </row>
    <row r="426" spans="1:14">
      <c r="A426" s="8" t="s">
        <v>455</v>
      </c>
      <c r="B426" s="8">
        <v>9</v>
      </c>
      <c r="C426" s="8" t="s">
        <v>26</v>
      </c>
      <c r="D426" s="8">
        <v>20</v>
      </c>
      <c r="E426" s="8" t="s">
        <v>14</v>
      </c>
      <c r="F426" s="8">
        <v>14</v>
      </c>
      <c r="G426" s="8" t="s">
        <v>15</v>
      </c>
      <c r="H426" s="8" t="s">
        <v>16</v>
      </c>
      <c r="I426" s="8" t="s">
        <v>23</v>
      </c>
      <c r="J426" s="8" t="s">
        <v>28</v>
      </c>
      <c r="K426" s="8" t="s">
        <v>19</v>
      </c>
      <c r="L426" s="8" t="str">
        <f t="shared" si="14"/>
        <v>Senior</v>
      </c>
      <c r="M426" s="8" t="str">
        <f t="shared" si="15"/>
        <v>OK</v>
      </c>
      <c r="N426" s="9">
        <f>VLOOKUP(B426,Questions!$K$2:$L$7,2,FALSE)</f>
        <v>80</v>
      </c>
    </row>
    <row r="427" spans="1:14">
      <c r="A427" s="8" t="s">
        <v>364</v>
      </c>
      <c r="B427" s="8">
        <v>9</v>
      </c>
      <c r="C427" s="8" t="s">
        <v>26</v>
      </c>
      <c r="D427" s="8">
        <v>37</v>
      </c>
      <c r="E427" s="8" t="s">
        <v>27</v>
      </c>
      <c r="F427" s="8">
        <v>14</v>
      </c>
      <c r="G427" s="8" t="s">
        <v>33</v>
      </c>
      <c r="H427" s="8" t="s">
        <v>16</v>
      </c>
      <c r="I427" s="8" t="s">
        <v>17</v>
      </c>
      <c r="J427" s="8" t="s">
        <v>24</v>
      </c>
      <c r="K427" s="8" t="s">
        <v>42</v>
      </c>
      <c r="L427" s="8" t="str">
        <f t="shared" si="14"/>
        <v>Senior</v>
      </c>
      <c r="M427" s="8" t="str">
        <f t="shared" si="15"/>
        <v>Pending</v>
      </c>
      <c r="N427" s="9">
        <f>VLOOKUP(B427,Questions!$K$2:$L$7,2,FALSE)</f>
        <v>80</v>
      </c>
    </row>
    <row r="428" spans="1:14">
      <c r="A428" s="8" t="s">
        <v>604</v>
      </c>
      <c r="B428" s="8">
        <v>9</v>
      </c>
      <c r="C428" s="8" t="s">
        <v>26</v>
      </c>
      <c r="D428" s="8">
        <v>53</v>
      </c>
      <c r="E428" s="8" t="s">
        <v>27</v>
      </c>
      <c r="F428" s="8">
        <v>14</v>
      </c>
      <c r="G428" s="8" t="s">
        <v>33</v>
      </c>
      <c r="H428" s="8" t="s">
        <v>16</v>
      </c>
      <c r="I428" s="8" t="s">
        <v>23</v>
      </c>
      <c r="J428" s="8" t="s">
        <v>49</v>
      </c>
      <c r="K428" s="8" t="s">
        <v>31</v>
      </c>
      <c r="L428" s="8" t="str">
        <f t="shared" si="14"/>
        <v>Senior</v>
      </c>
      <c r="M428" s="8" t="str">
        <f t="shared" si="15"/>
        <v>Pending</v>
      </c>
      <c r="N428" s="9">
        <f>VLOOKUP(B428,Questions!$K$2:$L$7,2,FALSE)</f>
        <v>80</v>
      </c>
    </row>
    <row r="429" spans="1:14">
      <c r="A429" s="8" t="s">
        <v>249</v>
      </c>
      <c r="B429" s="8">
        <v>9</v>
      </c>
      <c r="C429" s="8" t="s">
        <v>26</v>
      </c>
      <c r="D429" s="8">
        <v>57</v>
      </c>
      <c r="E429" s="8" t="s">
        <v>14</v>
      </c>
      <c r="F429" s="8">
        <v>15</v>
      </c>
      <c r="G429" s="8" t="s">
        <v>33</v>
      </c>
      <c r="H429" s="8" t="s">
        <v>22</v>
      </c>
      <c r="I429" s="8" t="s">
        <v>23</v>
      </c>
      <c r="J429" s="8" t="s">
        <v>28</v>
      </c>
      <c r="K429" s="8" t="s">
        <v>28</v>
      </c>
      <c r="L429" s="8" t="str">
        <f t="shared" si="14"/>
        <v>Senior</v>
      </c>
      <c r="M429" s="8" t="str">
        <f t="shared" si="15"/>
        <v>Pending</v>
      </c>
      <c r="N429" s="9">
        <f>VLOOKUP(B429,Questions!$K$2:$L$7,2,FALSE)</f>
        <v>80</v>
      </c>
    </row>
    <row r="430" spans="1:14">
      <c r="A430" s="8" t="s">
        <v>587</v>
      </c>
      <c r="B430" s="8">
        <v>9</v>
      </c>
      <c r="C430" s="8" t="s">
        <v>26</v>
      </c>
      <c r="D430" s="8">
        <v>61</v>
      </c>
      <c r="E430" s="8" t="s">
        <v>27</v>
      </c>
      <c r="F430" s="8">
        <v>15</v>
      </c>
      <c r="G430" s="8" t="s">
        <v>15</v>
      </c>
      <c r="H430" s="8" t="s">
        <v>22</v>
      </c>
      <c r="I430" s="8" t="s">
        <v>17</v>
      </c>
      <c r="J430" s="8" t="s">
        <v>30</v>
      </c>
      <c r="K430" s="8" t="s">
        <v>28</v>
      </c>
      <c r="L430" s="8" t="str">
        <f t="shared" si="14"/>
        <v>Senior</v>
      </c>
      <c r="M430" s="8" t="str">
        <f t="shared" si="15"/>
        <v>OK</v>
      </c>
      <c r="N430" s="9">
        <f>VLOOKUP(B430,Questions!$K$2:$L$7,2,FALSE)</f>
        <v>80</v>
      </c>
    </row>
    <row r="431" spans="1:14">
      <c r="A431" s="8" t="s">
        <v>463</v>
      </c>
      <c r="B431" s="8">
        <v>9</v>
      </c>
      <c r="C431" s="8" t="s">
        <v>26</v>
      </c>
      <c r="D431" s="8">
        <v>63</v>
      </c>
      <c r="E431" s="8" t="s">
        <v>14</v>
      </c>
      <c r="F431" s="8">
        <v>15</v>
      </c>
      <c r="G431" s="8" t="s">
        <v>15</v>
      </c>
      <c r="H431" s="8" t="s">
        <v>16</v>
      </c>
      <c r="I431" s="8" t="s">
        <v>17</v>
      </c>
      <c r="J431" s="8" t="s">
        <v>24</v>
      </c>
      <c r="K431" s="8" t="s">
        <v>28</v>
      </c>
      <c r="L431" s="8" t="str">
        <f t="shared" si="14"/>
        <v>Senior</v>
      </c>
      <c r="M431" s="8" t="str">
        <f t="shared" si="15"/>
        <v>OK</v>
      </c>
      <c r="N431" s="9">
        <f>VLOOKUP(B431,Questions!$K$2:$L$7,2,FALSE)</f>
        <v>80</v>
      </c>
    </row>
    <row r="432" spans="1:14">
      <c r="A432" s="8" t="s">
        <v>35</v>
      </c>
      <c r="B432" s="8">
        <v>9</v>
      </c>
      <c r="C432" s="8" t="s">
        <v>26</v>
      </c>
      <c r="D432" s="8">
        <v>69</v>
      </c>
      <c r="E432" s="8" t="s">
        <v>14</v>
      </c>
      <c r="F432" s="8">
        <v>15</v>
      </c>
      <c r="G432" s="8" t="s">
        <v>33</v>
      </c>
      <c r="H432" s="8" t="s">
        <v>16</v>
      </c>
      <c r="I432" s="8" t="s">
        <v>23</v>
      </c>
      <c r="J432" s="8" t="s">
        <v>28</v>
      </c>
      <c r="K432" s="8" t="s">
        <v>19</v>
      </c>
      <c r="L432" s="8" t="str">
        <f t="shared" si="14"/>
        <v>Senior</v>
      </c>
      <c r="M432" s="8" t="str">
        <f t="shared" si="15"/>
        <v>Pending</v>
      </c>
      <c r="N432" s="9">
        <f>VLOOKUP(B432,Questions!$K$2:$L$7,2,FALSE)</f>
        <v>80</v>
      </c>
    </row>
    <row r="433" spans="1:14">
      <c r="A433" s="8" t="s">
        <v>111</v>
      </c>
      <c r="B433" s="8">
        <v>9</v>
      </c>
      <c r="C433" s="8" t="s">
        <v>26</v>
      </c>
      <c r="D433" s="8">
        <v>72</v>
      </c>
      <c r="E433" s="8" t="s">
        <v>27</v>
      </c>
      <c r="F433" s="8">
        <v>15</v>
      </c>
      <c r="G433" s="8" t="s">
        <v>15</v>
      </c>
      <c r="H433" s="8" t="s">
        <v>16</v>
      </c>
      <c r="I433" s="8" t="s">
        <v>23</v>
      </c>
      <c r="J433" s="8" t="s">
        <v>18</v>
      </c>
      <c r="K433" s="8" t="s">
        <v>28</v>
      </c>
      <c r="L433" s="8" t="str">
        <f t="shared" si="14"/>
        <v>Senior</v>
      </c>
      <c r="M433" s="8" t="str">
        <f t="shared" si="15"/>
        <v>OK</v>
      </c>
      <c r="N433" s="9">
        <f>VLOOKUP(B433,Questions!$K$2:$L$7,2,FALSE)</f>
        <v>80</v>
      </c>
    </row>
    <row r="434" spans="1:14">
      <c r="A434" s="8" t="s">
        <v>82</v>
      </c>
      <c r="B434" s="8">
        <v>9</v>
      </c>
      <c r="C434" s="8" t="s">
        <v>26</v>
      </c>
      <c r="D434" s="8">
        <v>73</v>
      </c>
      <c r="E434" s="8" t="s">
        <v>14</v>
      </c>
      <c r="F434" s="8">
        <v>14</v>
      </c>
      <c r="G434" s="8" t="s">
        <v>33</v>
      </c>
      <c r="H434" s="8" t="s">
        <v>22</v>
      </c>
      <c r="I434" s="8" t="s">
        <v>17</v>
      </c>
      <c r="J434" s="8" t="s">
        <v>28</v>
      </c>
      <c r="K434" s="8" t="s">
        <v>31</v>
      </c>
      <c r="L434" s="8" t="str">
        <f t="shared" si="14"/>
        <v>Senior</v>
      </c>
      <c r="M434" s="8" t="str">
        <f t="shared" si="15"/>
        <v>Pending</v>
      </c>
      <c r="N434" s="9">
        <f>VLOOKUP(B434,Questions!$K$2:$L$7,2,FALSE)</f>
        <v>80</v>
      </c>
    </row>
    <row r="435" spans="1:14">
      <c r="A435" s="8" t="s">
        <v>532</v>
      </c>
      <c r="B435" s="8">
        <v>9</v>
      </c>
      <c r="C435" s="8" t="s">
        <v>26</v>
      </c>
      <c r="D435" s="8">
        <v>76</v>
      </c>
      <c r="E435" s="8" t="s">
        <v>27</v>
      </c>
      <c r="F435" s="8">
        <v>14</v>
      </c>
      <c r="G435" s="8" t="s">
        <v>33</v>
      </c>
      <c r="H435" s="8" t="s">
        <v>16</v>
      </c>
      <c r="I435" s="8" t="s">
        <v>23</v>
      </c>
      <c r="J435" s="8" t="s">
        <v>49</v>
      </c>
      <c r="K435" s="8" t="s">
        <v>28</v>
      </c>
      <c r="L435" s="8" t="str">
        <f t="shared" si="14"/>
        <v>Senior</v>
      </c>
      <c r="M435" s="8" t="str">
        <f t="shared" si="15"/>
        <v>Pending</v>
      </c>
      <c r="N435" s="9">
        <f>VLOOKUP(B435,Questions!$K$2:$L$7,2,FALSE)</f>
        <v>80</v>
      </c>
    </row>
    <row r="436" spans="1:14">
      <c r="A436" s="8" t="s">
        <v>193</v>
      </c>
      <c r="B436" s="8">
        <v>9</v>
      </c>
      <c r="C436" s="8" t="s">
        <v>26</v>
      </c>
      <c r="D436" s="8">
        <v>82</v>
      </c>
      <c r="E436" s="8" t="s">
        <v>14</v>
      </c>
      <c r="F436" s="8">
        <v>14</v>
      </c>
      <c r="G436" s="8" t="s">
        <v>33</v>
      </c>
      <c r="H436" s="8" t="s">
        <v>16</v>
      </c>
      <c r="I436" s="8" t="s">
        <v>17</v>
      </c>
      <c r="J436" s="8" t="s">
        <v>28</v>
      </c>
      <c r="K436" s="8" t="s">
        <v>19</v>
      </c>
      <c r="L436" s="8" t="str">
        <f t="shared" si="14"/>
        <v>Senior</v>
      </c>
      <c r="M436" s="8" t="str">
        <f t="shared" si="15"/>
        <v>Pending</v>
      </c>
      <c r="N436" s="9">
        <f>VLOOKUP(B436,Questions!$K$2:$L$7,2,FALSE)</f>
        <v>80</v>
      </c>
    </row>
    <row r="437" spans="1:14">
      <c r="A437" s="8" t="s">
        <v>472</v>
      </c>
      <c r="B437" s="8">
        <v>9</v>
      </c>
      <c r="C437" s="8" t="s">
        <v>26</v>
      </c>
      <c r="D437" s="8">
        <v>83</v>
      </c>
      <c r="E437" s="8" t="s">
        <v>27</v>
      </c>
      <c r="F437" s="8">
        <v>14</v>
      </c>
      <c r="G437" s="8" t="s">
        <v>15</v>
      </c>
      <c r="H437" s="8" t="s">
        <v>16</v>
      </c>
      <c r="I437" s="8" t="s">
        <v>17</v>
      </c>
      <c r="J437" s="8" t="s">
        <v>28</v>
      </c>
      <c r="K437" s="8" t="s">
        <v>19</v>
      </c>
      <c r="L437" s="8" t="str">
        <f t="shared" si="14"/>
        <v>Senior</v>
      </c>
      <c r="M437" s="8" t="str">
        <f t="shared" si="15"/>
        <v>OK</v>
      </c>
      <c r="N437" s="9">
        <f>VLOOKUP(B437,Questions!$K$2:$L$7,2,FALSE)</f>
        <v>80</v>
      </c>
    </row>
    <row r="438" spans="1:14">
      <c r="A438" s="8" t="s">
        <v>81</v>
      </c>
      <c r="B438" s="8">
        <v>9</v>
      </c>
      <c r="C438" s="8" t="s">
        <v>26</v>
      </c>
      <c r="D438" s="8">
        <v>90</v>
      </c>
      <c r="E438" s="8" t="s">
        <v>27</v>
      </c>
      <c r="F438" s="8">
        <v>15</v>
      </c>
      <c r="G438" s="8" t="s">
        <v>15</v>
      </c>
      <c r="H438" s="8" t="s">
        <v>22</v>
      </c>
      <c r="I438" s="8" t="s">
        <v>17</v>
      </c>
      <c r="J438" s="8" t="s">
        <v>49</v>
      </c>
      <c r="K438" s="8" t="s">
        <v>42</v>
      </c>
      <c r="L438" s="8" t="str">
        <f t="shared" si="14"/>
        <v>Senior</v>
      </c>
      <c r="M438" s="8" t="str">
        <f t="shared" si="15"/>
        <v>OK</v>
      </c>
      <c r="N438" s="9">
        <f>VLOOKUP(B438,Questions!$K$2:$L$7,2,FALSE)</f>
        <v>80</v>
      </c>
    </row>
    <row r="439" spans="1:14">
      <c r="A439" s="8" t="s">
        <v>152</v>
      </c>
      <c r="B439" s="8">
        <v>9</v>
      </c>
      <c r="C439" s="8" t="s">
        <v>26</v>
      </c>
      <c r="D439" s="8">
        <v>95</v>
      </c>
      <c r="E439" s="8" t="s">
        <v>14</v>
      </c>
      <c r="F439" s="8">
        <v>15</v>
      </c>
      <c r="G439" s="8" t="s">
        <v>15</v>
      </c>
      <c r="H439" s="8" t="s">
        <v>16</v>
      </c>
      <c r="I439" s="8" t="s">
        <v>17</v>
      </c>
      <c r="J439" s="8" t="s">
        <v>28</v>
      </c>
      <c r="K439" s="8" t="s">
        <v>42</v>
      </c>
      <c r="L439" s="8" t="str">
        <f t="shared" si="14"/>
        <v>Senior</v>
      </c>
      <c r="M439" s="8" t="str">
        <f t="shared" si="15"/>
        <v>OK</v>
      </c>
      <c r="N439" s="9">
        <f>VLOOKUP(B439,Questions!$K$2:$L$7,2,FALSE)</f>
        <v>80</v>
      </c>
    </row>
    <row r="440" spans="1:14">
      <c r="A440" s="8" t="s">
        <v>486</v>
      </c>
      <c r="B440" s="8">
        <v>9</v>
      </c>
      <c r="C440" s="8" t="s">
        <v>26</v>
      </c>
      <c r="D440" s="8">
        <v>120</v>
      </c>
      <c r="E440" s="8" t="s">
        <v>27</v>
      </c>
      <c r="F440" s="8">
        <v>14</v>
      </c>
      <c r="G440" s="8" t="s">
        <v>33</v>
      </c>
      <c r="H440" s="8" t="s">
        <v>22</v>
      </c>
      <c r="I440" s="8" t="s">
        <v>23</v>
      </c>
      <c r="J440" s="8" t="s">
        <v>30</v>
      </c>
      <c r="K440" s="8" t="s">
        <v>19</v>
      </c>
      <c r="L440" s="8" t="str">
        <f t="shared" si="14"/>
        <v>Senior</v>
      </c>
      <c r="M440" s="8" t="str">
        <f t="shared" si="15"/>
        <v>Pending</v>
      </c>
      <c r="N440" s="9">
        <f>VLOOKUP(B440,Questions!$K$2:$L$7,2,FALSE)</f>
        <v>80</v>
      </c>
    </row>
    <row r="441" spans="1:14">
      <c r="A441" s="8" t="s">
        <v>599</v>
      </c>
      <c r="B441" s="8">
        <v>9</v>
      </c>
      <c r="C441" s="8" t="s">
        <v>26</v>
      </c>
      <c r="D441" s="8">
        <v>131</v>
      </c>
      <c r="E441" s="8" t="s">
        <v>14</v>
      </c>
      <c r="F441" s="8">
        <v>14</v>
      </c>
      <c r="G441" s="8" t="s">
        <v>15</v>
      </c>
      <c r="H441" s="8" t="s">
        <v>16</v>
      </c>
      <c r="I441" s="8" t="s">
        <v>17</v>
      </c>
      <c r="J441" s="8" t="s">
        <v>28</v>
      </c>
      <c r="K441" s="8" t="s">
        <v>19</v>
      </c>
      <c r="L441" s="8" t="str">
        <f t="shared" si="14"/>
        <v>Senior</v>
      </c>
      <c r="M441" s="8" t="str">
        <f t="shared" si="15"/>
        <v>OK</v>
      </c>
      <c r="N441" s="9">
        <f>VLOOKUP(B441,Questions!$K$2:$L$7,2,FALSE)</f>
        <v>80</v>
      </c>
    </row>
    <row r="442" spans="1:14">
      <c r="A442" s="8" t="s">
        <v>482</v>
      </c>
      <c r="B442" s="8">
        <v>9</v>
      </c>
      <c r="C442" s="8" t="s">
        <v>26</v>
      </c>
      <c r="D442" s="8">
        <v>133</v>
      </c>
      <c r="E442" s="8" t="s">
        <v>14</v>
      </c>
      <c r="F442" s="8">
        <v>15</v>
      </c>
      <c r="G442" s="8" t="s">
        <v>15</v>
      </c>
      <c r="H442" s="8" t="s">
        <v>22</v>
      </c>
      <c r="I442" s="8" t="s">
        <v>23</v>
      </c>
      <c r="J442" s="8" t="s">
        <v>28</v>
      </c>
      <c r="K442" s="8" t="s">
        <v>28</v>
      </c>
      <c r="L442" s="8" t="str">
        <f t="shared" si="14"/>
        <v>Senior</v>
      </c>
      <c r="M442" s="8" t="str">
        <f t="shared" si="15"/>
        <v>OK</v>
      </c>
      <c r="N442" s="9">
        <f>VLOOKUP(B442,Questions!$K$2:$L$7,2,FALSE)</f>
        <v>80</v>
      </c>
    </row>
    <row r="443" spans="1:14">
      <c r="A443" s="8" t="s">
        <v>452</v>
      </c>
      <c r="B443" s="8">
        <v>9</v>
      </c>
      <c r="C443" s="8" t="s">
        <v>26</v>
      </c>
      <c r="D443" s="8">
        <v>139</v>
      </c>
      <c r="E443" s="8" t="s">
        <v>14</v>
      </c>
      <c r="F443" s="8">
        <v>15</v>
      </c>
      <c r="G443" s="8" t="s">
        <v>33</v>
      </c>
      <c r="H443" s="8" t="s">
        <v>16</v>
      </c>
      <c r="I443" s="8" t="s">
        <v>17</v>
      </c>
      <c r="J443" s="8" t="s">
        <v>30</v>
      </c>
      <c r="K443" s="8" t="s">
        <v>19</v>
      </c>
      <c r="L443" s="8" t="str">
        <f t="shared" si="14"/>
        <v>Senior</v>
      </c>
      <c r="M443" s="8" t="str">
        <f t="shared" si="15"/>
        <v>Pending</v>
      </c>
      <c r="N443" s="9">
        <f>VLOOKUP(B443,Questions!$K$2:$L$7,2,FALSE)</f>
        <v>80</v>
      </c>
    </row>
    <row r="444" spans="1:14">
      <c r="A444" s="8" t="s">
        <v>188</v>
      </c>
      <c r="B444" s="8">
        <v>9</v>
      </c>
      <c r="C444" s="8" t="s">
        <v>26</v>
      </c>
      <c r="D444" s="8">
        <v>156</v>
      </c>
      <c r="E444" s="8" t="s">
        <v>14</v>
      </c>
      <c r="F444" s="8">
        <v>15</v>
      </c>
      <c r="G444" s="8" t="s">
        <v>15</v>
      </c>
      <c r="H444" s="8" t="s">
        <v>22</v>
      </c>
      <c r="I444" s="8" t="s">
        <v>17</v>
      </c>
      <c r="J444" s="8" t="s">
        <v>28</v>
      </c>
      <c r="K444" s="8" t="s">
        <v>28</v>
      </c>
      <c r="L444" s="8" t="str">
        <f t="shared" si="14"/>
        <v>Senior</v>
      </c>
      <c r="M444" s="8" t="str">
        <f t="shared" si="15"/>
        <v>OK</v>
      </c>
      <c r="N444" s="9">
        <f>VLOOKUP(B444,Questions!$K$2:$L$7,2,FALSE)</f>
        <v>80</v>
      </c>
    </row>
    <row r="445" spans="1:14">
      <c r="A445" s="8" t="s">
        <v>142</v>
      </c>
      <c r="B445" s="8">
        <v>9</v>
      </c>
      <c r="C445" s="8" t="s">
        <v>26</v>
      </c>
      <c r="D445" s="8">
        <v>162</v>
      </c>
      <c r="E445" s="8" t="s">
        <v>14</v>
      </c>
      <c r="F445" s="8">
        <v>15</v>
      </c>
      <c r="G445" s="8" t="s">
        <v>33</v>
      </c>
      <c r="H445" s="8" t="s">
        <v>22</v>
      </c>
      <c r="I445" s="8" t="s">
        <v>23</v>
      </c>
      <c r="J445" s="8" t="s">
        <v>28</v>
      </c>
      <c r="K445" s="8" t="s">
        <v>19</v>
      </c>
      <c r="L445" s="8" t="str">
        <f t="shared" si="14"/>
        <v>Senior</v>
      </c>
      <c r="M445" s="8" t="str">
        <f t="shared" si="15"/>
        <v>Pending</v>
      </c>
      <c r="N445" s="9">
        <f>VLOOKUP(B445,Questions!$K$2:$L$7,2,FALSE)</f>
        <v>80</v>
      </c>
    </row>
    <row r="446" spans="1:14">
      <c r="A446" s="8" t="s">
        <v>198</v>
      </c>
      <c r="B446" s="8">
        <v>9</v>
      </c>
      <c r="C446" s="8" t="s">
        <v>26</v>
      </c>
      <c r="D446" s="8">
        <v>170</v>
      </c>
      <c r="E446" s="8" t="s">
        <v>27</v>
      </c>
      <c r="F446" s="8">
        <v>15</v>
      </c>
      <c r="G446" s="8" t="s">
        <v>33</v>
      </c>
      <c r="H446" s="8" t="s">
        <v>16</v>
      </c>
      <c r="I446" s="8" t="s">
        <v>23</v>
      </c>
      <c r="J446" s="8" t="s">
        <v>49</v>
      </c>
      <c r="K446" s="8" t="s">
        <v>19</v>
      </c>
      <c r="L446" s="8" t="str">
        <f t="shared" si="14"/>
        <v>Senior</v>
      </c>
      <c r="M446" s="8" t="str">
        <f t="shared" si="15"/>
        <v>Pending</v>
      </c>
      <c r="N446" s="9">
        <f>VLOOKUP(B446,Questions!$K$2:$L$7,2,FALSE)</f>
        <v>80</v>
      </c>
    </row>
    <row r="447" spans="1:14">
      <c r="A447" s="8" t="s">
        <v>58</v>
      </c>
      <c r="B447" s="8">
        <v>9</v>
      </c>
      <c r="C447" s="8" t="s">
        <v>26</v>
      </c>
      <c r="D447" s="8">
        <v>185</v>
      </c>
      <c r="E447" s="8" t="s">
        <v>14</v>
      </c>
      <c r="F447" s="8">
        <v>14</v>
      </c>
      <c r="G447" s="8" t="s">
        <v>15</v>
      </c>
      <c r="H447" s="8" t="s">
        <v>22</v>
      </c>
      <c r="I447" s="8" t="s">
        <v>17</v>
      </c>
      <c r="J447" s="8" t="s">
        <v>28</v>
      </c>
      <c r="K447" s="8" t="s">
        <v>28</v>
      </c>
      <c r="L447" s="8" t="str">
        <f t="shared" si="14"/>
        <v>Senior</v>
      </c>
      <c r="M447" s="8" t="str">
        <f t="shared" si="15"/>
        <v>OK</v>
      </c>
      <c r="N447" s="9">
        <f>VLOOKUP(B447,Questions!$K$2:$L$7,2,FALSE)</f>
        <v>80</v>
      </c>
    </row>
    <row r="448" spans="1:14">
      <c r="A448" s="8" t="s">
        <v>438</v>
      </c>
      <c r="B448" s="8">
        <v>9</v>
      </c>
      <c r="C448" s="8" t="s">
        <v>26</v>
      </c>
      <c r="D448" s="8">
        <v>189</v>
      </c>
      <c r="E448" s="8" t="s">
        <v>27</v>
      </c>
      <c r="F448" s="8">
        <v>15</v>
      </c>
      <c r="G448" s="8" t="s">
        <v>33</v>
      </c>
      <c r="H448" s="8" t="s">
        <v>22</v>
      </c>
      <c r="I448" s="8" t="s">
        <v>23</v>
      </c>
      <c r="J448" s="8" t="s">
        <v>28</v>
      </c>
      <c r="K448" s="8" t="s">
        <v>42</v>
      </c>
      <c r="L448" s="8" t="str">
        <f t="shared" si="14"/>
        <v>Senior</v>
      </c>
      <c r="M448" s="8" t="str">
        <f t="shared" si="15"/>
        <v>Pending</v>
      </c>
      <c r="N448" s="9">
        <f>VLOOKUP(B448,Questions!$K$2:$L$7,2,FALSE)</f>
        <v>80</v>
      </c>
    </row>
    <row r="449" spans="1:14">
      <c r="A449" s="8" t="s">
        <v>518</v>
      </c>
      <c r="B449" s="8">
        <v>9</v>
      </c>
      <c r="C449" s="8" t="s">
        <v>26</v>
      </c>
      <c r="D449" s="8">
        <v>190</v>
      </c>
      <c r="E449" s="8" t="s">
        <v>14</v>
      </c>
      <c r="F449" s="8">
        <v>15</v>
      </c>
      <c r="G449" s="8" t="s">
        <v>15</v>
      </c>
      <c r="H449" s="8" t="s">
        <v>16</v>
      </c>
      <c r="I449" s="8" t="s">
        <v>23</v>
      </c>
      <c r="J449" s="8" t="s">
        <v>24</v>
      </c>
      <c r="K449" s="8" t="s">
        <v>28</v>
      </c>
      <c r="L449" s="8" t="str">
        <f t="shared" si="14"/>
        <v>Senior</v>
      </c>
      <c r="M449" s="8" t="str">
        <f t="shared" si="15"/>
        <v>OK</v>
      </c>
      <c r="N449" s="9">
        <f>VLOOKUP(B449,Questions!$K$2:$L$7,2,FALSE)</f>
        <v>80</v>
      </c>
    </row>
    <row r="450" spans="1:14">
      <c r="A450" s="8" t="s">
        <v>289</v>
      </c>
      <c r="B450" s="8">
        <v>9</v>
      </c>
      <c r="C450" s="8" t="s">
        <v>26</v>
      </c>
      <c r="D450" s="8">
        <v>194</v>
      </c>
      <c r="E450" s="8" t="s">
        <v>27</v>
      </c>
      <c r="F450" s="8">
        <v>15</v>
      </c>
      <c r="G450" s="8" t="s">
        <v>15</v>
      </c>
      <c r="H450" s="8" t="s">
        <v>22</v>
      </c>
      <c r="I450" s="8" t="s">
        <v>17</v>
      </c>
      <c r="J450" s="8" t="s">
        <v>24</v>
      </c>
      <c r="K450" s="8" t="s">
        <v>31</v>
      </c>
      <c r="L450" s="8" t="str">
        <f t="shared" si="14"/>
        <v>Senior</v>
      </c>
      <c r="M450" s="8" t="str">
        <f t="shared" si="15"/>
        <v>OK</v>
      </c>
      <c r="N450" s="9">
        <f>VLOOKUP(B450,Questions!$K$2:$L$7,2,FALSE)</f>
        <v>80</v>
      </c>
    </row>
    <row r="451" spans="1:14">
      <c r="A451" s="8" t="s">
        <v>273</v>
      </c>
      <c r="B451" s="8">
        <v>9</v>
      </c>
      <c r="C451" s="8" t="s">
        <v>21</v>
      </c>
      <c r="D451" s="8">
        <v>1</v>
      </c>
      <c r="E451" s="8" t="s">
        <v>27</v>
      </c>
      <c r="F451" s="8">
        <v>15</v>
      </c>
      <c r="G451" s="8" t="s">
        <v>15</v>
      </c>
      <c r="H451" s="8" t="s">
        <v>22</v>
      </c>
      <c r="I451" s="8" t="s">
        <v>17</v>
      </c>
      <c r="J451" s="8" t="s">
        <v>49</v>
      </c>
      <c r="K451" s="8" t="s">
        <v>28</v>
      </c>
      <c r="L451" s="8" t="str">
        <f t="shared" ref="L451:L514" si="16">IF(B451&lt;=7,"Junior","Senior")</f>
        <v>Senior</v>
      </c>
      <c r="M451" s="8" t="str">
        <f t="shared" si="15"/>
        <v>OK</v>
      </c>
      <c r="N451" s="9">
        <f>VLOOKUP(B451,Questions!$K$2:$L$7,2,FALSE)</f>
        <v>80</v>
      </c>
    </row>
    <row r="452" spans="1:14">
      <c r="A452" s="8" t="s">
        <v>106</v>
      </c>
      <c r="B452" s="8">
        <v>9</v>
      </c>
      <c r="C452" s="8" t="s">
        <v>21</v>
      </c>
      <c r="D452" s="8">
        <v>7</v>
      </c>
      <c r="E452" s="8" t="s">
        <v>27</v>
      </c>
      <c r="F452" s="8">
        <v>15</v>
      </c>
      <c r="G452" s="8" t="s">
        <v>33</v>
      </c>
      <c r="H452" s="8" t="s">
        <v>16</v>
      </c>
      <c r="I452" s="8" t="s">
        <v>23</v>
      </c>
      <c r="J452" s="8" t="s">
        <v>24</v>
      </c>
      <c r="K452" s="8" t="s">
        <v>42</v>
      </c>
      <c r="L452" s="8" t="str">
        <f t="shared" si="16"/>
        <v>Senior</v>
      </c>
      <c r="M452" s="8" t="str">
        <f t="shared" ref="M452:M515" si="17">IF(G452="Paid","OK","Pending")</f>
        <v>Pending</v>
      </c>
      <c r="N452" s="9">
        <f>VLOOKUP(B452,Questions!$K$2:$L$7,2,FALSE)</f>
        <v>80</v>
      </c>
    </row>
    <row r="453" spans="1:14">
      <c r="A453" s="8" t="s">
        <v>513</v>
      </c>
      <c r="B453" s="8">
        <v>9</v>
      </c>
      <c r="C453" s="8" t="s">
        <v>21</v>
      </c>
      <c r="D453" s="8">
        <v>16</v>
      </c>
      <c r="E453" s="8" t="s">
        <v>27</v>
      </c>
      <c r="F453" s="8">
        <v>15</v>
      </c>
      <c r="G453" s="8" t="s">
        <v>15</v>
      </c>
      <c r="H453" s="8" t="s">
        <v>16</v>
      </c>
      <c r="I453" s="8" t="s">
        <v>17</v>
      </c>
      <c r="J453" s="8" t="s">
        <v>28</v>
      </c>
      <c r="K453" s="8" t="s">
        <v>42</v>
      </c>
      <c r="L453" s="8" t="str">
        <f t="shared" si="16"/>
        <v>Senior</v>
      </c>
      <c r="M453" s="8" t="str">
        <f t="shared" si="17"/>
        <v>OK</v>
      </c>
      <c r="N453" s="9">
        <f>VLOOKUP(B453,Questions!$K$2:$L$7,2,FALSE)</f>
        <v>80</v>
      </c>
    </row>
    <row r="454" spans="1:14">
      <c r="A454" s="8" t="s">
        <v>340</v>
      </c>
      <c r="B454" s="8">
        <v>9</v>
      </c>
      <c r="C454" s="8" t="s">
        <v>21</v>
      </c>
      <c r="D454" s="8">
        <v>25</v>
      </c>
      <c r="E454" s="8" t="s">
        <v>14</v>
      </c>
      <c r="F454" s="8">
        <v>15</v>
      </c>
      <c r="G454" s="8" t="s">
        <v>15</v>
      </c>
      <c r="H454" s="8" t="s">
        <v>16</v>
      </c>
      <c r="I454" s="8" t="s">
        <v>23</v>
      </c>
      <c r="J454" s="8" t="s">
        <v>28</v>
      </c>
      <c r="K454" s="8" t="s">
        <v>42</v>
      </c>
      <c r="L454" s="8" t="str">
        <f t="shared" si="16"/>
        <v>Senior</v>
      </c>
      <c r="M454" s="8" t="str">
        <f t="shared" si="17"/>
        <v>OK</v>
      </c>
      <c r="N454" s="9">
        <f>VLOOKUP(B454,Questions!$K$2:$L$7,2,FALSE)</f>
        <v>80</v>
      </c>
    </row>
    <row r="455" spans="1:14">
      <c r="A455" s="8" t="s">
        <v>433</v>
      </c>
      <c r="B455" s="8">
        <v>9</v>
      </c>
      <c r="C455" s="8" t="s">
        <v>21</v>
      </c>
      <c r="D455" s="8">
        <v>27</v>
      </c>
      <c r="E455" s="8" t="s">
        <v>14</v>
      </c>
      <c r="F455" s="8">
        <v>15</v>
      </c>
      <c r="G455" s="8" t="s">
        <v>15</v>
      </c>
      <c r="H455" s="8" t="s">
        <v>22</v>
      </c>
      <c r="I455" s="8" t="s">
        <v>17</v>
      </c>
      <c r="J455" s="8" t="s">
        <v>28</v>
      </c>
      <c r="K455" s="8" t="s">
        <v>19</v>
      </c>
      <c r="L455" s="8" t="str">
        <f t="shared" si="16"/>
        <v>Senior</v>
      </c>
      <c r="M455" s="8" t="str">
        <f t="shared" si="17"/>
        <v>OK</v>
      </c>
      <c r="N455" s="9">
        <f>VLOOKUP(B455,Questions!$K$2:$L$7,2,FALSE)</f>
        <v>80</v>
      </c>
    </row>
    <row r="456" spans="1:14">
      <c r="A456" s="8" t="s">
        <v>589</v>
      </c>
      <c r="B456" s="8">
        <v>9</v>
      </c>
      <c r="C456" s="8" t="s">
        <v>21</v>
      </c>
      <c r="D456" s="8">
        <v>28</v>
      </c>
      <c r="E456" s="8" t="s">
        <v>14</v>
      </c>
      <c r="F456" s="8">
        <v>15</v>
      </c>
      <c r="G456" s="8" t="s">
        <v>33</v>
      </c>
      <c r="H456" s="8" t="s">
        <v>22</v>
      </c>
      <c r="I456" s="8" t="s">
        <v>23</v>
      </c>
      <c r="J456" s="8" t="s">
        <v>24</v>
      </c>
      <c r="K456" s="8" t="s">
        <v>28</v>
      </c>
      <c r="L456" s="8" t="str">
        <f t="shared" si="16"/>
        <v>Senior</v>
      </c>
      <c r="M456" s="8" t="str">
        <f t="shared" si="17"/>
        <v>Pending</v>
      </c>
      <c r="N456" s="9">
        <f>VLOOKUP(B456,Questions!$K$2:$L$7,2,FALSE)</f>
        <v>80</v>
      </c>
    </row>
    <row r="457" spans="1:14">
      <c r="A457" s="8" t="s">
        <v>329</v>
      </c>
      <c r="B457" s="8">
        <v>9</v>
      </c>
      <c r="C457" s="8" t="s">
        <v>21</v>
      </c>
      <c r="D457" s="8">
        <v>30</v>
      </c>
      <c r="E457" s="8" t="s">
        <v>14</v>
      </c>
      <c r="F457" s="8">
        <v>14</v>
      </c>
      <c r="G457" s="8" t="s">
        <v>15</v>
      </c>
      <c r="H457" s="8" t="s">
        <v>16</v>
      </c>
      <c r="I457" s="8" t="s">
        <v>17</v>
      </c>
      <c r="J457" s="8" t="s">
        <v>18</v>
      </c>
      <c r="K457" s="8" t="s">
        <v>42</v>
      </c>
      <c r="L457" s="8" t="str">
        <f t="shared" si="16"/>
        <v>Senior</v>
      </c>
      <c r="M457" s="8" t="str">
        <f t="shared" si="17"/>
        <v>OK</v>
      </c>
      <c r="N457" s="9">
        <f>VLOOKUP(B457,Questions!$K$2:$L$7,2,FALSE)</f>
        <v>80</v>
      </c>
    </row>
    <row r="458" spans="1:14">
      <c r="A458" s="8" t="s">
        <v>528</v>
      </c>
      <c r="B458" s="8">
        <v>9</v>
      </c>
      <c r="C458" s="8" t="s">
        <v>21</v>
      </c>
      <c r="D458" s="8">
        <v>34</v>
      </c>
      <c r="E458" s="8" t="s">
        <v>27</v>
      </c>
      <c r="F458" s="8">
        <v>14</v>
      </c>
      <c r="G458" s="8" t="s">
        <v>15</v>
      </c>
      <c r="H458" s="8" t="s">
        <v>22</v>
      </c>
      <c r="I458" s="8" t="s">
        <v>17</v>
      </c>
      <c r="J458" s="8" t="s">
        <v>24</v>
      </c>
      <c r="K458" s="8" t="s">
        <v>31</v>
      </c>
      <c r="L458" s="8" t="str">
        <f t="shared" si="16"/>
        <v>Senior</v>
      </c>
      <c r="M458" s="8" t="str">
        <f t="shared" si="17"/>
        <v>OK</v>
      </c>
      <c r="N458" s="9">
        <f>VLOOKUP(B458,Questions!$K$2:$L$7,2,FALSE)</f>
        <v>80</v>
      </c>
    </row>
    <row r="459" spans="1:14">
      <c r="A459" s="8" t="s">
        <v>244</v>
      </c>
      <c r="B459" s="8">
        <v>9</v>
      </c>
      <c r="C459" s="8" t="s">
        <v>21</v>
      </c>
      <c r="D459" s="8">
        <v>59</v>
      </c>
      <c r="E459" s="8" t="s">
        <v>27</v>
      </c>
      <c r="F459" s="8">
        <v>14</v>
      </c>
      <c r="G459" s="8" t="s">
        <v>33</v>
      </c>
      <c r="H459" s="8" t="s">
        <v>16</v>
      </c>
      <c r="I459" s="8" t="s">
        <v>23</v>
      </c>
      <c r="J459" s="8" t="s">
        <v>49</v>
      </c>
      <c r="K459" s="8" t="s">
        <v>42</v>
      </c>
      <c r="L459" s="8" t="str">
        <f t="shared" si="16"/>
        <v>Senior</v>
      </c>
      <c r="M459" s="8" t="str">
        <f t="shared" si="17"/>
        <v>Pending</v>
      </c>
      <c r="N459" s="9">
        <f>VLOOKUP(B459,Questions!$K$2:$L$7,2,FALSE)</f>
        <v>80</v>
      </c>
    </row>
    <row r="460" spans="1:14">
      <c r="A460" s="8" t="s">
        <v>450</v>
      </c>
      <c r="B460" s="8">
        <v>9</v>
      </c>
      <c r="C460" s="8" t="s">
        <v>21</v>
      </c>
      <c r="D460" s="8">
        <v>79</v>
      </c>
      <c r="E460" s="8" t="s">
        <v>14</v>
      </c>
      <c r="F460" s="8">
        <v>14</v>
      </c>
      <c r="G460" s="8" t="s">
        <v>33</v>
      </c>
      <c r="H460" s="8" t="s">
        <v>22</v>
      </c>
      <c r="I460" s="8" t="s">
        <v>17</v>
      </c>
      <c r="J460" s="8" t="s">
        <v>49</v>
      </c>
      <c r="K460" s="8" t="s">
        <v>19</v>
      </c>
      <c r="L460" s="8" t="str">
        <f t="shared" si="16"/>
        <v>Senior</v>
      </c>
      <c r="M460" s="8" t="str">
        <f t="shared" si="17"/>
        <v>Pending</v>
      </c>
      <c r="N460" s="9">
        <f>VLOOKUP(B460,Questions!$K$2:$L$7,2,FALSE)</f>
        <v>80</v>
      </c>
    </row>
    <row r="461" spans="1:14">
      <c r="A461" s="8" t="s">
        <v>215</v>
      </c>
      <c r="B461" s="8">
        <v>9</v>
      </c>
      <c r="C461" s="8" t="s">
        <v>21</v>
      </c>
      <c r="D461" s="8">
        <v>80</v>
      </c>
      <c r="E461" s="8" t="s">
        <v>27</v>
      </c>
      <c r="F461" s="8">
        <v>14</v>
      </c>
      <c r="G461" s="8" t="s">
        <v>33</v>
      </c>
      <c r="H461" s="8" t="s">
        <v>16</v>
      </c>
      <c r="I461" s="8" t="s">
        <v>23</v>
      </c>
      <c r="J461" s="8" t="s">
        <v>18</v>
      </c>
      <c r="K461" s="8" t="s">
        <v>28</v>
      </c>
      <c r="L461" s="8" t="str">
        <f t="shared" si="16"/>
        <v>Senior</v>
      </c>
      <c r="M461" s="8" t="str">
        <f t="shared" si="17"/>
        <v>Pending</v>
      </c>
      <c r="N461" s="9">
        <f>VLOOKUP(B461,Questions!$K$2:$L$7,2,FALSE)</f>
        <v>80</v>
      </c>
    </row>
    <row r="462" spans="1:14">
      <c r="A462" s="8" t="s">
        <v>46</v>
      </c>
      <c r="B462" s="8">
        <v>9</v>
      </c>
      <c r="C462" s="8" t="s">
        <v>21</v>
      </c>
      <c r="D462" s="8">
        <v>86</v>
      </c>
      <c r="E462" s="8" t="s">
        <v>27</v>
      </c>
      <c r="F462" s="8">
        <v>15</v>
      </c>
      <c r="G462" s="8" t="s">
        <v>15</v>
      </c>
      <c r="H462" s="8" t="s">
        <v>22</v>
      </c>
      <c r="I462" s="8" t="s">
        <v>17</v>
      </c>
      <c r="J462" s="8" t="s">
        <v>24</v>
      </c>
      <c r="K462" s="8" t="s">
        <v>31</v>
      </c>
      <c r="L462" s="8" t="str">
        <f t="shared" si="16"/>
        <v>Senior</v>
      </c>
      <c r="M462" s="8" t="str">
        <f t="shared" si="17"/>
        <v>OK</v>
      </c>
      <c r="N462" s="9">
        <f>VLOOKUP(B462,Questions!$K$2:$L$7,2,FALSE)</f>
        <v>80</v>
      </c>
    </row>
    <row r="463" spans="1:14">
      <c r="A463" s="8" t="s">
        <v>471</v>
      </c>
      <c r="B463" s="8">
        <v>9</v>
      </c>
      <c r="C463" s="8" t="s">
        <v>21</v>
      </c>
      <c r="D463" s="8">
        <v>94</v>
      </c>
      <c r="E463" s="8" t="s">
        <v>14</v>
      </c>
      <c r="F463" s="8">
        <v>14</v>
      </c>
      <c r="G463" s="8" t="s">
        <v>15</v>
      </c>
      <c r="H463" s="8" t="s">
        <v>16</v>
      </c>
      <c r="I463" s="8" t="s">
        <v>23</v>
      </c>
      <c r="J463" s="8" t="s">
        <v>49</v>
      </c>
      <c r="K463" s="8" t="s">
        <v>28</v>
      </c>
      <c r="L463" s="8" t="str">
        <f t="shared" si="16"/>
        <v>Senior</v>
      </c>
      <c r="M463" s="8" t="str">
        <f t="shared" si="17"/>
        <v>OK</v>
      </c>
      <c r="N463" s="9">
        <f>VLOOKUP(B463,Questions!$K$2:$L$7,2,FALSE)</f>
        <v>80</v>
      </c>
    </row>
    <row r="464" spans="1:14">
      <c r="A464" s="8" t="s">
        <v>195</v>
      </c>
      <c r="B464" s="8">
        <v>9</v>
      </c>
      <c r="C464" s="8" t="s">
        <v>21</v>
      </c>
      <c r="D464" s="8">
        <v>99</v>
      </c>
      <c r="E464" s="8" t="s">
        <v>14</v>
      </c>
      <c r="F464" s="8">
        <v>14</v>
      </c>
      <c r="G464" s="8" t="s">
        <v>15</v>
      </c>
      <c r="H464" s="8" t="s">
        <v>16</v>
      </c>
      <c r="I464" s="8" t="s">
        <v>17</v>
      </c>
      <c r="J464" s="8" t="s">
        <v>28</v>
      </c>
      <c r="K464" s="8" t="s">
        <v>19</v>
      </c>
      <c r="L464" s="8" t="str">
        <f t="shared" si="16"/>
        <v>Senior</v>
      </c>
      <c r="M464" s="8" t="str">
        <f t="shared" si="17"/>
        <v>OK</v>
      </c>
      <c r="N464" s="9">
        <f>VLOOKUP(B464,Questions!$K$2:$L$7,2,FALSE)</f>
        <v>80</v>
      </c>
    </row>
    <row r="465" spans="1:14">
      <c r="A465" s="8" t="s">
        <v>346</v>
      </c>
      <c r="B465" s="8">
        <v>9</v>
      </c>
      <c r="C465" s="8" t="s">
        <v>21</v>
      </c>
      <c r="D465" s="8">
        <v>102</v>
      </c>
      <c r="E465" s="8" t="s">
        <v>14</v>
      </c>
      <c r="F465" s="8">
        <v>15</v>
      </c>
      <c r="G465" s="8" t="s">
        <v>33</v>
      </c>
      <c r="H465" s="8" t="s">
        <v>16</v>
      </c>
      <c r="I465" s="8" t="s">
        <v>17</v>
      </c>
      <c r="J465" s="8" t="s">
        <v>30</v>
      </c>
      <c r="K465" s="8" t="s">
        <v>42</v>
      </c>
      <c r="L465" s="8" t="str">
        <f t="shared" si="16"/>
        <v>Senior</v>
      </c>
      <c r="M465" s="8" t="str">
        <f t="shared" si="17"/>
        <v>Pending</v>
      </c>
      <c r="N465" s="9">
        <f>VLOOKUP(B465,Questions!$K$2:$L$7,2,FALSE)</f>
        <v>80</v>
      </c>
    </row>
    <row r="466" spans="1:14">
      <c r="A466" s="8" t="s">
        <v>325</v>
      </c>
      <c r="B466" s="8">
        <v>9</v>
      </c>
      <c r="C466" s="8" t="s">
        <v>21</v>
      </c>
      <c r="D466" s="8">
        <v>104</v>
      </c>
      <c r="E466" s="8" t="s">
        <v>27</v>
      </c>
      <c r="F466" s="8">
        <v>14</v>
      </c>
      <c r="G466" s="8" t="s">
        <v>15</v>
      </c>
      <c r="H466" s="8" t="s">
        <v>16</v>
      </c>
      <c r="I466" s="8" t="s">
        <v>23</v>
      </c>
      <c r="J466" s="8" t="s">
        <v>49</v>
      </c>
      <c r="K466" s="8" t="s">
        <v>28</v>
      </c>
      <c r="L466" s="8" t="str">
        <f t="shared" si="16"/>
        <v>Senior</v>
      </c>
      <c r="M466" s="8" t="str">
        <f t="shared" si="17"/>
        <v>OK</v>
      </c>
      <c r="N466" s="9">
        <f>VLOOKUP(B466,Questions!$K$2:$L$7,2,FALSE)</f>
        <v>80</v>
      </c>
    </row>
    <row r="467" spans="1:14">
      <c r="A467" s="8" t="s">
        <v>372</v>
      </c>
      <c r="B467" s="8">
        <v>9</v>
      </c>
      <c r="C467" s="8" t="s">
        <v>21</v>
      </c>
      <c r="D467" s="8">
        <v>106</v>
      </c>
      <c r="E467" s="8" t="s">
        <v>27</v>
      </c>
      <c r="F467" s="8">
        <v>15</v>
      </c>
      <c r="G467" s="8" t="s">
        <v>33</v>
      </c>
      <c r="H467" s="8" t="s">
        <v>16</v>
      </c>
      <c r="I467" s="8" t="s">
        <v>23</v>
      </c>
      <c r="J467" s="8" t="s">
        <v>28</v>
      </c>
      <c r="K467" s="8" t="s">
        <v>28</v>
      </c>
      <c r="L467" s="8" t="str">
        <f t="shared" si="16"/>
        <v>Senior</v>
      </c>
      <c r="M467" s="8" t="str">
        <f t="shared" si="17"/>
        <v>Pending</v>
      </c>
      <c r="N467" s="9">
        <f>VLOOKUP(B467,Questions!$K$2:$L$7,2,FALSE)</f>
        <v>80</v>
      </c>
    </row>
    <row r="468" spans="1:14">
      <c r="A468" s="8" t="s">
        <v>253</v>
      </c>
      <c r="B468" s="8">
        <v>9</v>
      </c>
      <c r="C468" s="8" t="s">
        <v>21</v>
      </c>
      <c r="D468" s="8">
        <v>118</v>
      </c>
      <c r="E468" s="8" t="s">
        <v>27</v>
      </c>
      <c r="F468" s="8">
        <v>15</v>
      </c>
      <c r="G468" s="8" t="s">
        <v>15</v>
      </c>
      <c r="H468" s="8" t="s">
        <v>22</v>
      </c>
      <c r="I468" s="8" t="s">
        <v>23</v>
      </c>
      <c r="J468" s="8" t="s">
        <v>18</v>
      </c>
      <c r="K468" s="8" t="s">
        <v>28</v>
      </c>
      <c r="L468" s="8" t="str">
        <f t="shared" si="16"/>
        <v>Senior</v>
      </c>
      <c r="M468" s="8" t="str">
        <f t="shared" si="17"/>
        <v>OK</v>
      </c>
      <c r="N468" s="9">
        <f>VLOOKUP(B468,Questions!$K$2:$L$7,2,FALSE)</f>
        <v>80</v>
      </c>
    </row>
    <row r="469" spans="1:14">
      <c r="A469" s="8" t="s">
        <v>578</v>
      </c>
      <c r="B469" s="8">
        <v>9</v>
      </c>
      <c r="C469" s="8" t="s">
        <v>21</v>
      </c>
      <c r="D469" s="8">
        <v>121</v>
      </c>
      <c r="E469" s="8" t="s">
        <v>14</v>
      </c>
      <c r="F469" s="8">
        <v>14</v>
      </c>
      <c r="G469" s="8" t="s">
        <v>15</v>
      </c>
      <c r="H469" s="8" t="s">
        <v>16</v>
      </c>
      <c r="I469" s="8" t="s">
        <v>17</v>
      </c>
      <c r="J469" s="8" t="s">
        <v>28</v>
      </c>
      <c r="K469" s="8" t="s">
        <v>19</v>
      </c>
      <c r="L469" s="8" t="str">
        <f t="shared" si="16"/>
        <v>Senior</v>
      </c>
      <c r="M469" s="8" t="str">
        <f t="shared" si="17"/>
        <v>OK</v>
      </c>
      <c r="N469" s="9">
        <f>VLOOKUP(B469,Questions!$K$2:$L$7,2,FALSE)</f>
        <v>80</v>
      </c>
    </row>
    <row r="470" spans="1:14">
      <c r="A470" s="8" t="s">
        <v>160</v>
      </c>
      <c r="B470" s="8">
        <v>9</v>
      </c>
      <c r="C470" s="8" t="s">
        <v>21</v>
      </c>
      <c r="D470" s="8">
        <v>150</v>
      </c>
      <c r="E470" s="8" t="s">
        <v>14</v>
      </c>
      <c r="F470" s="8">
        <v>15</v>
      </c>
      <c r="G470" s="8" t="s">
        <v>33</v>
      </c>
      <c r="H470" s="8" t="s">
        <v>16</v>
      </c>
      <c r="I470" s="8" t="s">
        <v>23</v>
      </c>
      <c r="J470" s="8" t="s">
        <v>28</v>
      </c>
      <c r="K470" s="8" t="s">
        <v>31</v>
      </c>
      <c r="L470" s="8" t="str">
        <f t="shared" si="16"/>
        <v>Senior</v>
      </c>
      <c r="M470" s="8" t="str">
        <f t="shared" si="17"/>
        <v>Pending</v>
      </c>
      <c r="N470" s="9">
        <f>VLOOKUP(B470,Questions!$K$2:$L$7,2,FALSE)</f>
        <v>80</v>
      </c>
    </row>
    <row r="471" spans="1:14">
      <c r="A471" s="8" t="s">
        <v>544</v>
      </c>
      <c r="B471" s="8">
        <v>9</v>
      </c>
      <c r="C471" s="8" t="s">
        <v>21</v>
      </c>
      <c r="D471" s="8">
        <v>160</v>
      </c>
      <c r="E471" s="8" t="s">
        <v>27</v>
      </c>
      <c r="F471" s="8">
        <v>14</v>
      </c>
      <c r="G471" s="8" t="s">
        <v>33</v>
      </c>
      <c r="H471" s="8" t="s">
        <v>16</v>
      </c>
      <c r="I471" s="8" t="s">
        <v>17</v>
      </c>
      <c r="J471" s="8" t="s">
        <v>28</v>
      </c>
      <c r="K471" s="8" t="s">
        <v>31</v>
      </c>
      <c r="L471" s="8" t="str">
        <f t="shared" si="16"/>
        <v>Senior</v>
      </c>
      <c r="M471" s="8" t="str">
        <f t="shared" si="17"/>
        <v>Pending</v>
      </c>
      <c r="N471" s="9">
        <f>VLOOKUP(B471,Questions!$K$2:$L$7,2,FALSE)</f>
        <v>80</v>
      </c>
    </row>
    <row r="472" spans="1:14">
      <c r="A472" s="8" t="s">
        <v>279</v>
      </c>
      <c r="B472" s="8">
        <v>9</v>
      </c>
      <c r="C472" s="8" t="s">
        <v>21</v>
      </c>
      <c r="D472" s="8">
        <v>168</v>
      </c>
      <c r="E472" s="8" t="s">
        <v>27</v>
      </c>
      <c r="F472" s="8">
        <v>14</v>
      </c>
      <c r="G472" s="8" t="s">
        <v>33</v>
      </c>
      <c r="H472" s="8" t="s">
        <v>22</v>
      </c>
      <c r="I472" s="8" t="s">
        <v>17</v>
      </c>
      <c r="J472" s="8" t="s">
        <v>18</v>
      </c>
      <c r="K472" s="8" t="s">
        <v>19</v>
      </c>
      <c r="L472" s="8" t="str">
        <f t="shared" si="16"/>
        <v>Senior</v>
      </c>
      <c r="M472" s="8" t="str">
        <f t="shared" si="17"/>
        <v>Pending</v>
      </c>
      <c r="N472" s="9">
        <f>VLOOKUP(B472,Questions!$K$2:$L$7,2,FALSE)</f>
        <v>80</v>
      </c>
    </row>
    <row r="473" spans="1:14">
      <c r="A473" s="8" t="s">
        <v>509</v>
      </c>
      <c r="B473" s="8">
        <v>9</v>
      </c>
      <c r="C473" s="8" t="s">
        <v>21</v>
      </c>
      <c r="D473" s="8">
        <v>175</v>
      </c>
      <c r="E473" s="8" t="s">
        <v>14</v>
      </c>
      <c r="F473" s="8">
        <v>14</v>
      </c>
      <c r="G473" s="8" t="s">
        <v>15</v>
      </c>
      <c r="H473" s="8" t="s">
        <v>22</v>
      </c>
      <c r="I473" s="8" t="s">
        <v>23</v>
      </c>
      <c r="J473" s="8" t="s">
        <v>28</v>
      </c>
      <c r="K473" s="8" t="s">
        <v>19</v>
      </c>
      <c r="L473" s="8" t="str">
        <f t="shared" si="16"/>
        <v>Senior</v>
      </c>
      <c r="M473" s="8" t="str">
        <f t="shared" si="17"/>
        <v>OK</v>
      </c>
      <c r="N473" s="9">
        <f>VLOOKUP(B473,Questions!$K$2:$L$7,2,FALSE)</f>
        <v>80</v>
      </c>
    </row>
    <row r="474" spans="1:14">
      <c r="A474" s="8" t="s">
        <v>365</v>
      </c>
      <c r="B474" s="8">
        <v>9</v>
      </c>
      <c r="C474" s="8" t="s">
        <v>21</v>
      </c>
      <c r="D474" s="8">
        <v>179</v>
      </c>
      <c r="E474" s="8" t="s">
        <v>27</v>
      </c>
      <c r="F474" s="8">
        <v>15</v>
      </c>
      <c r="G474" s="8" t="s">
        <v>15</v>
      </c>
      <c r="H474" s="8" t="s">
        <v>16</v>
      </c>
      <c r="I474" s="8" t="s">
        <v>17</v>
      </c>
      <c r="J474" s="8" t="s">
        <v>28</v>
      </c>
      <c r="K474" s="8" t="s">
        <v>31</v>
      </c>
      <c r="L474" s="8" t="str">
        <f t="shared" si="16"/>
        <v>Senior</v>
      </c>
      <c r="M474" s="8" t="str">
        <f t="shared" si="17"/>
        <v>OK</v>
      </c>
      <c r="N474" s="9">
        <f>VLOOKUP(B474,Questions!$K$2:$L$7,2,FALSE)</f>
        <v>80</v>
      </c>
    </row>
    <row r="475" spans="1:14">
      <c r="A475" s="8" t="s">
        <v>355</v>
      </c>
      <c r="B475" s="8">
        <v>9</v>
      </c>
      <c r="C475" s="8" t="s">
        <v>21</v>
      </c>
      <c r="D475" s="8">
        <v>183</v>
      </c>
      <c r="E475" s="8" t="s">
        <v>27</v>
      </c>
      <c r="F475" s="8">
        <v>15</v>
      </c>
      <c r="G475" s="8" t="s">
        <v>33</v>
      </c>
      <c r="H475" s="8" t="s">
        <v>22</v>
      </c>
      <c r="I475" s="8" t="s">
        <v>23</v>
      </c>
      <c r="J475" s="8" t="s">
        <v>24</v>
      </c>
      <c r="K475" s="8" t="s">
        <v>19</v>
      </c>
      <c r="L475" s="8" t="str">
        <f t="shared" si="16"/>
        <v>Senior</v>
      </c>
      <c r="M475" s="8" t="str">
        <f t="shared" si="17"/>
        <v>Pending</v>
      </c>
      <c r="N475" s="9">
        <f>VLOOKUP(B475,Questions!$K$2:$L$7,2,FALSE)</f>
        <v>80</v>
      </c>
    </row>
    <row r="476" spans="1:14">
      <c r="A476" s="8" t="s">
        <v>585</v>
      </c>
      <c r="B476" s="8">
        <v>9</v>
      </c>
      <c r="C476" s="8" t="s">
        <v>21</v>
      </c>
      <c r="D476" s="8">
        <v>188</v>
      </c>
      <c r="E476" s="8" t="s">
        <v>14</v>
      </c>
      <c r="F476" s="8">
        <v>15</v>
      </c>
      <c r="G476" s="8" t="s">
        <v>15</v>
      </c>
      <c r="H476" s="8" t="s">
        <v>16</v>
      </c>
      <c r="I476" s="8" t="s">
        <v>23</v>
      </c>
      <c r="J476" s="8" t="s">
        <v>28</v>
      </c>
      <c r="K476" s="8" t="s">
        <v>19</v>
      </c>
      <c r="L476" s="8" t="str">
        <f t="shared" si="16"/>
        <v>Senior</v>
      </c>
      <c r="M476" s="8" t="str">
        <f t="shared" si="17"/>
        <v>OK</v>
      </c>
      <c r="N476" s="9">
        <f>VLOOKUP(B476,Questions!$K$2:$L$7,2,FALSE)</f>
        <v>80</v>
      </c>
    </row>
    <row r="477" spans="1:14">
      <c r="A477" s="8" t="s">
        <v>281</v>
      </c>
      <c r="B477" s="8">
        <v>10</v>
      </c>
      <c r="C477" s="8" t="s">
        <v>13</v>
      </c>
      <c r="D477" s="8">
        <v>1</v>
      </c>
      <c r="E477" s="8" t="s">
        <v>14</v>
      </c>
      <c r="F477" s="8">
        <v>16</v>
      </c>
      <c r="G477" s="8" t="s">
        <v>15</v>
      </c>
      <c r="H477" s="8" t="s">
        <v>16</v>
      </c>
      <c r="I477" s="8" t="s">
        <v>17</v>
      </c>
      <c r="J477" s="8" t="s">
        <v>49</v>
      </c>
      <c r="K477" s="8" t="s">
        <v>42</v>
      </c>
      <c r="L477" s="8" t="str">
        <f t="shared" si="16"/>
        <v>Senior</v>
      </c>
      <c r="M477" s="8" t="str">
        <f t="shared" si="17"/>
        <v>OK</v>
      </c>
      <c r="N477" s="9">
        <f>VLOOKUP(B477,Questions!$K$2:$L$7,2,FALSE)</f>
        <v>90</v>
      </c>
    </row>
    <row r="478" spans="1:14">
      <c r="A478" s="8" t="s">
        <v>345</v>
      </c>
      <c r="B478" s="8">
        <v>10</v>
      </c>
      <c r="C478" s="8" t="s">
        <v>13</v>
      </c>
      <c r="D478" s="8">
        <v>2</v>
      </c>
      <c r="E478" s="8" t="s">
        <v>14</v>
      </c>
      <c r="F478" s="8">
        <v>15</v>
      </c>
      <c r="G478" s="8" t="s">
        <v>15</v>
      </c>
      <c r="H478" s="8" t="s">
        <v>16</v>
      </c>
      <c r="I478" s="8" t="s">
        <v>23</v>
      </c>
      <c r="J478" s="8" t="s">
        <v>30</v>
      </c>
      <c r="K478" s="8" t="s">
        <v>31</v>
      </c>
      <c r="L478" s="8" t="str">
        <f t="shared" si="16"/>
        <v>Senior</v>
      </c>
      <c r="M478" s="8" t="str">
        <f t="shared" si="17"/>
        <v>OK</v>
      </c>
      <c r="N478" s="9">
        <f>VLOOKUP(B478,Questions!$K$2:$L$7,2,FALSE)</f>
        <v>90</v>
      </c>
    </row>
    <row r="479" spans="1:14">
      <c r="A479" s="8" t="s">
        <v>97</v>
      </c>
      <c r="B479" s="8">
        <v>10</v>
      </c>
      <c r="C479" s="8" t="s">
        <v>13</v>
      </c>
      <c r="D479" s="8">
        <v>5</v>
      </c>
      <c r="E479" s="8" t="s">
        <v>27</v>
      </c>
      <c r="F479" s="8">
        <v>16</v>
      </c>
      <c r="G479" s="8" t="s">
        <v>15</v>
      </c>
      <c r="H479" s="8" t="s">
        <v>22</v>
      </c>
      <c r="I479" s="8" t="s">
        <v>23</v>
      </c>
      <c r="J479" s="8" t="s">
        <v>24</v>
      </c>
      <c r="K479" s="8" t="s">
        <v>28</v>
      </c>
      <c r="L479" s="8" t="str">
        <f t="shared" si="16"/>
        <v>Senior</v>
      </c>
      <c r="M479" s="8" t="str">
        <f t="shared" si="17"/>
        <v>OK</v>
      </c>
      <c r="N479" s="9">
        <f>VLOOKUP(B479,Questions!$K$2:$L$7,2,FALSE)</f>
        <v>90</v>
      </c>
    </row>
    <row r="480" spans="1:14">
      <c r="A480" s="8" t="s">
        <v>127</v>
      </c>
      <c r="B480" s="8">
        <v>10</v>
      </c>
      <c r="C480" s="8" t="s">
        <v>13</v>
      </c>
      <c r="D480" s="8">
        <v>13</v>
      </c>
      <c r="E480" s="8" t="s">
        <v>14</v>
      </c>
      <c r="F480" s="8">
        <v>16</v>
      </c>
      <c r="G480" s="8" t="s">
        <v>33</v>
      </c>
      <c r="H480" s="8" t="s">
        <v>16</v>
      </c>
      <c r="I480" s="8" t="s">
        <v>23</v>
      </c>
      <c r="J480" s="8" t="s">
        <v>30</v>
      </c>
      <c r="K480" s="8" t="s">
        <v>28</v>
      </c>
      <c r="L480" s="8" t="str">
        <f t="shared" si="16"/>
        <v>Senior</v>
      </c>
      <c r="M480" s="8" t="str">
        <f t="shared" si="17"/>
        <v>Pending</v>
      </c>
      <c r="N480" s="9">
        <f>VLOOKUP(B480,Questions!$K$2:$L$7,2,FALSE)</f>
        <v>90</v>
      </c>
    </row>
    <row r="481" spans="1:14">
      <c r="A481" s="8" t="s">
        <v>526</v>
      </c>
      <c r="B481" s="8">
        <v>10</v>
      </c>
      <c r="C481" s="8" t="s">
        <v>13</v>
      </c>
      <c r="D481" s="8">
        <v>33</v>
      </c>
      <c r="E481" s="8" t="s">
        <v>14</v>
      </c>
      <c r="F481" s="8">
        <v>16</v>
      </c>
      <c r="G481" s="8" t="s">
        <v>15</v>
      </c>
      <c r="H481" s="8" t="s">
        <v>22</v>
      </c>
      <c r="I481" s="8" t="s">
        <v>17</v>
      </c>
      <c r="J481" s="8" t="s">
        <v>28</v>
      </c>
      <c r="K481" s="8" t="s">
        <v>31</v>
      </c>
      <c r="L481" s="8" t="str">
        <f t="shared" si="16"/>
        <v>Senior</v>
      </c>
      <c r="M481" s="8" t="str">
        <f t="shared" si="17"/>
        <v>OK</v>
      </c>
      <c r="N481" s="9">
        <f>VLOOKUP(B481,Questions!$K$2:$L$7,2,FALSE)</f>
        <v>90</v>
      </c>
    </row>
    <row r="482" spans="1:14">
      <c r="A482" s="8" t="s">
        <v>266</v>
      </c>
      <c r="B482" s="8">
        <v>10</v>
      </c>
      <c r="C482" s="8" t="s">
        <v>13</v>
      </c>
      <c r="D482" s="8">
        <v>34</v>
      </c>
      <c r="E482" s="8" t="s">
        <v>14</v>
      </c>
      <c r="F482" s="8">
        <v>16</v>
      </c>
      <c r="G482" s="8" t="s">
        <v>15</v>
      </c>
      <c r="H482" s="8" t="s">
        <v>22</v>
      </c>
      <c r="I482" s="8" t="s">
        <v>17</v>
      </c>
      <c r="J482" s="8" t="s">
        <v>49</v>
      </c>
      <c r="K482" s="8" t="s">
        <v>28</v>
      </c>
      <c r="L482" s="8" t="str">
        <f t="shared" si="16"/>
        <v>Senior</v>
      </c>
      <c r="M482" s="8" t="str">
        <f t="shared" si="17"/>
        <v>OK</v>
      </c>
      <c r="N482" s="9">
        <f>VLOOKUP(B482,Questions!$K$2:$L$7,2,FALSE)</f>
        <v>90</v>
      </c>
    </row>
    <row r="483" spans="1:14">
      <c r="A483" s="8" t="s">
        <v>241</v>
      </c>
      <c r="B483" s="8">
        <v>10</v>
      </c>
      <c r="C483" s="8" t="s">
        <v>13</v>
      </c>
      <c r="D483" s="8">
        <v>73</v>
      </c>
      <c r="E483" s="8" t="s">
        <v>27</v>
      </c>
      <c r="F483" s="8">
        <v>16</v>
      </c>
      <c r="G483" s="8" t="s">
        <v>15</v>
      </c>
      <c r="H483" s="8" t="s">
        <v>22</v>
      </c>
      <c r="I483" s="8" t="s">
        <v>17</v>
      </c>
      <c r="J483" s="8" t="s">
        <v>24</v>
      </c>
      <c r="K483" s="8" t="s">
        <v>31</v>
      </c>
      <c r="L483" s="8" t="str">
        <f t="shared" si="16"/>
        <v>Senior</v>
      </c>
      <c r="M483" s="8" t="str">
        <f t="shared" si="17"/>
        <v>OK</v>
      </c>
      <c r="N483" s="9">
        <f>VLOOKUP(B483,Questions!$K$2:$L$7,2,FALSE)</f>
        <v>90</v>
      </c>
    </row>
    <row r="484" spans="1:14">
      <c r="A484" s="8" t="s">
        <v>194</v>
      </c>
      <c r="B484" s="8">
        <v>10</v>
      </c>
      <c r="C484" s="8" t="s">
        <v>13</v>
      </c>
      <c r="D484" s="8">
        <v>76</v>
      </c>
      <c r="E484" s="8" t="s">
        <v>27</v>
      </c>
      <c r="F484" s="8">
        <v>16</v>
      </c>
      <c r="G484" s="8" t="s">
        <v>15</v>
      </c>
      <c r="H484" s="8" t="s">
        <v>22</v>
      </c>
      <c r="I484" s="8" t="s">
        <v>23</v>
      </c>
      <c r="J484" s="8" t="s">
        <v>28</v>
      </c>
      <c r="K484" s="8" t="s">
        <v>28</v>
      </c>
      <c r="L484" s="8" t="str">
        <f t="shared" si="16"/>
        <v>Senior</v>
      </c>
      <c r="M484" s="8" t="str">
        <f t="shared" si="17"/>
        <v>OK</v>
      </c>
      <c r="N484" s="9">
        <f>VLOOKUP(B484,Questions!$K$2:$L$7,2,FALSE)</f>
        <v>90</v>
      </c>
    </row>
    <row r="485" spans="1:14">
      <c r="A485" s="8" t="s">
        <v>294</v>
      </c>
      <c r="B485" s="8">
        <v>10</v>
      </c>
      <c r="C485" s="8" t="s">
        <v>13</v>
      </c>
      <c r="D485" s="8">
        <v>102</v>
      </c>
      <c r="E485" s="8" t="s">
        <v>27</v>
      </c>
      <c r="F485" s="8">
        <v>15</v>
      </c>
      <c r="G485" s="8" t="s">
        <v>33</v>
      </c>
      <c r="H485" s="8" t="s">
        <v>22</v>
      </c>
      <c r="I485" s="8" t="s">
        <v>17</v>
      </c>
      <c r="J485" s="8" t="s">
        <v>30</v>
      </c>
      <c r="K485" s="8" t="s">
        <v>19</v>
      </c>
      <c r="L485" s="8" t="str">
        <f t="shared" si="16"/>
        <v>Senior</v>
      </c>
      <c r="M485" s="8" t="str">
        <f t="shared" si="17"/>
        <v>Pending</v>
      </c>
      <c r="N485" s="9">
        <f>VLOOKUP(B485,Questions!$K$2:$L$7,2,FALSE)</f>
        <v>90</v>
      </c>
    </row>
    <row r="486" spans="1:14">
      <c r="A486" s="8" t="s">
        <v>569</v>
      </c>
      <c r="B486" s="8">
        <v>10</v>
      </c>
      <c r="C486" s="8" t="s">
        <v>13</v>
      </c>
      <c r="D486" s="8">
        <v>112</v>
      </c>
      <c r="E486" s="8" t="s">
        <v>14</v>
      </c>
      <c r="F486" s="8">
        <v>15</v>
      </c>
      <c r="G486" s="8" t="s">
        <v>15</v>
      </c>
      <c r="H486" s="8" t="s">
        <v>16</v>
      </c>
      <c r="I486" s="8" t="s">
        <v>17</v>
      </c>
      <c r="J486" s="8" t="s">
        <v>28</v>
      </c>
      <c r="K486" s="8" t="s">
        <v>42</v>
      </c>
      <c r="L486" s="8" t="str">
        <f t="shared" si="16"/>
        <v>Senior</v>
      </c>
      <c r="M486" s="8" t="str">
        <f t="shared" si="17"/>
        <v>OK</v>
      </c>
      <c r="N486" s="9">
        <f>VLOOKUP(B486,Questions!$K$2:$L$7,2,FALSE)</f>
        <v>90</v>
      </c>
    </row>
    <row r="487" spans="1:14">
      <c r="A487" s="8" t="s">
        <v>539</v>
      </c>
      <c r="B487" s="8">
        <v>10</v>
      </c>
      <c r="C487" s="8" t="s">
        <v>13</v>
      </c>
      <c r="D487" s="8">
        <v>113</v>
      </c>
      <c r="E487" s="8" t="s">
        <v>27</v>
      </c>
      <c r="F487" s="8">
        <v>15</v>
      </c>
      <c r="G487" s="8" t="s">
        <v>15</v>
      </c>
      <c r="H487" s="8" t="s">
        <v>16</v>
      </c>
      <c r="I487" s="8" t="s">
        <v>23</v>
      </c>
      <c r="J487" s="8" t="s">
        <v>18</v>
      </c>
      <c r="K487" s="8" t="s">
        <v>31</v>
      </c>
      <c r="L487" s="8" t="str">
        <f t="shared" si="16"/>
        <v>Senior</v>
      </c>
      <c r="M487" s="8" t="str">
        <f t="shared" si="17"/>
        <v>OK</v>
      </c>
      <c r="N487" s="9">
        <f>VLOOKUP(B487,Questions!$K$2:$L$7,2,FALSE)</f>
        <v>90</v>
      </c>
    </row>
    <row r="488" spans="1:14">
      <c r="A488" s="8" t="s">
        <v>441</v>
      </c>
      <c r="B488" s="8">
        <v>10</v>
      </c>
      <c r="C488" s="8" t="s">
        <v>13</v>
      </c>
      <c r="D488" s="8">
        <v>115</v>
      </c>
      <c r="E488" s="8" t="s">
        <v>14</v>
      </c>
      <c r="F488" s="8">
        <v>16</v>
      </c>
      <c r="G488" s="8" t="s">
        <v>33</v>
      </c>
      <c r="H488" s="8" t="s">
        <v>22</v>
      </c>
      <c r="I488" s="8" t="s">
        <v>17</v>
      </c>
      <c r="J488" s="8" t="s">
        <v>30</v>
      </c>
      <c r="K488" s="8" t="s">
        <v>31</v>
      </c>
      <c r="L488" s="8" t="str">
        <f t="shared" si="16"/>
        <v>Senior</v>
      </c>
      <c r="M488" s="8" t="str">
        <f t="shared" si="17"/>
        <v>Pending</v>
      </c>
      <c r="N488" s="9">
        <f>VLOOKUP(B488,Questions!$K$2:$L$7,2,FALSE)</f>
        <v>90</v>
      </c>
    </row>
    <row r="489" spans="1:14">
      <c r="A489" s="8" t="s">
        <v>577</v>
      </c>
      <c r="B489" s="8">
        <v>10</v>
      </c>
      <c r="C489" s="8" t="s">
        <v>13</v>
      </c>
      <c r="D489" s="8">
        <v>122</v>
      </c>
      <c r="E489" s="8" t="s">
        <v>27</v>
      </c>
      <c r="F489" s="8">
        <v>15</v>
      </c>
      <c r="G489" s="8" t="s">
        <v>15</v>
      </c>
      <c r="H489" s="8" t="s">
        <v>16</v>
      </c>
      <c r="I489" s="8" t="s">
        <v>23</v>
      </c>
      <c r="J489" s="8" t="s">
        <v>18</v>
      </c>
      <c r="K489" s="8" t="s">
        <v>28</v>
      </c>
      <c r="L489" s="8" t="str">
        <f t="shared" si="16"/>
        <v>Senior</v>
      </c>
      <c r="M489" s="8" t="str">
        <f t="shared" si="17"/>
        <v>OK</v>
      </c>
      <c r="N489" s="9">
        <f>VLOOKUP(B489,Questions!$K$2:$L$7,2,FALSE)</f>
        <v>90</v>
      </c>
    </row>
    <row r="490" spans="1:14">
      <c r="A490" s="8" t="s">
        <v>117</v>
      </c>
      <c r="B490" s="8">
        <v>10</v>
      </c>
      <c r="C490" s="8" t="s">
        <v>13</v>
      </c>
      <c r="D490" s="8">
        <v>126</v>
      </c>
      <c r="E490" s="8" t="s">
        <v>14</v>
      </c>
      <c r="F490" s="8">
        <v>15</v>
      </c>
      <c r="G490" s="8" t="s">
        <v>33</v>
      </c>
      <c r="H490" s="8" t="s">
        <v>16</v>
      </c>
      <c r="I490" s="8" t="s">
        <v>17</v>
      </c>
      <c r="J490" s="8" t="s">
        <v>18</v>
      </c>
      <c r="K490" s="8" t="s">
        <v>19</v>
      </c>
      <c r="L490" s="8" t="str">
        <f t="shared" si="16"/>
        <v>Senior</v>
      </c>
      <c r="M490" s="8" t="str">
        <f t="shared" si="17"/>
        <v>Pending</v>
      </c>
      <c r="N490" s="9">
        <f>VLOOKUP(B490,Questions!$K$2:$L$7,2,FALSE)</f>
        <v>90</v>
      </c>
    </row>
    <row r="491" spans="1:14">
      <c r="A491" s="8" t="s">
        <v>108</v>
      </c>
      <c r="B491" s="8">
        <v>10</v>
      </c>
      <c r="C491" s="8" t="s">
        <v>13</v>
      </c>
      <c r="D491" s="8">
        <v>136</v>
      </c>
      <c r="E491" s="8" t="s">
        <v>27</v>
      </c>
      <c r="F491" s="8">
        <v>16</v>
      </c>
      <c r="G491" s="8" t="s">
        <v>33</v>
      </c>
      <c r="H491" s="8" t="s">
        <v>22</v>
      </c>
      <c r="I491" s="8" t="s">
        <v>17</v>
      </c>
      <c r="J491" s="8" t="s">
        <v>24</v>
      </c>
      <c r="K491" s="8" t="s">
        <v>19</v>
      </c>
      <c r="L491" s="8" t="str">
        <f t="shared" si="16"/>
        <v>Senior</v>
      </c>
      <c r="M491" s="8" t="str">
        <f t="shared" si="17"/>
        <v>Pending</v>
      </c>
      <c r="N491" s="9">
        <f>VLOOKUP(B491,Questions!$K$2:$L$7,2,FALSE)</f>
        <v>90</v>
      </c>
    </row>
    <row r="492" spans="1:14">
      <c r="A492" s="8" t="s">
        <v>103</v>
      </c>
      <c r="B492" s="8">
        <v>10</v>
      </c>
      <c r="C492" s="8" t="s">
        <v>13</v>
      </c>
      <c r="D492" s="8">
        <v>138</v>
      </c>
      <c r="E492" s="8" t="s">
        <v>27</v>
      </c>
      <c r="F492" s="8">
        <v>15</v>
      </c>
      <c r="G492" s="8" t="s">
        <v>33</v>
      </c>
      <c r="H492" s="8" t="s">
        <v>16</v>
      </c>
      <c r="I492" s="8" t="s">
        <v>17</v>
      </c>
      <c r="J492" s="8" t="s">
        <v>49</v>
      </c>
      <c r="K492" s="8" t="s">
        <v>31</v>
      </c>
      <c r="L492" s="8" t="str">
        <f t="shared" si="16"/>
        <v>Senior</v>
      </c>
      <c r="M492" s="8" t="str">
        <f t="shared" si="17"/>
        <v>Pending</v>
      </c>
      <c r="N492" s="9">
        <f>VLOOKUP(B492,Questions!$K$2:$L$7,2,FALSE)</f>
        <v>90</v>
      </c>
    </row>
    <row r="493" spans="1:14">
      <c r="A493" s="8" t="s">
        <v>114</v>
      </c>
      <c r="B493" s="8">
        <v>10</v>
      </c>
      <c r="C493" s="8" t="s">
        <v>13</v>
      </c>
      <c r="D493" s="8">
        <v>169</v>
      </c>
      <c r="E493" s="8" t="s">
        <v>14</v>
      </c>
      <c r="F493" s="8">
        <v>16</v>
      </c>
      <c r="G493" s="8" t="s">
        <v>33</v>
      </c>
      <c r="H493" s="8" t="s">
        <v>22</v>
      </c>
      <c r="I493" s="8" t="s">
        <v>17</v>
      </c>
      <c r="J493" s="8" t="s">
        <v>24</v>
      </c>
      <c r="K493" s="8" t="s">
        <v>28</v>
      </c>
      <c r="L493" s="8" t="str">
        <f t="shared" si="16"/>
        <v>Senior</v>
      </c>
      <c r="M493" s="8" t="str">
        <f t="shared" si="17"/>
        <v>Pending</v>
      </c>
      <c r="N493" s="9">
        <f>VLOOKUP(B493,Questions!$K$2:$L$7,2,FALSE)</f>
        <v>90</v>
      </c>
    </row>
    <row r="494" spans="1:14">
      <c r="A494" s="8" t="s">
        <v>234</v>
      </c>
      <c r="B494" s="8">
        <v>10</v>
      </c>
      <c r="C494" s="8" t="s">
        <v>13</v>
      </c>
      <c r="D494" s="8">
        <v>179</v>
      </c>
      <c r="E494" s="8" t="s">
        <v>14</v>
      </c>
      <c r="F494" s="8">
        <v>15</v>
      </c>
      <c r="G494" s="8" t="s">
        <v>15</v>
      </c>
      <c r="H494" s="8" t="s">
        <v>22</v>
      </c>
      <c r="I494" s="8" t="s">
        <v>17</v>
      </c>
      <c r="J494" s="8" t="s">
        <v>49</v>
      </c>
      <c r="K494" s="8" t="s">
        <v>28</v>
      </c>
      <c r="L494" s="8" t="str">
        <f t="shared" si="16"/>
        <v>Senior</v>
      </c>
      <c r="M494" s="8" t="str">
        <f t="shared" si="17"/>
        <v>OK</v>
      </c>
      <c r="N494" s="9">
        <f>VLOOKUP(B494,Questions!$K$2:$L$7,2,FALSE)</f>
        <v>90</v>
      </c>
    </row>
    <row r="495" spans="1:14">
      <c r="A495" s="8" t="s">
        <v>360</v>
      </c>
      <c r="B495" s="8">
        <v>10</v>
      </c>
      <c r="C495" s="8" t="s">
        <v>13</v>
      </c>
      <c r="D495" s="8">
        <v>182</v>
      </c>
      <c r="E495" s="8" t="s">
        <v>27</v>
      </c>
      <c r="F495" s="8">
        <v>16</v>
      </c>
      <c r="G495" s="8" t="s">
        <v>15</v>
      </c>
      <c r="H495" s="8" t="s">
        <v>16</v>
      </c>
      <c r="I495" s="8" t="s">
        <v>23</v>
      </c>
      <c r="J495" s="8" t="s">
        <v>24</v>
      </c>
      <c r="K495" s="8" t="s">
        <v>42</v>
      </c>
      <c r="L495" s="8" t="str">
        <f t="shared" si="16"/>
        <v>Senior</v>
      </c>
      <c r="M495" s="8" t="str">
        <f t="shared" si="17"/>
        <v>OK</v>
      </c>
      <c r="N495" s="9">
        <f>VLOOKUP(B495,Questions!$K$2:$L$7,2,FALSE)</f>
        <v>90</v>
      </c>
    </row>
    <row r="496" spans="1:14">
      <c r="A496" s="8" t="s">
        <v>391</v>
      </c>
      <c r="B496" s="8">
        <v>10</v>
      </c>
      <c r="C496" s="8" t="s">
        <v>13</v>
      </c>
      <c r="D496" s="8">
        <v>183</v>
      </c>
      <c r="E496" s="8" t="s">
        <v>14</v>
      </c>
      <c r="F496" s="8">
        <v>16</v>
      </c>
      <c r="G496" s="8" t="s">
        <v>15</v>
      </c>
      <c r="H496" s="8" t="s">
        <v>22</v>
      </c>
      <c r="I496" s="8" t="s">
        <v>23</v>
      </c>
      <c r="J496" s="8" t="s">
        <v>18</v>
      </c>
      <c r="K496" s="8" t="s">
        <v>31</v>
      </c>
      <c r="L496" s="8" t="str">
        <f t="shared" si="16"/>
        <v>Senior</v>
      </c>
      <c r="M496" s="8" t="str">
        <f t="shared" si="17"/>
        <v>OK</v>
      </c>
      <c r="N496" s="9">
        <f>VLOOKUP(B496,Questions!$K$2:$L$7,2,FALSE)</f>
        <v>90</v>
      </c>
    </row>
    <row r="497" spans="1:14">
      <c r="A497" s="8" t="s">
        <v>586</v>
      </c>
      <c r="B497" s="8">
        <v>10</v>
      </c>
      <c r="C497" s="8" t="s">
        <v>13</v>
      </c>
      <c r="D497" s="8">
        <v>185</v>
      </c>
      <c r="E497" s="8" t="s">
        <v>27</v>
      </c>
      <c r="F497" s="8">
        <v>15</v>
      </c>
      <c r="G497" s="8" t="s">
        <v>15</v>
      </c>
      <c r="H497" s="8" t="s">
        <v>16</v>
      </c>
      <c r="I497" s="8" t="s">
        <v>23</v>
      </c>
      <c r="J497" s="8" t="s">
        <v>28</v>
      </c>
      <c r="K497" s="8" t="s">
        <v>19</v>
      </c>
      <c r="L497" s="8" t="str">
        <f t="shared" si="16"/>
        <v>Senior</v>
      </c>
      <c r="M497" s="8" t="str">
        <f t="shared" si="17"/>
        <v>OK</v>
      </c>
      <c r="N497" s="9">
        <f>VLOOKUP(B497,Questions!$K$2:$L$7,2,FALSE)</f>
        <v>90</v>
      </c>
    </row>
    <row r="498" spans="1:14">
      <c r="A498" s="8" t="s">
        <v>323</v>
      </c>
      <c r="B498" s="8">
        <v>10</v>
      </c>
      <c r="C498" s="8" t="s">
        <v>13</v>
      </c>
      <c r="D498" s="8">
        <v>189</v>
      </c>
      <c r="E498" s="8" t="s">
        <v>14</v>
      </c>
      <c r="F498" s="8">
        <v>16</v>
      </c>
      <c r="G498" s="8" t="s">
        <v>15</v>
      </c>
      <c r="H498" s="8" t="s">
        <v>22</v>
      </c>
      <c r="I498" s="8" t="s">
        <v>17</v>
      </c>
      <c r="J498" s="8" t="s">
        <v>18</v>
      </c>
      <c r="K498" s="8" t="s">
        <v>19</v>
      </c>
      <c r="L498" s="8" t="str">
        <f t="shared" si="16"/>
        <v>Senior</v>
      </c>
      <c r="M498" s="8" t="str">
        <f t="shared" si="17"/>
        <v>OK</v>
      </c>
      <c r="N498" s="9">
        <f>VLOOKUP(B498,Questions!$K$2:$L$7,2,FALSE)</f>
        <v>90</v>
      </c>
    </row>
    <row r="499" spans="1:14">
      <c r="A499" s="8" t="s">
        <v>592</v>
      </c>
      <c r="B499" s="8">
        <v>10</v>
      </c>
      <c r="C499" s="8" t="s">
        <v>13</v>
      </c>
      <c r="D499" s="8">
        <v>190</v>
      </c>
      <c r="E499" s="8" t="s">
        <v>27</v>
      </c>
      <c r="F499" s="8">
        <v>16</v>
      </c>
      <c r="G499" s="8" t="s">
        <v>33</v>
      </c>
      <c r="H499" s="8" t="s">
        <v>22</v>
      </c>
      <c r="I499" s="8" t="s">
        <v>23</v>
      </c>
      <c r="J499" s="8" t="s">
        <v>28</v>
      </c>
      <c r="K499" s="8" t="s">
        <v>28</v>
      </c>
      <c r="L499" s="8" t="str">
        <f t="shared" si="16"/>
        <v>Senior</v>
      </c>
      <c r="M499" s="8" t="str">
        <f t="shared" si="17"/>
        <v>Pending</v>
      </c>
      <c r="N499" s="9">
        <f>VLOOKUP(B499,Questions!$K$2:$L$7,2,FALSE)</f>
        <v>90</v>
      </c>
    </row>
    <row r="500" spans="1:14">
      <c r="A500" s="8" t="s">
        <v>597</v>
      </c>
      <c r="B500" s="8">
        <v>10</v>
      </c>
      <c r="C500" s="8" t="s">
        <v>13</v>
      </c>
      <c r="D500" s="8">
        <v>199</v>
      </c>
      <c r="E500" s="8" t="s">
        <v>27</v>
      </c>
      <c r="F500" s="8">
        <v>15</v>
      </c>
      <c r="G500" s="8" t="s">
        <v>33</v>
      </c>
      <c r="H500" s="8" t="s">
        <v>16</v>
      </c>
      <c r="I500" s="8" t="s">
        <v>17</v>
      </c>
      <c r="J500" s="8" t="s">
        <v>28</v>
      </c>
      <c r="K500" s="8" t="s">
        <v>28</v>
      </c>
      <c r="L500" s="8" t="str">
        <f t="shared" si="16"/>
        <v>Senior</v>
      </c>
      <c r="M500" s="8" t="str">
        <f t="shared" si="17"/>
        <v>Pending</v>
      </c>
      <c r="N500" s="9">
        <f>VLOOKUP(B500,Questions!$K$2:$L$7,2,FALSE)</f>
        <v>90</v>
      </c>
    </row>
    <row r="501" spans="1:14">
      <c r="A501" s="8" t="s">
        <v>342</v>
      </c>
      <c r="B501" s="8">
        <v>10</v>
      </c>
      <c r="C501" s="8" t="s">
        <v>37</v>
      </c>
      <c r="D501" s="8">
        <v>7</v>
      </c>
      <c r="E501" s="8" t="s">
        <v>14</v>
      </c>
      <c r="F501" s="8">
        <v>15</v>
      </c>
      <c r="G501" s="8" t="s">
        <v>33</v>
      </c>
      <c r="H501" s="8" t="s">
        <v>16</v>
      </c>
      <c r="I501" s="8" t="s">
        <v>23</v>
      </c>
      <c r="J501" s="8" t="s">
        <v>49</v>
      </c>
      <c r="K501" s="8" t="s">
        <v>31</v>
      </c>
      <c r="L501" s="8" t="str">
        <f t="shared" si="16"/>
        <v>Senior</v>
      </c>
      <c r="M501" s="8" t="str">
        <f t="shared" si="17"/>
        <v>Pending</v>
      </c>
      <c r="N501" s="9">
        <f>VLOOKUP(B501,Questions!$K$2:$L$7,2,FALSE)</f>
        <v>90</v>
      </c>
    </row>
    <row r="502" spans="1:14">
      <c r="A502" s="8" t="s">
        <v>187</v>
      </c>
      <c r="B502" s="8">
        <v>10</v>
      </c>
      <c r="C502" s="8" t="s">
        <v>37</v>
      </c>
      <c r="D502" s="8">
        <v>28</v>
      </c>
      <c r="E502" s="8" t="s">
        <v>27</v>
      </c>
      <c r="F502" s="8">
        <v>15</v>
      </c>
      <c r="G502" s="8" t="s">
        <v>33</v>
      </c>
      <c r="H502" s="8" t="s">
        <v>22</v>
      </c>
      <c r="I502" s="8" t="s">
        <v>17</v>
      </c>
      <c r="J502" s="8" t="s">
        <v>24</v>
      </c>
      <c r="K502" s="8" t="s">
        <v>28</v>
      </c>
      <c r="L502" s="8" t="str">
        <f t="shared" si="16"/>
        <v>Senior</v>
      </c>
      <c r="M502" s="8" t="str">
        <f t="shared" si="17"/>
        <v>Pending</v>
      </c>
      <c r="N502" s="9">
        <f>VLOOKUP(B502,Questions!$K$2:$L$7,2,FALSE)</f>
        <v>90</v>
      </c>
    </row>
    <row r="503" spans="1:14">
      <c r="A503" s="8" t="s">
        <v>487</v>
      </c>
      <c r="B503" s="8">
        <v>10</v>
      </c>
      <c r="C503" s="8" t="s">
        <v>37</v>
      </c>
      <c r="D503" s="8">
        <v>39</v>
      </c>
      <c r="E503" s="8" t="s">
        <v>14</v>
      </c>
      <c r="F503" s="8">
        <v>16</v>
      </c>
      <c r="G503" s="8" t="s">
        <v>33</v>
      </c>
      <c r="H503" s="8" t="s">
        <v>22</v>
      </c>
      <c r="I503" s="8" t="s">
        <v>23</v>
      </c>
      <c r="J503" s="8" t="s">
        <v>24</v>
      </c>
      <c r="K503" s="8" t="s">
        <v>19</v>
      </c>
      <c r="L503" s="8" t="str">
        <f t="shared" si="16"/>
        <v>Senior</v>
      </c>
      <c r="M503" s="8" t="str">
        <f t="shared" si="17"/>
        <v>Pending</v>
      </c>
      <c r="N503" s="9">
        <f>VLOOKUP(B503,Questions!$K$2:$L$7,2,FALSE)</f>
        <v>90</v>
      </c>
    </row>
    <row r="504" spans="1:14">
      <c r="A504" s="8" t="s">
        <v>254</v>
      </c>
      <c r="B504" s="8">
        <v>10</v>
      </c>
      <c r="C504" s="8" t="s">
        <v>37</v>
      </c>
      <c r="D504" s="8">
        <v>51</v>
      </c>
      <c r="E504" s="8" t="s">
        <v>27</v>
      </c>
      <c r="F504" s="8">
        <v>16</v>
      </c>
      <c r="G504" s="8" t="s">
        <v>15</v>
      </c>
      <c r="H504" s="8" t="s">
        <v>16</v>
      </c>
      <c r="I504" s="8" t="s">
        <v>17</v>
      </c>
      <c r="J504" s="8" t="s">
        <v>18</v>
      </c>
      <c r="K504" s="8" t="s">
        <v>19</v>
      </c>
      <c r="L504" s="8" t="str">
        <f t="shared" si="16"/>
        <v>Senior</v>
      </c>
      <c r="M504" s="8" t="str">
        <f t="shared" si="17"/>
        <v>OK</v>
      </c>
      <c r="N504" s="9">
        <f>VLOOKUP(B504,Questions!$K$2:$L$7,2,FALSE)</f>
        <v>90</v>
      </c>
    </row>
    <row r="505" spans="1:14">
      <c r="A505" s="8" t="s">
        <v>399</v>
      </c>
      <c r="B505" s="8">
        <v>10</v>
      </c>
      <c r="C505" s="8" t="s">
        <v>37</v>
      </c>
      <c r="D505" s="8">
        <v>55</v>
      </c>
      <c r="E505" s="8" t="s">
        <v>27</v>
      </c>
      <c r="F505" s="8">
        <v>16</v>
      </c>
      <c r="G505" s="8" t="s">
        <v>33</v>
      </c>
      <c r="H505" s="8" t="s">
        <v>16</v>
      </c>
      <c r="I505" s="8" t="s">
        <v>23</v>
      </c>
      <c r="J505" s="8" t="s">
        <v>18</v>
      </c>
      <c r="K505" s="8" t="s">
        <v>19</v>
      </c>
      <c r="L505" s="8" t="str">
        <f t="shared" si="16"/>
        <v>Senior</v>
      </c>
      <c r="M505" s="8" t="str">
        <f t="shared" si="17"/>
        <v>Pending</v>
      </c>
      <c r="N505" s="9">
        <f>VLOOKUP(B505,Questions!$K$2:$L$7,2,FALSE)</f>
        <v>90</v>
      </c>
    </row>
    <row r="506" spans="1:14">
      <c r="A506" s="8" t="s">
        <v>580</v>
      </c>
      <c r="B506" s="8">
        <v>10</v>
      </c>
      <c r="C506" s="8" t="s">
        <v>37</v>
      </c>
      <c r="D506" s="8">
        <v>56</v>
      </c>
      <c r="E506" s="8" t="s">
        <v>14</v>
      </c>
      <c r="F506" s="8">
        <v>15</v>
      </c>
      <c r="G506" s="8" t="s">
        <v>15</v>
      </c>
      <c r="H506" s="8" t="s">
        <v>16</v>
      </c>
      <c r="I506" s="8" t="s">
        <v>17</v>
      </c>
      <c r="J506" s="8" t="s">
        <v>28</v>
      </c>
      <c r="K506" s="8" t="s">
        <v>28</v>
      </c>
      <c r="L506" s="8" t="str">
        <f t="shared" si="16"/>
        <v>Senior</v>
      </c>
      <c r="M506" s="8" t="str">
        <f t="shared" si="17"/>
        <v>OK</v>
      </c>
      <c r="N506" s="9">
        <f>VLOOKUP(B506,Questions!$K$2:$L$7,2,FALSE)</f>
        <v>90</v>
      </c>
    </row>
    <row r="507" spans="1:14">
      <c r="A507" s="8" t="s">
        <v>464</v>
      </c>
      <c r="B507" s="8">
        <v>10</v>
      </c>
      <c r="C507" s="8" t="s">
        <v>37</v>
      </c>
      <c r="D507" s="8">
        <v>58</v>
      </c>
      <c r="E507" s="8" t="s">
        <v>27</v>
      </c>
      <c r="F507" s="8">
        <v>15</v>
      </c>
      <c r="G507" s="8" t="s">
        <v>33</v>
      </c>
      <c r="H507" s="8" t="s">
        <v>22</v>
      </c>
      <c r="I507" s="8" t="s">
        <v>17</v>
      </c>
      <c r="J507" s="8" t="s">
        <v>30</v>
      </c>
      <c r="K507" s="8" t="s">
        <v>19</v>
      </c>
      <c r="L507" s="8" t="str">
        <f t="shared" si="16"/>
        <v>Senior</v>
      </c>
      <c r="M507" s="8" t="str">
        <f t="shared" si="17"/>
        <v>Pending</v>
      </c>
      <c r="N507" s="9">
        <f>VLOOKUP(B507,Questions!$K$2:$L$7,2,FALSE)</f>
        <v>90</v>
      </c>
    </row>
    <row r="508" spans="1:14">
      <c r="A508" s="8" t="s">
        <v>290</v>
      </c>
      <c r="B508" s="8">
        <v>10</v>
      </c>
      <c r="C508" s="8" t="s">
        <v>37</v>
      </c>
      <c r="D508" s="8">
        <v>61</v>
      </c>
      <c r="E508" s="8" t="s">
        <v>27</v>
      </c>
      <c r="F508" s="8">
        <v>16</v>
      </c>
      <c r="G508" s="8" t="s">
        <v>33</v>
      </c>
      <c r="H508" s="8" t="s">
        <v>16</v>
      </c>
      <c r="I508" s="8" t="s">
        <v>23</v>
      </c>
      <c r="J508" s="8" t="s">
        <v>18</v>
      </c>
      <c r="K508" s="8" t="s">
        <v>31</v>
      </c>
      <c r="L508" s="8" t="str">
        <f t="shared" si="16"/>
        <v>Senior</v>
      </c>
      <c r="M508" s="8" t="str">
        <f t="shared" si="17"/>
        <v>Pending</v>
      </c>
      <c r="N508" s="9">
        <f>VLOOKUP(B508,Questions!$K$2:$L$7,2,FALSE)</f>
        <v>90</v>
      </c>
    </row>
    <row r="509" spans="1:14">
      <c r="A509" s="8" t="s">
        <v>52</v>
      </c>
      <c r="B509" s="8">
        <v>10</v>
      </c>
      <c r="C509" s="8" t="s">
        <v>37</v>
      </c>
      <c r="D509" s="8">
        <v>64</v>
      </c>
      <c r="E509" s="8" t="s">
        <v>27</v>
      </c>
      <c r="F509" s="8">
        <v>16</v>
      </c>
      <c r="G509" s="8" t="s">
        <v>33</v>
      </c>
      <c r="H509" s="8" t="s">
        <v>22</v>
      </c>
      <c r="I509" s="8" t="s">
        <v>23</v>
      </c>
      <c r="J509" s="8" t="s">
        <v>18</v>
      </c>
      <c r="K509" s="8" t="s">
        <v>28</v>
      </c>
      <c r="L509" s="8" t="str">
        <f t="shared" si="16"/>
        <v>Senior</v>
      </c>
      <c r="M509" s="8" t="str">
        <f t="shared" si="17"/>
        <v>Pending</v>
      </c>
      <c r="N509" s="9">
        <f>VLOOKUP(B509,Questions!$K$2:$L$7,2,FALSE)</f>
        <v>90</v>
      </c>
    </row>
    <row r="510" spans="1:14">
      <c r="A510" s="8" t="s">
        <v>148</v>
      </c>
      <c r="B510" s="8">
        <v>10</v>
      </c>
      <c r="C510" s="8" t="s">
        <v>37</v>
      </c>
      <c r="D510" s="8">
        <v>67</v>
      </c>
      <c r="E510" s="8" t="s">
        <v>14</v>
      </c>
      <c r="F510" s="8">
        <v>16</v>
      </c>
      <c r="G510" s="8" t="s">
        <v>15</v>
      </c>
      <c r="H510" s="8" t="s">
        <v>22</v>
      </c>
      <c r="I510" s="8" t="s">
        <v>23</v>
      </c>
      <c r="J510" s="8" t="s">
        <v>49</v>
      </c>
      <c r="K510" s="8" t="s">
        <v>31</v>
      </c>
      <c r="L510" s="8" t="str">
        <f t="shared" si="16"/>
        <v>Senior</v>
      </c>
      <c r="M510" s="8" t="str">
        <f t="shared" si="17"/>
        <v>OK</v>
      </c>
      <c r="N510" s="9">
        <f>VLOOKUP(B510,Questions!$K$2:$L$7,2,FALSE)</f>
        <v>90</v>
      </c>
    </row>
    <row r="511" spans="1:14">
      <c r="A511" s="8" t="s">
        <v>98</v>
      </c>
      <c r="B511" s="8">
        <v>10</v>
      </c>
      <c r="C511" s="8" t="s">
        <v>37</v>
      </c>
      <c r="D511" s="8">
        <v>68</v>
      </c>
      <c r="E511" s="8" t="s">
        <v>27</v>
      </c>
      <c r="F511" s="8">
        <v>15</v>
      </c>
      <c r="G511" s="8" t="s">
        <v>15</v>
      </c>
      <c r="H511" s="8" t="s">
        <v>22</v>
      </c>
      <c r="I511" s="8" t="s">
        <v>23</v>
      </c>
      <c r="J511" s="8" t="s">
        <v>30</v>
      </c>
      <c r="K511" s="8" t="s">
        <v>28</v>
      </c>
      <c r="L511" s="8" t="str">
        <f t="shared" si="16"/>
        <v>Senior</v>
      </c>
      <c r="M511" s="8" t="str">
        <f t="shared" si="17"/>
        <v>OK</v>
      </c>
      <c r="N511" s="9">
        <f>VLOOKUP(B511,Questions!$K$2:$L$7,2,FALSE)</f>
        <v>90</v>
      </c>
    </row>
    <row r="512" spans="1:14">
      <c r="A512" s="8" t="s">
        <v>291</v>
      </c>
      <c r="B512" s="8">
        <v>10</v>
      </c>
      <c r="C512" s="8" t="s">
        <v>37</v>
      </c>
      <c r="D512" s="8">
        <v>77</v>
      </c>
      <c r="E512" s="8" t="s">
        <v>14</v>
      </c>
      <c r="F512" s="8">
        <v>16</v>
      </c>
      <c r="G512" s="8" t="s">
        <v>33</v>
      </c>
      <c r="H512" s="8" t="s">
        <v>22</v>
      </c>
      <c r="I512" s="8" t="s">
        <v>17</v>
      </c>
      <c r="J512" s="8" t="s">
        <v>24</v>
      </c>
      <c r="K512" s="8" t="s">
        <v>28</v>
      </c>
      <c r="L512" s="8" t="str">
        <f t="shared" si="16"/>
        <v>Senior</v>
      </c>
      <c r="M512" s="8" t="str">
        <f t="shared" si="17"/>
        <v>Pending</v>
      </c>
      <c r="N512" s="9">
        <f>VLOOKUP(B512,Questions!$K$2:$L$7,2,FALSE)</f>
        <v>90</v>
      </c>
    </row>
    <row r="513" spans="1:14">
      <c r="A513" s="8" t="s">
        <v>178</v>
      </c>
      <c r="B513" s="8">
        <v>10</v>
      </c>
      <c r="C513" s="8" t="s">
        <v>37</v>
      </c>
      <c r="D513" s="8">
        <v>83</v>
      </c>
      <c r="E513" s="8" t="s">
        <v>14</v>
      </c>
      <c r="F513" s="8">
        <v>16</v>
      </c>
      <c r="G513" s="8" t="s">
        <v>33</v>
      </c>
      <c r="H513" s="8" t="s">
        <v>22</v>
      </c>
      <c r="I513" s="8" t="s">
        <v>23</v>
      </c>
      <c r="J513" s="8" t="s">
        <v>18</v>
      </c>
      <c r="K513" s="8" t="s">
        <v>28</v>
      </c>
      <c r="L513" s="8" t="str">
        <f t="shared" si="16"/>
        <v>Senior</v>
      </c>
      <c r="M513" s="8" t="str">
        <f t="shared" si="17"/>
        <v>Pending</v>
      </c>
      <c r="N513" s="9">
        <f>VLOOKUP(B513,Questions!$K$2:$L$7,2,FALSE)</f>
        <v>90</v>
      </c>
    </row>
    <row r="514" spans="1:14">
      <c r="A514" s="8" t="s">
        <v>257</v>
      </c>
      <c r="B514" s="8">
        <v>10</v>
      </c>
      <c r="C514" s="8" t="s">
        <v>37</v>
      </c>
      <c r="D514" s="8">
        <v>97</v>
      </c>
      <c r="E514" s="8" t="s">
        <v>14</v>
      </c>
      <c r="F514" s="8">
        <v>15</v>
      </c>
      <c r="G514" s="8" t="s">
        <v>15</v>
      </c>
      <c r="H514" s="8" t="s">
        <v>16</v>
      </c>
      <c r="I514" s="8" t="s">
        <v>23</v>
      </c>
      <c r="J514" s="8" t="s">
        <v>18</v>
      </c>
      <c r="K514" s="8" t="s">
        <v>42</v>
      </c>
      <c r="L514" s="8" t="str">
        <f t="shared" si="16"/>
        <v>Senior</v>
      </c>
      <c r="M514" s="8" t="str">
        <f t="shared" si="17"/>
        <v>OK</v>
      </c>
      <c r="N514" s="9">
        <f>VLOOKUP(B514,Questions!$K$2:$L$7,2,FALSE)</f>
        <v>90</v>
      </c>
    </row>
    <row r="515" spans="1:14">
      <c r="A515" s="8" t="s">
        <v>606</v>
      </c>
      <c r="B515" s="8">
        <v>10</v>
      </c>
      <c r="C515" s="8" t="s">
        <v>37</v>
      </c>
      <c r="D515" s="8">
        <v>104</v>
      </c>
      <c r="E515" s="8" t="s">
        <v>14</v>
      </c>
      <c r="F515" s="8">
        <v>16</v>
      </c>
      <c r="G515" s="8" t="s">
        <v>33</v>
      </c>
      <c r="H515" s="8" t="s">
        <v>22</v>
      </c>
      <c r="I515" s="8" t="s">
        <v>17</v>
      </c>
      <c r="J515" s="8" t="s">
        <v>28</v>
      </c>
      <c r="K515" s="8" t="s">
        <v>19</v>
      </c>
      <c r="L515" s="8" t="str">
        <f t="shared" ref="L515:L578" si="18">IF(B515&lt;=7,"Junior","Senior")</f>
        <v>Senior</v>
      </c>
      <c r="M515" s="8" t="str">
        <f t="shared" si="17"/>
        <v>Pending</v>
      </c>
      <c r="N515" s="9">
        <f>VLOOKUP(B515,Questions!$K$2:$L$7,2,FALSE)</f>
        <v>90</v>
      </c>
    </row>
    <row r="516" spans="1:14">
      <c r="A516" s="8" t="s">
        <v>242</v>
      </c>
      <c r="B516" s="8">
        <v>10</v>
      </c>
      <c r="C516" s="8" t="s">
        <v>37</v>
      </c>
      <c r="D516" s="8">
        <v>114</v>
      </c>
      <c r="E516" s="8" t="s">
        <v>27</v>
      </c>
      <c r="F516" s="8">
        <v>15</v>
      </c>
      <c r="G516" s="8" t="s">
        <v>33</v>
      </c>
      <c r="H516" s="8" t="s">
        <v>22</v>
      </c>
      <c r="I516" s="8" t="s">
        <v>17</v>
      </c>
      <c r="J516" s="8" t="s">
        <v>49</v>
      </c>
      <c r="K516" s="8" t="s">
        <v>31</v>
      </c>
      <c r="L516" s="8" t="str">
        <f t="shared" si="18"/>
        <v>Senior</v>
      </c>
      <c r="M516" s="8" t="str">
        <f t="shared" ref="M516:M579" si="19">IF(G516="Paid","OK","Pending")</f>
        <v>Pending</v>
      </c>
      <c r="N516" s="9">
        <f>VLOOKUP(B516,Questions!$K$2:$L$7,2,FALSE)</f>
        <v>90</v>
      </c>
    </row>
    <row r="517" spans="1:14">
      <c r="A517" s="8" t="s">
        <v>566</v>
      </c>
      <c r="B517" s="8">
        <v>10</v>
      </c>
      <c r="C517" s="8" t="s">
        <v>37</v>
      </c>
      <c r="D517" s="8">
        <v>118</v>
      </c>
      <c r="E517" s="8" t="s">
        <v>14</v>
      </c>
      <c r="F517" s="8">
        <v>15</v>
      </c>
      <c r="G517" s="8" t="s">
        <v>15</v>
      </c>
      <c r="H517" s="8" t="s">
        <v>22</v>
      </c>
      <c r="I517" s="8" t="s">
        <v>23</v>
      </c>
      <c r="J517" s="8" t="s">
        <v>49</v>
      </c>
      <c r="K517" s="8" t="s">
        <v>28</v>
      </c>
      <c r="L517" s="8" t="str">
        <f t="shared" si="18"/>
        <v>Senior</v>
      </c>
      <c r="M517" s="8" t="str">
        <f t="shared" si="19"/>
        <v>OK</v>
      </c>
      <c r="N517" s="9">
        <f>VLOOKUP(B517,Questions!$K$2:$L$7,2,FALSE)</f>
        <v>90</v>
      </c>
    </row>
    <row r="518" spans="1:14">
      <c r="A518" s="8" t="s">
        <v>336</v>
      </c>
      <c r="B518" s="8">
        <v>10</v>
      </c>
      <c r="C518" s="8" t="s">
        <v>37</v>
      </c>
      <c r="D518" s="8">
        <v>131</v>
      </c>
      <c r="E518" s="8" t="s">
        <v>14</v>
      </c>
      <c r="F518" s="8">
        <v>15</v>
      </c>
      <c r="G518" s="8" t="s">
        <v>15</v>
      </c>
      <c r="H518" s="8" t="s">
        <v>22</v>
      </c>
      <c r="I518" s="8" t="s">
        <v>23</v>
      </c>
      <c r="J518" s="8" t="s">
        <v>28</v>
      </c>
      <c r="K518" s="8" t="s">
        <v>42</v>
      </c>
      <c r="L518" s="8" t="str">
        <f t="shared" si="18"/>
        <v>Senior</v>
      </c>
      <c r="M518" s="8" t="str">
        <f t="shared" si="19"/>
        <v>OK</v>
      </c>
      <c r="N518" s="9">
        <f>VLOOKUP(B518,Questions!$K$2:$L$7,2,FALSE)</f>
        <v>90</v>
      </c>
    </row>
    <row r="519" spans="1:14">
      <c r="A519" s="8" t="s">
        <v>131</v>
      </c>
      <c r="B519" s="8">
        <v>10</v>
      </c>
      <c r="C519" s="8" t="s">
        <v>37</v>
      </c>
      <c r="D519" s="8">
        <v>139</v>
      </c>
      <c r="E519" s="8" t="s">
        <v>27</v>
      </c>
      <c r="F519" s="8">
        <v>16</v>
      </c>
      <c r="G519" s="8" t="s">
        <v>15</v>
      </c>
      <c r="H519" s="8" t="s">
        <v>22</v>
      </c>
      <c r="I519" s="8" t="s">
        <v>17</v>
      </c>
      <c r="J519" s="8" t="s">
        <v>28</v>
      </c>
      <c r="K519" s="8" t="s">
        <v>42</v>
      </c>
      <c r="L519" s="8" t="str">
        <f t="shared" si="18"/>
        <v>Senior</v>
      </c>
      <c r="M519" s="8" t="str">
        <f t="shared" si="19"/>
        <v>OK</v>
      </c>
      <c r="N519" s="9">
        <f>VLOOKUP(B519,Questions!$K$2:$L$7,2,FALSE)</f>
        <v>90</v>
      </c>
    </row>
    <row r="520" spans="1:14">
      <c r="A520" s="8" t="s">
        <v>541</v>
      </c>
      <c r="B520" s="8">
        <v>10</v>
      </c>
      <c r="C520" s="8" t="s">
        <v>37</v>
      </c>
      <c r="D520" s="8">
        <v>140</v>
      </c>
      <c r="E520" s="8" t="s">
        <v>27</v>
      </c>
      <c r="F520" s="8">
        <v>16</v>
      </c>
      <c r="G520" s="8" t="s">
        <v>15</v>
      </c>
      <c r="H520" s="8" t="s">
        <v>16</v>
      </c>
      <c r="I520" s="8" t="s">
        <v>23</v>
      </c>
      <c r="J520" s="8" t="s">
        <v>28</v>
      </c>
      <c r="K520" s="8" t="s">
        <v>31</v>
      </c>
      <c r="L520" s="8" t="str">
        <f t="shared" si="18"/>
        <v>Senior</v>
      </c>
      <c r="M520" s="8" t="str">
        <f t="shared" si="19"/>
        <v>OK</v>
      </c>
      <c r="N520" s="9">
        <f>VLOOKUP(B520,Questions!$K$2:$L$7,2,FALSE)</f>
        <v>90</v>
      </c>
    </row>
    <row r="521" spans="1:14">
      <c r="A521" s="8" t="s">
        <v>175</v>
      </c>
      <c r="B521" s="8">
        <v>10</v>
      </c>
      <c r="C521" s="8" t="s">
        <v>37</v>
      </c>
      <c r="D521" s="8">
        <v>142</v>
      </c>
      <c r="E521" s="8" t="s">
        <v>27</v>
      </c>
      <c r="F521" s="8">
        <v>15</v>
      </c>
      <c r="G521" s="8" t="s">
        <v>33</v>
      </c>
      <c r="H521" s="8" t="s">
        <v>16</v>
      </c>
      <c r="I521" s="8" t="s">
        <v>23</v>
      </c>
      <c r="J521" s="8" t="s">
        <v>28</v>
      </c>
      <c r="K521" s="8" t="s">
        <v>31</v>
      </c>
      <c r="L521" s="8" t="str">
        <f t="shared" si="18"/>
        <v>Senior</v>
      </c>
      <c r="M521" s="8" t="str">
        <f t="shared" si="19"/>
        <v>Pending</v>
      </c>
      <c r="N521" s="9">
        <f>VLOOKUP(B521,Questions!$K$2:$L$7,2,FALSE)</f>
        <v>90</v>
      </c>
    </row>
    <row r="522" spans="1:14">
      <c r="A522" s="8" t="s">
        <v>208</v>
      </c>
      <c r="B522" s="8">
        <v>10</v>
      </c>
      <c r="C522" s="8" t="s">
        <v>37</v>
      </c>
      <c r="D522" s="8">
        <v>148</v>
      </c>
      <c r="E522" s="8" t="s">
        <v>14</v>
      </c>
      <c r="F522" s="8">
        <v>16</v>
      </c>
      <c r="G522" s="8" t="s">
        <v>33</v>
      </c>
      <c r="H522" s="8" t="s">
        <v>16</v>
      </c>
      <c r="I522" s="8" t="s">
        <v>23</v>
      </c>
      <c r="J522" s="8" t="s">
        <v>28</v>
      </c>
      <c r="K522" s="8" t="s">
        <v>19</v>
      </c>
      <c r="L522" s="8" t="str">
        <f t="shared" si="18"/>
        <v>Senior</v>
      </c>
      <c r="M522" s="8" t="str">
        <f t="shared" si="19"/>
        <v>Pending</v>
      </c>
      <c r="N522" s="9">
        <f>VLOOKUP(B522,Questions!$K$2:$L$7,2,FALSE)</f>
        <v>90</v>
      </c>
    </row>
    <row r="523" spans="1:14">
      <c r="A523" s="8" t="s">
        <v>428</v>
      </c>
      <c r="B523" s="8">
        <v>10</v>
      </c>
      <c r="C523" s="8" t="s">
        <v>37</v>
      </c>
      <c r="D523" s="8">
        <v>156</v>
      </c>
      <c r="E523" s="8" t="s">
        <v>27</v>
      </c>
      <c r="F523" s="8">
        <v>16</v>
      </c>
      <c r="G523" s="8" t="s">
        <v>15</v>
      </c>
      <c r="H523" s="8" t="s">
        <v>16</v>
      </c>
      <c r="I523" s="8" t="s">
        <v>23</v>
      </c>
      <c r="J523" s="8" t="s">
        <v>18</v>
      </c>
      <c r="K523" s="8" t="s">
        <v>19</v>
      </c>
      <c r="L523" s="8" t="str">
        <f t="shared" si="18"/>
        <v>Senior</v>
      </c>
      <c r="M523" s="8" t="str">
        <f t="shared" si="19"/>
        <v>OK</v>
      </c>
      <c r="N523" s="9">
        <f>VLOOKUP(B523,Questions!$K$2:$L$7,2,FALSE)</f>
        <v>90</v>
      </c>
    </row>
    <row r="524" spans="1:14">
      <c r="A524" s="8" t="s">
        <v>299</v>
      </c>
      <c r="B524" s="8">
        <v>10</v>
      </c>
      <c r="C524" s="8" t="s">
        <v>37</v>
      </c>
      <c r="D524" s="8">
        <v>158</v>
      </c>
      <c r="E524" s="8" t="s">
        <v>27</v>
      </c>
      <c r="F524" s="8">
        <v>15</v>
      </c>
      <c r="G524" s="8" t="s">
        <v>15</v>
      </c>
      <c r="H524" s="8" t="s">
        <v>22</v>
      </c>
      <c r="I524" s="8" t="s">
        <v>17</v>
      </c>
      <c r="J524" s="8" t="s">
        <v>49</v>
      </c>
      <c r="K524" s="8" t="s">
        <v>31</v>
      </c>
      <c r="L524" s="8" t="str">
        <f t="shared" si="18"/>
        <v>Senior</v>
      </c>
      <c r="M524" s="8" t="str">
        <f t="shared" si="19"/>
        <v>OK</v>
      </c>
      <c r="N524" s="9">
        <f>VLOOKUP(B524,Questions!$K$2:$L$7,2,FALSE)</f>
        <v>90</v>
      </c>
    </row>
    <row r="525" spans="1:14">
      <c r="A525" s="8" t="s">
        <v>90</v>
      </c>
      <c r="B525" s="8">
        <v>10</v>
      </c>
      <c r="C525" s="8" t="s">
        <v>37</v>
      </c>
      <c r="D525" s="8">
        <v>161</v>
      </c>
      <c r="E525" s="8" t="s">
        <v>14</v>
      </c>
      <c r="F525" s="8">
        <v>16</v>
      </c>
      <c r="G525" s="8" t="s">
        <v>33</v>
      </c>
      <c r="H525" s="8" t="s">
        <v>22</v>
      </c>
      <c r="I525" s="8" t="s">
        <v>17</v>
      </c>
      <c r="J525" s="8" t="s">
        <v>28</v>
      </c>
      <c r="K525" s="8" t="s">
        <v>28</v>
      </c>
      <c r="L525" s="8" t="str">
        <f t="shared" si="18"/>
        <v>Senior</v>
      </c>
      <c r="M525" s="8" t="str">
        <f t="shared" si="19"/>
        <v>Pending</v>
      </c>
      <c r="N525" s="9">
        <f>VLOOKUP(B525,Questions!$K$2:$L$7,2,FALSE)</f>
        <v>90</v>
      </c>
    </row>
    <row r="526" spans="1:14">
      <c r="A526" s="8" t="s">
        <v>99</v>
      </c>
      <c r="B526" s="8">
        <v>10</v>
      </c>
      <c r="C526" s="8" t="s">
        <v>37</v>
      </c>
      <c r="D526" s="8">
        <v>164</v>
      </c>
      <c r="E526" s="8" t="s">
        <v>27</v>
      </c>
      <c r="F526" s="8">
        <v>15</v>
      </c>
      <c r="G526" s="8" t="s">
        <v>33</v>
      </c>
      <c r="H526" s="8" t="s">
        <v>16</v>
      </c>
      <c r="I526" s="8" t="s">
        <v>17</v>
      </c>
      <c r="J526" s="8" t="s">
        <v>28</v>
      </c>
      <c r="K526" s="8" t="s">
        <v>31</v>
      </c>
      <c r="L526" s="8" t="str">
        <f t="shared" si="18"/>
        <v>Senior</v>
      </c>
      <c r="M526" s="8" t="str">
        <f t="shared" si="19"/>
        <v>Pending</v>
      </c>
      <c r="N526" s="9">
        <f>VLOOKUP(B526,Questions!$K$2:$L$7,2,FALSE)</f>
        <v>90</v>
      </c>
    </row>
    <row r="527" spans="1:14">
      <c r="A527" s="8" t="s">
        <v>476</v>
      </c>
      <c r="B527" s="8">
        <v>10</v>
      </c>
      <c r="C527" s="8" t="s">
        <v>37</v>
      </c>
      <c r="D527" s="8">
        <v>165</v>
      </c>
      <c r="E527" s="8" t="s">
        <v>14</v>
      </c>
      <c r="F527" s="8">
        <v>16</v>
      </c>
      <c r="G527" s="8" t="s">
        <v>15</v>
      </c>
      <c r="H527" s="8" t="s">
        <v>16</v>
      </c>
      <c r="I527" s="8" t="s">
        <v>23</v>
      </c>
      <c r="J527" s="8" t="s">
        <v>24</v>
      </c>
      <c r="K527" s="8" t="s">
        <v>19</v>
      </c>
      <c r="L527" s="8" t="str">
        <f t="shared" si="18"/>
        <v>Senior</v>
      </c>
      <c r="M527" s="8" t="str">
        <f t="shared" si="19"/>
        <v>OK</v>
      </c>
      <c r="N527" s="9">
        <f>VLOOKUP(B527,Questions!$K$2:$L$7,2,FALSE)</f>
        <v>90</v>
      </c>
    </row>
    <row r="528" spans="1:14">
      <c r="A528" s="8" t="s">
        <v>144</v>
      </c>
      <c r="B528" s="8">
        <v>10</v>
      </c>
      <c r="C528" s="8" t="s">
        <v>37</v>
      </c>
      <c r="D528" s="8">
        <v>166</v>
      </c>
      <c r="E528" s="8" t="s">
        <v>14</v>
      </c>
      <c r="F528" s="8">
        <v>16</v>
      </c>
      <c r="G528" s="8" t="s">
        <v>33</v>
      </c>
      <c r="H528" s="8" t="s">
        <v>22</v>
      </c>
      <c r="I528" s="8" t="s">
        <v>23</v>
      </c>
      <c r="J528" s="8" t="s">
        <v>24</v>
      </c>
      <c r="K528" s="8" t="s">
        <v>28</v>
      </c>
      <c r="L528" s="8" t="str">
        <f t="shared" si="18"/>
        <v>Senior</v>
      </c>
      <c r="M528" s="8" t="str">
        <f t="shared" si="19"/>
        <v>Pending</v>
      </c>
      <c r="N528" s="9">
        <f>VLOOKUP(B528,Questions!$K$2:$L$7,2,FALSE)</f>
        <v>90</v>
      </c>
    </row>
    <row r="529" spans="1:14">
      <c r="A529" s="8" t="s">
        <v>79</v>
      </c>
      <c r="B529" s="8">
        <v>10</v>
      </c>
      <c r="C529" s="8" t="s">
        <v>37</v>
      </c>
      <c r="D529" s="8">
        <v>175</v>
      </c>
      <c r="E529" s="8" t="s">
        <v>14</v>
      </c>
      <c r="F529" s="8">
        <v>16</v>
      </c>
      <c r="G529" s="8" t="s">
        <v>33</v>
      </c>
      <c r="H529" s="8" t="s">
        <v>22</v>
      </c>
      <c r="I529" s="8" t="s">
        <v>23</v>
      </c>
      <c r="J529" s="8" t="s">
        <v>28</v>
      </c>
      <c r="K529" s="8" t="s">
        <v>42</v>
      </c>
      <c r="L529" s="8" t="str">
        <f t="shared" si="18"/>
        <v>Senior</v>
      </c>
      <c r="M529" s="8" t="str">
        <f t="shared" si="19"/>
        <v>Pending</v>
      </c>
      <c r="N529" s="9">
        <f>VLOOKUP(B529,Questions!$K$2:$L$7,2,FALSE)</f>
        <v>90</v>
      </c>
    </row>
    <row r="530" spans="1:14">
      <c r="A530" s="8" t="s">
        <v>206</v>
      </c>
      <c r="B530" s="8">
        <v>10</v>
      </c>
      <c r="C530" s="8" t="s">
        <v>37</v>
      </c>
      <c r="D530" s="8">
        <v>176</v>
      </c>
      <c r="E530" s="8" t="s">
        <v>14</v>
      </c>
      <c r="F530" s="8">
        <v>15</v>
      </c>
      <c r="G530" s="8" t="s">
        <v>33</v>
      </c>
      <c r="H530" s="8" t="s">
        <v>22</v>
      </c>
      <c r="I530" s="8" t="s">
        <v>17</v>
      </c>
      <c r="J530" s="8" t="s">
        <v>30</v>
      </c>
      <c r="K530" s="8" t="s">
        <v>42</v>
      </c>
      <c r="L530" s="8" t="str">
        <f t="shared" si="18"/>
        <v>Senior</v>
      </c>
      <c r="M530" s="8" t="str">
        <f t="shared" si="19"/>
        <v>Pending</v>
      </c>
      <c r="N530" s="9">
        <f>VLOOKUP(B530,Questions!$K$2:$L$7,2,FALSE)</f>
        <v>90</v>
      </c>
    </row>
    <row r="531" spans="1:14">
      <c r="A531" s="8" t="s">
        <v>437</v>
      </c>
      <c r="B531" s="8">
        <v>10</v>
      </c>
      <c r="C531" s="8" t="s">
        <v>37</v>
      </c>
      <c r="D531" s="8">
        <v>177</v>
      </c>
      <c r="E531" s="8" t="s">
        <v>27</v>
      </c>
      <c r="F531" s="8">
        <v>16</v>
      </c>
      <c r="G531" s="8" t="s">
        <v>33</v>
      </c>
      <c r="H531" s="8" t="s">
        <v>22</v>
      </c>
      <c r="I531" s="8" t="s">
        <v>17</v>
      </c>
      <c r="J531" s="8" t="s">
        <v>49</v>
      </c>
      <c r="K531" s="8" t="s">
        <v>31</v>
      </c>
      <c r="L531" s="8" t="str">
        <f t="shared" si="18"/>
        <v>Senior</v>
      </c>
      <c r="M531" s="8" t="str">
        <f t="shared" si="19"/>
        <v>Pending</v>
      </c>
      <c r="N531" s="9">
        <f>VLOOKUP(B531,Questions!$K$2:$L$7,2,FALSE)</f>
        <v>90</v>
      </c>
    </row>
    <row r="532" spans="1:14">
      <c r="A532" s="8" t="s">
        <v>468</v>
      </c>
      <c r="B532" s="8">
        <v>10</v>
      </c>
      <c r="C532" s="8" t="s">
        <v>37</v>
      </c>
      <c r="D532" s="8">
        <v>181</v>
      </c>
      <c r="E532" s="8" t="s">
        <v>27</v>
      </c>
      <c r="F532" s="8">
        <v>16</v>
      </c>
      <c r="G532" s="8" t="s">
        <v>15</v>
      </c>
      <c r="H532" s="8" t="s">
        <v>16</v>
      </c>
      <c r="I532" s="8" t="s">
        <v>17</v>
      </c>
      <c r="J532" s="8" t="s">
        <v>18</v>
      </c>
      <c r="K532" s="8" t="s">
        <v>28</v>
      </c>
      <c r="L532" s="8" t="str">
        <f t="shared" si="18"/>
        <v>Senior</v>
      </c>
      <c r="M532" s="8" t="str">
        <f t="shared" si="19"/>
        <v>OK</v>
      </c>
      <c r="N532" s="9">
        <f>VLOOKUP(B532,Questions!$K$2:$L$7,2,FALSE)</f>
        <v>90</v>
      </c>
    </row>
    <row r="533" spans="1:14">
      <c r="A533" s="8" t="s">
        <v>191</v>
      </c>
      <c r="B533" s="8">
        <v>10</v>
      </c>
      <c r="C533" s="8" t="s">
        <v>37</v>
      </c>
      <c r="D533" s="8">
        <v>187</v>
      </c>
      <c r="E533" s="8" t="s">
        <v>14</v>
      </c>
      <c r="F533" s="8">
        <v>15</v>
      </c>
      <c r="G533" s="8" t="s">
        <v>33</v>
      </c>
      <c r="H533" s="8" t="s">
        <v>16</v>
      </c>
      <c r="I533" s="8" t="s">
        <v>23</v>
      </c>
      <c r="J533" s="8" t="s">
        <v>24</v>
      </c>
      <c r="K533" s="8" t="s">
        <v>19</v>
      </c>
      <c r="L533" s="8" t="str">
        <f t="shared" si="18"/>
        <v>Senior</v>
      </c>
      <c r="M533" s="8" t="str">
        <f t="shared" si="19"/>
        <v>Pending</v>
      </c>
      <c r="N533" s="9">
        <f>VLOOKUP(B533,Questions!$K$2:$L$7,2,FALSE)</f>
        <v>90</v>
      </c>
    </row>
    <row r="534" spans="1:14">
      <c r="A534" s="8" t="s">
        <v>100</v>
      </c>
      <c r="B534" s="8">
        <v>10</v>
      </c>
      <c r="C534" s="8" t="s">
        <v>37</v>
      </c>
      <c r="D534" s="8">
        <v>188</v>
      </c>
      <c r="E534" s="8" t="s">
        <v>14</v>
      </c>
      <c r="F534" s="8">
        <v>15</v>
      </c>
      <c r="G534" s="8" t="s">
        <v>15</v>
      </c>
      <c r="H534" s="8" t="s">
        <v>22</v>
      </c>
      <c r="I534" s="8" t="s">
        <v>17</v>
      </c>
      <c r="J534" s="8" t="s">
        <v>28</v>
      </c>
      <c r="K534" s="8" t="s">
        <v>42</v>
      </c>
      <c r="L534" s="8" t="str">
        <f t="shared" si="18"/>
        <v>Senior</v>
      </c>
      <c r="M534" s="8" t="str">
        <f t="shared" si="19"/>
        <v>OK</v>
      </c>
      <c r="N534" s="9">
        <f>VLOOKUP(B534,Questions!$K$2:$L$7,2,FALSE)</f>
        <v>90</v>
      </c>
    </row>
    <row r="535" spans="1:14">
      <c r="A535" s="8" t="s">
        <v>352</v>
      </c>
      <c r="B535" s="8">
        <v>10</v>
      </c>
      <c r="C535" s="8" t="s">
        <v>37</v>
      </c>
      <c r="D535" s="8">
        <v>193</v>
      </c>
      <c r="E535" s="8" t="s">
        <v>27</v>
      </c>
      <c r="F535" s="8">
        <v>16</v>
      </c>
      <c r="G535" s="8" t="s">
        <v>15</v>
      </c>
      <c r="H535" s="8" t="s">
        <v>22</v>
      </c>
      <c r="I535" s="8" t="s">
        <v>23</v>
      </c>
      <c r="J535" s="8" t="s">
        <v>30</v>
      </c>
      <c r="K535" s="8" t="s">
        <v>28</v>
      </c>
      <c r="L535" s="8" t="str">
        <f t="shared" si="18"/>
        <v>Senior</v>
      </c>
      <c r="M535" s="8" t="str">
        <f t="shared" si="19"/>
        <v>OK</v>
      </c>
      <c r="N535" s="9">
        <f>VLOOKUP(B535,Questions!$K$2:$L$7,2,FALSE)</f>
        <v>90</v>
      </c>
    </row>
    <row r="536" spans="1:14">
      <c r="A536" s="8" t="s">
        <v>219</v>
      </c>
      <c r="B536" s="8">
        <v>10</v>
      </c>
      <c r="C536" s="8" t="s">
        <v>37</v>
      </c>
      <c r="D536" s="8">
        <v>194</v>
      </c>
      <c r="E536" s="8" t="s">
        <v>14</v>
      </c>
      <c r="F536" s="8">
        <v>16</v>
      </c>
      <c r="G536" s="8" t="s">
        <v>15</v>
      </c>
      <c r="H536" s="8" t="s">
        <v>22</v>
      </c>
      <c r="I536" s="8" t="s">
        <v>17</v>
      </c>
      <c r="J536" s="8" t="s">
        <v>24</v>
      </c>
      <c r="K536" s="8" t="s">
        <v>42</v>
      </c>
      <c r="L536" s="8" t="str">
        <f t="shared" si="18"/>
        <v>Senior</v>
      </c>
      <c r="M536" s="8" t="str">
        <f t="shared" si="19"/>
        <v>OK</v>
      </c>
      <c r="N536" s="9">
        <f>VLOOKUP(B536,Questions!$K$2:$L$7,2,FALSE)</f>
        <v>90</v>
      </c>
    </row>
    <row r="537" spans="1:14">
      <c r="A537" s="8" t="s">
        <v>383</v>
      </c>
      <c r="B537" s="8">
        <v>10</v>
      </c>
      <c r="C537" s="8" t="s">
        <v>37</v>
      </c>
      <c r="D537" s="8">
        <v>195</v>
      </c>
      <c r="E537" s="8" t="s">
        <v>27</v>
      </c>
      <c r="F537" s="8">
        <v>15</v>
      </c>
      <c r="G537" s="8" t="s">
        <v>15</v>
      </c>
      <c r="H537" s="8" t="s">
        <v>22</v>
      </c>
      <c r="I537" s="8" t="s">
        <v>23</v>
      </c>
      <c r="J537" s="8" t="s">
        <v>24</v>
      </c>
      <c r="K537" s="8" t="s">
        <v>19</v>
      </c>
      <c r="L537" s="8" t="str">
        <f t="shared" si="18"/>
        <v>Senior</v>
      </c>
      <c r="M537" s="8" t="str">
        <f t="shared" si="19"/>
        <v>OK</v>
      </c>
      <c r="N537" s="9">
        <f>VLOOKUP(B537,Questions!$K$2:$L$7,2,FALSE)</f>
        <v>90</v>
      </c>
    </row>
    <row r="538" spans="1:14">
      <c r="A538" s="8" t="s">
        <v>190</v>
      </c>
      <c r="B538" s="8">
        <v>10</v>
      </c>
      <c r="C538" s="8" t="s">
        <v>26</v>
      </c>
      <c r="D538" s="8">
        <v>4</v>
      </c>
      <c r="E538" s="8" t="s">
        <v>27</v>
      </c>
      <c r="F538" s="8">
        <v>15</v>
      </c>
      <c r="G538" s="8" t="s">
        <v>33</v>
      </c>
      <c r="H538" s="8" t="s">
        <v>16</v>
      </c>
      <c r="I538" s="8" t="s">
        <v>17</v>
      </c>
      <c r="J538" s="8" t="s">
        <v>30</v>
      </c>
      <c r="K538" s="8" t="s">
        <v>28</v>
      </c>
      <c r="L538" s="8" t="str">
        <f t="shared" si="18"/>
        <v>Senior</v>
      </c>
      <c r="M538" s="8" t="str">
        <f t="shared" si="19"/>
        <v>Pending</v>
      </c>
      <c r="N538" s="9">
        <f>VLOOKUP(B538,Questions!$K$2:$L$7,2,FALSE)</f>
        <v>90</v>
      </c>
    </row>
    <row r="539" spans="1:14">
      <c r="A539" s="8" t="s">
        <v>91</v>
      </c>
      <c r="B539" s="8">
        <v>10</v>
      </c>
      <c r="C539" s="8" t="s">
        <v>26</v>
      </c>
      <c r="D539" s="8">
        <v>6</v>
      </c>
      <c r="E539" s="8" t="s">
        <v>27</v>
      </c>
      <c r="F539" s="8">
        <v>15</v>
      </c>
      <c r="G539" s="8" t="s">
        <v>33</v>
      </c>
      <c r="H539" s="8" t="s">
        <v>16</v>
      </c>
      <c r="I539" s="8" t="s">
        <v>17</v>
      </c>
      <c r="J539" s="8" t="s">
        <v>24</v>
      </c>
      <c r="K539" s="8" t="s">
        <v>42</v>
      </c>
      <c r="L539" s="8" t="str">
        <f t="shared" si="18"/>
        <v>Senior</v>
      </c>
      <c r="M539" s="8" t="str">
        <f t="shared" si="19"/>
        <v>Pending</v>
      </c>
      <c r="N539" s="9">
        <f>VLOOKUP(B539,Questions!$K$2:$L$7,2,FALSE)</f>
        <v>90</v>
      </c>
    </row>
    <row r="540" spans="1:14">
      <c r="A540" s="8" t="s">
        <v>404</v>
      </c>
      <c r="B540" s="8">
        <v>10</v>
      </c>
      <c r="C540" s="8" t="s">
        <v>26</v>
      </c>
      <c r="D540" s="8">
        <v>8</v>
      </c>
      <c r="E540" s="8" t="s">
        <v>27</v>
      </c>
      <c r="F540" s="8">
        <v>16</v>
      </c>
      <c r="G540" s="8" t="s">
        <v>33</v>
      </c>
      <c r="H540" s="8" t="s">
        <v>16</v>
      </c>
      <c r="I540" s="8" t="s">
        <v>17</v>
      </c>
      <c r="J540" s="8" t="s">
        <v>49</v>
      </c>
      <c r="K540" s="8" t="s">
        <v>28</v>
      </c>
      <c r="L540" s="8" t="str">
        <f t="shared" si="18"/>
        <v>Senior</v>
      </c>
      <c r="M540" s="8" t="str">
        <f t="shared" si="19"/>
        <v>Pending</v>
      </c>
      <c r="N540" s="9">
        <f>VLOOKUP(B540,Questions!$K$2:$L$7,2,FALSE)</f>
        <v>90</v>
      </c>
    </row>
    <row r="541" spans="1:14">
      <c r="A541" s="8" t="s">
        <v>417</v>
      </c>
      <c r="B541" s="8">
        <v>10</v>
      </c>
      <c r="C541" s="8" t="s">
        <v>26</v>
      </c>
      <c r="D541" s="8">
        <v>10</v>
      </c>
      <c r="E541" s="8" t="s">
        <v>27</v>
      </c>
      <c r="F541" s="8">
        <v>15</v>
      </c>
      <c r="G541" s="8" t="s">
        <v>15</v>
      </c>
      <c r="H541" s="8" t="s">
        <v>22</v>
      </c>
      <c r="I541" s="8" t="s">
        <v>23</v>
      </c>
      <c r="J541" s="8" t="s">
        <v>28</v>
      </c>
      <c r="K541" s="8" t="s">
        <v>19</v>
      </c>
      <c r="L541" s="8" t="str">
        <f t="shared" si="18"/>
        <v>Senior</v>
      </c>
      <c r="M541" s="8" t="str">
        <f t="shared" si="19"/>
        <v>OK</v>
      </c>
      <c r="N541" s="9">
        <f>VLOOKUP(B541,Questions!$K$2:$L$7,2,FALSE)</f>
        <v>90</v>
      </c>
    </row>
    <row r="542" spans="1:14">
      <c r="A542" s="8" t="s">
        <v>361</v>
      </c>
      <c r="B542" s="8">
        <v>10</v>
      </c>
      <c r="C542" s="8" t="s">
        <v>26</v>
      </c>
      <c r="D542" s="8">
        <v>11</v>
      </c>
      <c r="E542" s="8" t="s">
        <v>27</v>
      </c>
      <c r="F542" s="8">
        <v>16</v>
      </c>
      <c r="G542" s="8" t="s">
        <v>15</v>
      </c>
      <c r="H542" s="8" t="s">
        <v>22</v>
      </c>
      <c r="I542" s="8" t="s">
        <v>17</v>
      </c>
      <c r="J542" s="8" t="s">
        <v>28</v>
      </c>
      <c r="K542" s="8" t="s">
        <v>31</v>
      </c>
      <c r="L542" s="8" t="str">
        <f t="shared" si="18"/>
        <v>Senior</v>
      </c>
      <c r="M542" s="8" t="str">
        <f t="shared" si="19"/>
        <v>OK</v>
      </c>
      <c r="N542" s="9">
        <f>VLOOKUP(B542,Questions!$K$2:$L$7,2,FALSE)</f>
        <v>90</v>
      </c>
    </row>
    <row r="543" spans="1:14">
      <c r="A543" s="8" t="s">
        <v>274</v>
      </c>
      <c r="B543" s="8">
        <v>10</v>
      </c>
      <c r="C543" s="8" t="s">
        <v>26</v>
      </c>
      <c r="D543" s="8">
        <v>18</v>
      </c>
      <c r="E543" s="8" t="s">
        <v>27</v>
      </c>
      <c r="F543" s="8">
        <v>16</v>
      </c>
      <c r="G543" s="8" t="s">
        <v>15</v>
      </c>
      <c r="H543" s="8" t="s">
        <v>22</v>
      </c>
      <c r="I543" s="8" t="s">
        <v>23</v>
      </c>
      <c r="J543" s="8" t="s">
        <v>49</v>
      </c>
      <c r="K543" s="8" t="s">
        <v>42</v>
      </c>
      <c r="L543" s="8" t="str">
        <f t="shared" si="18"/>
        <v>Senior</v>
      </c>
      <c r="M543" s="8" t="str">
        <f t="shared" si="19"/>
        <v>OK</v>
      </c>
      <c r="N543" s="9">
        <f>VLOOKUP(B543,Questions!$K$2:$L$7,2,FALSE)</f>
        <v>90</v>
      </c>
    </row>
    <row r="544" spans="1:14">
      <c r="A544" s="8" t="s">
        <v>445</v>
      </c>
      <c r="B544" s="8">
        <v>10</v>
      </c>
      <c r="C544" s="8" t="s">
        <v>26</v>
      </c>
      <c r="D544" s="8">
        <v>45</v>
      </c>
      <c r="E544" s="8" t="s">
        <v>27</v>
      </c>
      <c r="F544" s="8">
        <v>15</v>
      </c>
      <c r="G544" s="8" t="s">
        <v>15</v>
      </c>
      <c r="H544" s="8" t="s">
        <v>22</v>
      </c>
      <c r="I544" s="8" t="s">
        <v>17</v>
      </c>
      <c r="J544" s="8" t="s">
        <v>30</v>
      </c>
      <c r="K544" s="8" t="s">
        <v>28</v>
      </c>
      <c r="L544" s="8" t="str">
        <f t="shared" si="18"/>
        <v>Senior</v>
      </c>
      <c r="M544" s="8" t="str">
        <f t="shared" si="19"/>
        <v>OK</v>
      </c>
      <c r="N544" s="9">
        <f>VLOOKUP(B544,Questions!$K$2:$L$7,2,FALSE)</f>
        <v>90</v>
      </c>
    </row>
    <row r="545" spans="1:14">
      <c r="A545" s="8" t="s">
        <v>202</v>
      </c>
      <c r="B545" s="8">
        <v>10</v>
      </c>
      <c r="C545" s="8" t="s">
        <v>26</v>
      </c>
      <c r="D545" s="8">
        <v>50</v>
      </c>
      <c r="E545" s="8" t="s">
        <v>14</v>
      </c>
      <c r="F545" s="8">
        <v>15</v>
      </c>
      <c r="G545" s="8" t="s">
        <v>33</v>
      </c>
      <c r="H545" s="8" t="s">
        <v>22</v>
      </c>
      <c r="I545" s="8" t="s">
        <v>23</v>
      </c>
      <c r="J545" s="8" t="s">
        <v>49</v>
      </c>
      <c r="K545" s="8" t="s">
        <v>42</v>
      </c>
      <c r="L545" s="8" t="str">
        <f t="shared" si="18"/>
        <v>Senior</v>
      </c>
      <c r="M545" s="8" t="str">
        <f t="shared" si="19"/>
        <v>Pending</v>
      </c>
      <c r="N545" s="9">
        <f>VLOOKUP(B545,Questions!$K$2:$L$7,2,FALSE)</f>
        <v>90</v>
      </c>
    </row>
    <row r="546" spans="1:14">
      <c r="A546" s="8" t="s">
        <v>272</v>
      </c>
      <c r="B546" s="8">
        <v>10</v>
      </c>
      <c r="C546" s="8" t="s">
        <v>26</v>
      </c>
      <c r="D546" s="8">
        <v>52</v>
      </c>
      <c r="E546" s="8" t="s">
        <v>27</v>
      </c>
      <c r="F546" s="8">
        <v>16</v>
      </c>
      <c r="G546" s="8" t="s">
        <v>15</v>
      </c>
      <c r="H546" s="8" t="s">
        <v>22</v>
      </c>
      <c r="I546" s="8" t="s">
        <v>23</v>
      </c>
      <c r="J546" s="8" t="s">
        <v>49</v>
      </c>
      <c r="K546" s="8" t="s">
        <v>28</v>
      </c>
      <c r="L546" s="8" t="str">
        <f t="shared" si="18"/>
        <v>Senior</v>
      </c>
      <c r="M546" s="8" t="str">
        <f t="shared" si="19"/>
        <v>OK</v>
      </c>
      <c r="N546" s="9">
        <f>VLOOKUP(B546,Questions!$K$2:$L$7,2,FALSE)</f>
        <v>90</v>
      </c>
    </row>
    <row r="547" spans="1:14">
      <c r="A547" s="8" t="s">
        <v>47</v>
      </c>
      <c r="B547" s="8">
        <v>10</v>
      </c>
      <c r="C547" s="8" t="s">
        <v>26</v>
      </c>
      <c r="D547" s="8">
        <v>54</v>
      </c>
      <c r="E547" s="8" t="s">
        <v>27</v>
      </c>
      <c r="F547" s="8">
        <v>15</v>
      </c>
      <c r="G547" s="8" t="s">
        <v>15</v>
      </c>
      <c r="H547" s="8" t="s">
        <v>16</v>
      </c>
      <c r="I547" s="8" t="s">
        <v>23</v>
      </c>
      <c r="J547" s="8" t="s">
        <v>30</v>
      </c>
      <c r="K547" s="8" t="s">
        <v>42</v>
      </c>
      <c r="L547" s="8" t="str">
        <f t="shared" si="18"/>
        <v>Senior</v>
      </c>
      <c r="M547" s="8" t="str">
        <f t="shared" si="19"/>
        <v>OK</v>
      </c>
      <c r="N547" s="9">
        <f>VLOOKUP(B547,Questions!$K$2:$L$7,2,FALSE)</f>
        <v>90</v>
      </c>
    </row>
    <row r="548" spans="1:14">
      <c r="A548" s="8" t="s">
        <v>432</v>
      </c>
      <c r="B548" s="8">
        <v>10</v>
      </c>
      <c r="C548" s="8" t="s">
        <v>26</v>
      </c>
      <c r="D548" s="8">
        <v>63</v>
      </c>
      <c r="E548" s="8" t="s">
        <v>27</v>
      </c>
      <c r="F548" s="8">
        <v>16</v>
      </c>
      <c r="G548" s="8" t="s">
        <v>15</v>
      </c>
      <c r="H548" s="8" t="s">
        <v>16</v>
      </c>
      <c r="I548" s="8" t="s">
        <v>23</v>
      </c>
      <c r="J548" s="8" t="s">
        <v>30</v>
      </c>
      <c r="K548" s="8" t="s">
        <v>28</v>
      </c>
      <c r="L548" s="8" t="str">
        <f t="shared" si="18"/>
        <v>Senior</v>
      </c>
      <c r="M548" s="8" t="str">
        <f t="shared" si="19"/>
        <v>OK</v>
      </c>
      <c r="N548" s="9">
        <f>VLOOKUP(B548,Questions!$K$2:$L$7,2,FALSE)</f>
        <v>90</v>
      </c>
    </row>
    <row r="549" spans="1:14">
      <c r="A549" s="8" t="s">
        <v>192</v>
      </c>
      <c r="B549" s="8">
        <v>10</v>
      </c>
      <c r="C549" s="8" t="s">
        <v>26</v>
      </c>
      <c r="D549" s="8">
        <v>69</v>
      </c>
      <c r="E549" s="8" t="s">
        <v>27</v>
      </c>
      <c r="F549" s="8">
        <v>16</v>
      </c>
      <c r="G549" s="8" t="s">
        <v>15</v>
      </c>
      <c r="H549" s="8" t="s">
        <v>22</v>
      </c>
      <c r="I549" s="8" t="s">
        <v>17</v>
      </c>
      <c r="J549" s="8" t="s">
        <v>24</v>
      </c>
      <c r="K549" s="8" t="s">
        <v>28</v>
      </c>
      <c r="L549" s="8" t="str">
        <f t="shared" si="18"/>
        <v>Senior</v>
      </c>
      <c r="M549" s="8" t="str">
        <f t="shared" si="19"/>
        <v>OK</v>
      </c>
      <c r="N549" s="9">
        <f>VLOOKUP(B549,Questions!$K$2:$L$7,2,FALSE)</f>
        <v>90</v>
      </c>
    </row>
    <row r="550" spans="1:14">
      <c r="A550" s="8" t="s">
        <v>316</v>
      </c>
      <c r="B550" s="8">
        <v>10</v>
      </c>
      <c r="C550" s="8" t="s">
        <v>26</v>
      </c>
      <c r="D550" s="8">
        <v>75</v>
      </c>
      <c r="E550" s="8" t="s">
        <v>27</v>
      </c>
      <c r="F550" s="8">
        <v>15</v>
      </c>
      <c r="G550" s="8" t="s">
        <v>15</v>
      </c>
      <c r="H550" s="8" t="s">
        <v>22</v>
      </c>
      <c r="I550" s="8" t="s">
        <v>23</v>
      </c>
      <c r="J550" s="8" t="s">
        <v>30</v>
      </c>
      <c r="K550" s="8" t="s">
        <v>31</v>
      </c>
      <c r="L550" s="8" t="str">
        <f t="shared" si="18"/>
        <v>Senior</v>
      </c>
      <c r="M550" s="8" t="str">
        <f t="shared" si="19"/>
        <v>OK</v>
      </c>
      <c r="N550" s="9">
        <f>VLOOKUP(B550,Questions!$K$2:$L$7,2,FALSE)</f>
        <v>90</v>
      </c>
    </row>
    <row r="551" spans="1:14">
      <c r="A551" s="8" t="s">
        <v>177</v>
      </c>
      <c r="B551" s="8">
        <v>10</v>
      </c>
      <c r="C551" s="8" t="s">
        <v>26</v>
      </c>
      <c r="D551" s="8">
        <v>79</v>
      </c>
      <c r="E551" s="8" t="s">
        <v>14</v>
      </c>
      <c r="F551" s="8">
        <v>15</v>
      </c>
      <c r="G551" s="8" t="s">
        <v>33</v>
      </c>
      <c r="H551" s="8" t="s">
        <v>16</v>
      </c>
      <c r="I551" s="8" t="s">
        <v>17</v>
      </c>
      <c r="J551" s="8" t="s">
        <v>28</v>
      </c>
      <c r="K551" s="8" t="s">
        <v>42</v>
      </c>
      <c r="L551" s="8" t="str">
        <f t="shared" si="18"/>
        <v>Senior</v>
      </c>
      <c r="M551" s="8" t="str">
        <f t="shared" si="19"/>
        <v>Pending</v>
      </c>
      <c r="N551" s="9">
        <f>VLOOKUP(B551,Questions!$K$2:$L$7,2,FALSE)</f>
        <v>90</v>
      </c>
    </row>
    <row r="552" spans="1:14">
      <c r="A552" s="8" t="s">
        <v>447</v>
      </c>
      <c r="B552" s="8">
        <v>10</v>
      </c>
      <c r="C552" s="8" t="s">
        <v>26</v>
      </c>
      <c r="D552" s="8">
        <v>81</v>
      </c>
      <c r="E552" s="8" t="s">
        <v>27</v>
      </c>
      <c r="F552" s="8">
        <v>16</v>
      </c>
      <c r="G552" s="8" t="s">
        <v>33</v>
      </c>
      <c r="H552" s="8" t="s">
        <v>16</v>
      </c>
      <c r="I552" s="8" t="s">
        <v>17</v>
      </c>
      <c r="J552" s="8" t="s">
        <v>18</v>
      </c>
      <c r="K552" s="8" t="s">
        <v>19</v>
      </c>
      <c r="L552" s="8" t="str">
        <f t="shared" si="18"/>
        <v>Senior</v>
      </c>
      <c r="M552" s="8" t="str">
        <f t="shared" si="19"/>
        <v>Pending</v>
      </c>
      <c r="N552" s="9">
        <f>VLOOKUP(B552,Questions!$K$2:$L$7,2,FALSE)</f>
        <v>90</v>
      </c>
    </row>
    <row r="553" spans="1:14">
      <c r="A553" s="8" t="s">
        <v>101</v>
      </c>
      <c r="B553" s="8">
        <v>10</v>
      </c>
      <c r="C553" s="8" t="s">
        <v>26</v>
      </c>
      <c r="D553" s="8">
        <v>88</v>
      </c>
      <c r="E553" s="8" t="s">
        <v>14</v>
      </c>
      <c r="F553" s="8">
        <v>16</v>
      </c>
      <c r="G553" s="8" t="s">
        <v>33</v>
      </c>
      <c r="H553" s="8" t="s">
        <v>16</v>
      </c>
      <c r="I553" s="8" t="s">
        <v>23</v>
      </c>
      <c r="J553" s="8" t="s">
        <v>24</v>
      </c>
      <c r="K553" s="8" t="s">
        <v>42</v>
      </c>
      <c r="L553" s="8" t="str">
        <f t="shared" si="18"/>
        <v>Senior</v>
      </c>
      <c r="M553" s="8" t="str">
        <f t="shared" si="19"/>
        <v>Pending</v>
      </c>
      <c r="N553" s="9">
        <f>VLOOKUP(B553,Questions!$K$2:$L$7,2,FALSE)</f>
        <v>90</v>
      </c>
    </row>
    <row r="554" spans="1:14">
      <c r="A554" s="8" t="s">
        <v>59</v>
      </c>
      <c r="B554" s="8">
        <v>10</v>
      </c>
      <c r="C554" s="8" t="s">
        <v>26</v>
      </c>
      <c r="D554" s="8">
        <v>92</v>
      </c>
      <c r="E554" s="8" t="s">
        <v>27</v>
      </c>
      <c r="F554" s="8">
        <v>15</v>
      </c>
      <c r="G554" s="8" t="s">
        <v>33</v>
      </c>
      <c r="H554" s="8" t="s">
        <v>22</v>
      </c>
      <c r="I554" s="8" t="s">
        <v>17</v>
      </c>
      <c r="J554" s="8" t="s">
        <v>24</v>
      </c>
      <c r="K554" s="8" t="s">
        <v>19</v>
      </c>
      <c r="L554" s="8" t="str">
        <f t="shared" si="18"/>
        <v>Senior</v>
      </c>
      <c r="M554" s="8" t="str">
        <f t="shared" si="19"/>
        <v>Pending</v>
      </c>
      <c r="N554" s="9">
        <f>VLOOKUP(B554,Questions!$K$2:$L$7,2,FALSE)</f>
        <v>90</v>
      </c>
    </row>
    <row r="555" spans="1:14">
      <c r="A555" s="8" t="s">
        <v>119</v>
      </c>
      <c r="B555" s="8">
        <v>10</v>
      </c>
      <c r="C555" s="8" t="s">
        <v>26</v>
      </c>
      <c r="D555" s="8">
        <v>93</v>
      </c>
      <c r="E555" s="8" t="s">
        <v>14</v>
      </c>
      <c r="F555" s="8">
        <v>15</v>
      </c>
      <c r="G555" s="8" t="s">
        <v>15</v>
      </c>
      <c r="H555" s="8" t="s">
        <v>16</v>
      </c>
      <c r="I555" s="8" t="s">
        <v>17</v>
      </c>
      <c r="J555" s="8" t="s">
        <v>24</v>
      </c>
      <c r="K555" s="8" t="s">
        <v>28</v>
      </c>
      <c r="L555" s="8" t="str">
        <f t="shared" si="18"/>
        <v>Senior</v>
      </c>
      <c r="M555" s="8" t="str">
        <f t="shared" si="19"/>
        <v>OK</v>
      </c>
      <c r="N555" s="9">
        <f>VLOOKUP(B555,Questions!$K$2:$L$7,2,FALSE)</f>
        <v>90</v>
      </c>
    </row>
    <row r="556" spans="1:14">
      <c r="A556" s="8" t="s">
        <v>386</v>
      </c>
      <c r="B556" s="8">
        <v>10</v>
      </c>
      <c r="C556" s="8" t="s">
        <v>26</v>
      </c>
      <c r="D556" s="8">
        <v>94</v>
      </c>
      <c r="E556" s="8" t="s">
        <v>27</v>
      </c>
      <c r="F556" s="8">
        <v>15</v>
      </c>
      <c r="G556" s="8" t="s">
        <v>15</v>
      </c>
      <c r="H556" s="8" t="s">
        <v>22</v>
      </c>
      <c r="I556" s="8" t="s">
        <v>17</v>
      </c>
      <c r="J556" s="8" t="s">
        <v>18</v>
      </c>
      <c r="K556" s="8" t="s">
        <v>19</v>
      </c>
      <c r="L556" s="8" t="str">
        <f t="shared" si="18"/>
        <v>Senior</v>
      </c>
      <c r="M556" s="8" t="str">
        <f t="shared" si="19"/>
        <v>OK</v>
      </c>
      <c r="N556" s="9">
        <f>VLOOKUP(B556,Questions!$K$2:$L$7,2,FALSE)</f>
        <v>90</v>
      </c>
    </row>
    <row r="557" spans="1:14">
      <c r="A557" s="8" t="s">
        <v>344</v>
      </c>
      <c r="B557" s="8">
        <v>10</v>
      </c>
      <c r="C557" s="8" t="s">
        <v>26</v>
      </c>
      <c r="D557" s="8">
        <v>96</v>
      </c>
      <c r="E557" s="8" t="s">
        <v>27</v>
      </c>
      <c r="F557" s="8">
        <v>15</v>
      </c>
      <c r="G557" s="8" t="s">
        <v>33</v>
      </c>
      <c r="H557" s="8" t="s">
        <v>22</v>
      </c>
      <c r="I557" s="8" t="s">
        <v>17</v>
      </c>
      <c r="J557" s="8" t="s">
        <v>30</v>
      </c>
      <c r="K557" s="8" t="s">
        <v>42</v>
      </c>
      <c r="L557" s="8" t="str">
        <f t="shared" si="18"/>
        <v>Senior</v>
      </c>
      <c r="M557" s="8" t="str">
        <f t="shared" si="19"/>
        <v>Pending</v>
      </c>
      <c r="N557" s="9">
        <f>VLOOKUP(B557,Questions!$K$2:$L$7,2,FALSE)</f>
        <v>90</v>
      </c>
    </row>
    <row r="558" spans="1:14">
      <c r="A558" s="8" t="s">
        <v>256</v>
      </c>
      <c r="B558" s="8">
        <v>10</v>
      </c>
      <c r="C558" s="8" t="s">
        <v>26</v>
      </c>
      <c r="D558" s="8">
        <v>98</v>
      </c>
      <c r="E558" s="8" t="s">
        <v>27</v>
      </c>
      <c r="F558" s="8">
        <v>15</v>
      </c>
      <c r="G558" s="8" t="s">
        <v>15</v>
      </c>
      <c r="H558" s="8" t="s">
        <v>22</v>
      </c>
      <c r="I558" s="8" t="s">
        <v>23</v>
      </c>
      <c r="J558" s="8" t="s">
        <v>24</v>
      </c>
      <c r="K558" s="8" t="s">
        <v>42</v>
      </c>
      <c r="L558" s="8" t="str">
        <f t="shared" si="18"/>
        <v>Senior</v>
      </c>
      <c r="M558" s="8" t="str">
        <f t="shared" si="19"/>
        <v>OK</v>
      </c>
      <c r="N558" s="9">
        <f>VLOOKUP(B558,Questions!$K$2:$L$7,2,FALSE)</f>
        <v>90</v>
      </c>
    </row>
    <row r="559" spans="1:14">
      <c r="A559" s="8" t="s">
        <v>481</v>
      </c>
      <c r="B559" s="8">
        <v>10</v>
      </c>
      <c r="C559" s="8" t="s">
        <v>26</v>
      </c>
      <c r="D559" s="8">
        <v>100</v>
      </c>
      <c r="E559" s="8" t="s">
        <v>14</v>
      </c>
      <c r="F559" s="8">
        <v>16</v>
      </c>
      <c r="G559" s="8" t="s">
        <v>15</v>
      </c>
      <c r="H559" s="8" t="s">
        <v>16</v>
      </c>
      <c r="I559" s="8" t="s">
        <v>23</v>
      </c>
      <c r="J559" s="8" t="s">
        <v>24</v>
      </c>
      <c r="K559" s="8" t="s">
        <v>28</v>
      </c>
      <c r="L559" s="8" t="str">
        <f t="shared" si="18"/>
        <v>Senior</v>
      </c>
      <c r="M559" s="8" t="str">
        <f t="shared" si="19"/>
        <v>OK</v>
      </c>
      <c r="N559" s="9">
        <f>VLOOKUP(B559,Questions!$K$2:$L$7,2,FALSE)</f>
        <v>90</v>
      </c>
    </row>
    <row r="560" spans="1:14">
      <c r="A560" s="8" t="s">
        <v>392</v>
      </c>
      <c r="B560" s="8">
        <v>10</v>
      </c>
      <c r="C560" s="8" t="s">
        <v>26</v>
      </c>
      <c r="D560" s="8">
        <v>116</v>
      </c>
      <c r="E560" s="8" t="s">
        <v>27</v>
      </c>
      <c r="F560" s="8">
        <v>16</v>
      </c>
      <c r="G560" s="8" t="s">
        <v>15</v>
      </c>
      <c r="H560" s="8" t="s">
        <v>22</v>
      </c>
      <c r="I560" s="8" t="s">
        <v>17</v>
      </c>
      <c r="J560" s="8" t="s">
        <v>28</v>
      </c>
      <c r="K560" s="8" t="s">
        <v>19</v>
      </c>
      <c r="L560" s="8" t="str">
        <f t="shared" si="18"/>
        <v>Senior</v>
      </c>
      <c r="M560" s="8" t="str">
        <f t="shared" si="19"/>
        <v>OK</v>
      </c>
      <c r="N560" s="9">
        <f>VLOOKUP(B560,Questions!$K$2:$L$7,2,FALSE)</f>
        <v>90</v>
      </c>
    </row>
    <row r="561" spans="1:14">
      <c r="A561" s="8" t="s">
        <v>133</v>
      </c>
      <c r="B561" s="8">
        <v>10</v>
      </c>
      <c r="C561" s="8" t="s">
        <v>26</v>
      </c>
      <c r="D561" s="8">
        <v>127</v>
      </c>
      <c r="E561" s="8" t="s">
        <v>27</v>
      </c>
      <c r="F561" s="8">
        <v>16</v>
      </c>
      <c r="G561" s="8" t="s">
        <v>33</v>
      </c>
      <c r="H561" s="8" t="s">
        <v>22</v>
      </c>
      <c r="I561" s="8" t="s">
        <v>23</v>
      </c>
      <c r="J561" s="8" t="s">
        <v>24</v>
      </c>
      <c r="K561" s="8" t="s">
        <v>28</v>
      </c>
      <c r="L561" s="8" t="str">
        <f t="shared" si="18"/>
        <v>Senior</v>
      </c>
      <c r="M561" s="8" t="str">
        <f t="shared" si="19"/>
        <v>Pending</v>
      </c>
      <c r="N561" s="9">
        <f>VLOOKUP(B561,Questions!$K$2:$L$7,2,FALSE)</f>
        <v>90</v>
      </c>
    </row>
    <row r="562" spans="1:14">
      <c r="A562" s="8" t="s">
        <v>309</v>
      </c>
      <c r="B562" s="8">
        <v>10</v>
      </c>
      <c r="C562" s="8" t="s">
        <v>26</v>
      </c>
      <c r="D562" s="8">
        <v>130</v>
      </c>
      <c r="E562" s="8" t="s">
        <v>14</v>
      </c>
      <c r="F562" s="8">
        <v>16</v>
      </c>
      <c r="G562" s="8" t="s">
        <v>33</v>
      </c>
      <c r="H562" s="8" t="s">
        <v>22</v>
      </c>
      <c r="I562" s="8" t="s">
        <v>23</v>
      </c>
      <c r="J562" s="8" t="s">
        <v>24</v>
      </c>
      <c r="K562" s="8" t="s">
        <v>42</v>
      </c>
      <c r="L562" s="8" t="str">
        <f t="shared" si="18"/>
        <v>Senior</v>
      </c>
      <c r="M562" s="8" t="str">
        <f t="shared" si="19"/>
        <v>Pending</v>
      </c>
      <c r="N562" s="9">
        <f>VLOOKUP(B562,Questions!$K$2:$L$7,2,FALSE)</f>
        <v>90</v>
      </c>
    </row>
    <row r="563" spans="1:14">
      <c r="A563" s="8" t="s">
        <v>116</v>
      </c>
      <c r="B563" s="8">
        <v>10</v>
      </c>
      <c r="C563" s="8" t="s">
        <v>26</v>
      </c>
      <c r="D563" s="8">
        <v>135</v>
      </c>
      <c r="E563" s="8" t="s">
        <v>14</v>
      </c>
      <c r="F563" s="8">
        <v>15</v>
      </c>
      <c r="G563" s="8" t="s">
        <v>15</v>
      </c>
      <c r="H563" s="8" t="s">
        <v>16</v>
      </c>
      <c r="I563" s="8" t="s">
        <v>23</v>
      </c>
      <c r="J563" s="8" t="s">
        <v>30</v>
      </c>
      <c r="K563" s="8" t="s">
        <v>31</v>
      </c>
      <c r="L563" s="8" t="str">
        <f t="shared" si="18"/>
        <v>Senior</v>
      </c>
      <c r="M563" s="8" t="str">
        <f t="shared" si="19"/>
        <v>OK</v>
      </c>
      <c r="N563" s="9">
        <f>VLOOKUP(B563,Questions!$K$2:$L$7,2,FALSE)</f>
        <v>90</v>
      </c>
    </row>
    <row r="564" spans="1:14">
      <c r="A564" s="8" t="s">
        <v>109</v>
      </c>
      <c r="B564" s="8">
        <v>10</v>
      </c>
      <c r="C564" s="8" t="s">
        <v>26</v>
      </c>
      <c r="D564" s="8">
        <v>159</v>
      </c>
      <c r="E564" s="8" t="s">
        <v>27</v>
      </c>
      <c r="F564" s="8">
        <v>16</v>
      </c>
      <c r="G564" s="8" t="s">
        <v>33</v>
      </c>
      <c r="H564" s="8" t="s">
        <v>22</v>
      </c>
      <c r="I564" s="8" t="s">
        <v>23</v>
      </c>
      <c r="J564" s="8" t="s">
        <v>28</v>
      </c>
      <c r="K564" s="8" t="s">
        <v>42</v>
      </c>
      <c r="L564" s="8" t="str">
        <f t="shared" si="18"/>
        <v>Senior</v>
      </c>
      <c r="M564" s="8" t="str">
        <f t="shared" si="19"/>
        <v>Pending</v>
      </c>
      <c r="N564" s="9">
        <f>VLOOKUP(B564,Questions!$K$2:$L$7,2,FALSE)</f>
        <v>90</v>
      </c>
    </row>
    <row r="565" spans="1:14">
      <c r="A565" s="8" t="s">
        <v>421</v>
      </c>
      <c r="B565" s="8">
        <v>10</v>
      </c>
      <c r="C565" s="8" t="s">
        <v>26</v>
      </c>
      <c r="D565" s="8">
        <v>160</v>
      </c>
      <c r="E565" s="8" t="s">
        <v>27</v>
      </c>
      <c r="F565" s="8">
        <v>16</v>
      </c>
      <c r="G565" s="8" t="s">
        <v>15</v>
      </c>
      <c r="H565" s="8" t="s">
        <v>22</v>
      </c>
      <c r="I565" s="8" t="s">
        <v>17</v>
      </c>
      <c r="J565" s="8" t="s">
        <v>49</v>
      </c>
      <c r="K565" s="8" t="s">
        <v>28</v>
      </c>
      <c r="L565" s="8" t="str">
        <f t="shared" si="18"/>
        <v>Senior</v>
      </c>
      <c r="M565" s="8" t="str">
        <f t="shared" si="19"/>
        <v>OK</v>
      </c>
      <c r="N565" s="9">
        <f>VLOOKUP(B565,Questions!$K$2:$L$7,2,FALSE)</f>
        <v>90</v>
      </c>
    </row>
    <row r="566" spans="1:14">
      <c r="A566" s="8" t="s">
        <v>461</v>
      </c>
      <c r="B566" s="8">
        <v>10</v>
      </c>
      <c r="C566" s="8" t="s">
        <v>26</v>
      </c>
      <c r="D566" s="8">
        <v>162</v>
      </c>
      <c r="E566" s="8" t="s">
        <v>14</v>
      </c>
      <c r="F566" s="8">
        <v>15</v>
      </c>
      <c r="G566" s="8" t="s">
        <v>15</v>
      </c>
      <c r="H566" s="8" t="s">
        <v>22</v>
      </c>
      <c r="I566" s="8" t="s">
        <v>17</v>
      </c>
      <c r="J566" s="8" t="s">
        <v>28</v>
      </c>
      <c r="K566" s="8" t="s">
        <v>19</v>
      </c>
      <c r="L566" s="8" t="str">
        <f t="shared" si="18"/>
        <v>Senior</v>
      </c>
      <c r="M566" s="8" t="str">
        <f t="shared" si="19"/>
        <v>OK</v>
      </c>
      <c r="N566" s="9">
        <f>VLOOKUP(B566,Questions!$K$2:$L$7,2,FALSE)</f>
        <v>90</v>
      </c>
    </row>
    <row r="567" spans="1:14">
      <c r="A567" s="8" t="s">
        <v>132</v>
      </c>
      <c r="B567" s="8">
        <v>10</v>
      </c>
      <c r="C567" s="8" t="s">
        <v>26</v>
      </c>
      <c r="D567" s="8">
        <v>170</v>
      </c>
      <c r="E567" s="8" t="s">
        <v>27</v>
      </c>
      <c r="F567" s="8">
        <v>15</v>
      </c>
      <c r="G567" s="8" t="s">
        <v>33</v>
      </c>
      <c r="H567" s="8" t="s">
        <v>22</v>
      </c>
      <c r="I567" s="8" t="s">
        <v>17</v>
      </c>
      <c r="J567" s="8" t="s">
        <v>18</v>
      </c>
      <c r="K567" s="8" t="s">
        <v>28</v>
      </c>
      <c r="L567" s="8" t="str">
        <f t="shared" si="18"/>
        <v>Senior</v>
      </c>
      <c r="M567" s="8" t="str">
        <f t="shared" si="19"/>
        <v>Pending</v>
      </c>
      <c r="N567" s="9">
        <f>VLOOKUP(B567,Questions!$K$2:$L$7,2,FALSE)</f>
        <v>90</v>
      </c>
    </row>
    <row r="568" spans="1:14">
      <c r="A568" s="8" t="s">
        <v>408</v>
      </c>
      <c r="B568" s="8">
        <v>10</v>
      </c>
      <c r="C568" s="8" t="s">
        <v>26</v>
      </c>
      <c r="D568" s="8">
        <v>171</v>
      </c>
      <c r="E568" s="8" t="s">
        <v>27</v>
      </c>
      <c r="F568" s="8">
        <v>16</v>
      </c>
      <c r="G568" s="8" t="s">
        <v>15</v>
      </c>
      <c r="H568" s="8" t="s">
        <v>22</v>
      </c>
      <c r="I568" s="8" t="s">
        <v>23</v>
      </c>
      <c r="J568" s="8" t="s">
        <v>24</v>
      </c>
      <c r="K568" s="8" t="s">
        <v>28</v>
      </c>
      <c r="L568" s="8" t="str">
        <f t="shared" si="18"/>
        <v>Senior</v>
      </c>
      <c r="M568" s="8" t="str">
        <f t="shared" si="19"/>
        <v>OK</v>
      </c>
      <c r="N568" s="9">
        <f>VLOOKUP(B568,Questions!$K$2:$L$7,2,FALSE)</f>
        <v>90</v>
      </c>
    </row>
    <row r="569" spans="1:14">
      <c r="A569" s="8" t="s">
        <v>130</v>
      </c>
      <c r="B569" s="8">
        <v>10</v>
      </c>
      <c r="C569" s="8" t="s">
        <v>26</v>
      </c>
      <c r="D569" s="8">
        <v>173</v>
      </c>
      <c r="E569" s="8" t="s">
        <v>14</v>
      </c>
      <c r="F569" s="8">
        <v>16</v>
      </c>
      <c r="G569" s="8" t="s">
        <v>15</v>
      </c>
      <c r="H569" s="8" t="s">
        <v>16</v>
      </c>
      <c r="I569" s="8" t="s">
        <v>23</v>
      </c>
      <c r="J569" s="8" t="s">
        <v>18</v>
      </c>
      <c r="K569" s="8" t="s">
        <v>31</v>
      </c>
      <c r="L569" s="8" t="str">
        <f t="shared" si="18"/>
        <v>Senior</v>
      </c>
      <c r="M569" s="8" t="str">
        <f t="shared" si="19"/>
        <v>OK</v>
      </c>
      <c r="N569" s="9">
        <f>VLOOKUP(B569,Questions!$K$2:$L$7,2,FALSE)</f>
        <v>90</v>
      </c>
    </row>
    <row r="570" spans="1:14">
      <c r="A570" s="8" t="s">
        <v>570</v>
      </c>
      <c r="B570" s="8">
        <v>10</v>
      </c>
      <c r="C570" s="8" t="s">
        <v>26</v>
      </c>
      <c r="D570" s="8">
        <v>198</v>
      </c>
      <c r="E570" s="8" t="s">
        <v>27</v>
      </c>
      <c r="F570" s="8">
        <v>16</v>
      </c>
      <c r="G570" s="8" t="s">
        <v>33</v>
      </c>
      <c r="H570" s="8" t="s">
        <v>22</v>
      </c>
      <c r="I570" s="8" t="s">
        <v>23</v>
      </c>
      <c r="J570" s="8" t="s">
        <v>49</v>
      </c>
      <c r="K570" s="8" t="s">
        <v>28</v>
      </c>
      <c r="L570" s="8" t="str">
        <f t="shared" si="18"/>
        <v>Senior</v>
      </c>
      <c r="M570" s="8" t="str">
        <f t="shared" si="19"/>
        <v>Pending</v>
      </c>
      <c r="N570" s="9">
        <f>VLOOKUP(B570,Questions!$K$2:$L$7,2,FALSE)</f>
        <v>90</v>
      </c>
    </row>
    <row r="571" spans="1:14">
      <c r="A571" s="8" t="s">
        <v>80</v>
      </c>
      <c r="B571" s="8">
        <v>10</v>
      </c>
      <c r="C571" s="8" t="s">
        <v>21</v>
      </c>
      <c r="D571" s="8">
        <v>16</v>
      </c>
      <c r="E571" s="8" t="s">
        <v>27</v>
      </c>
      <c r="F571" s="8">
        <v>16</v>
      </c>
      <c r="G571" s="8" t="s">
        <v>33</v>
      </c>
      <c r="H571" s="8" t="s">
        <v>22</v>
      </c>
      <c r="I571" s="8" t="s">
        <v>23</v>
      </c>
      <c r="J571" s="8" t="s">
        <v>24</v>
      </c>
      <c r="K571" s="8" t="s">
        <v>28</v>
      </c>
      <c r="L571" s="8" t="str">
        <f t="shared" si="18"/>
        <v>Senior</v>
      </c>
      <c r="M571" s="8" t="str">
        <f t="shared" si="19"/>
        <v>Pending</v>
      </c>
      <c r="N571" s="9">
        <f>VLOOKUP(B571,Questions!$K$2:$L$7,2,FALSE)</f>
        <v>90</v>
      </c>
    </row>
    <row r="572" spans="1:14">
      <c r="A572" s="8" t="s">
        <v>520</v>
      </c>
      <c r="B572" s="8">
        <v>10</v>
      </c>
      <c r="C572" s="8" t="s">
        <v>21</v>
      </c>
      <c r="D572" s="8">
        <v>26</v>
      </c>
      <c r="E572" s="8" t="s">
        <v>14</v>
      </c>
      <c r="F572" s="8">
        <v>15</v>
      </c>
      <c r="G572" s="8" t="s">
        <v>33</v>
      </c>
      <c r="H572" s="8" t="s">
        <v>22</v>
      </c>
      <c r="I572" s="8" t="s">
        <v>23</v>
      </c>
      <c r="J572" s="8" t="s">
        <v>18</v>
      </c>
      <c r="K572" s="8" t="s">
        <v>28</v>
      </c>
      <c r="L572" s="8" t="str">
        <f t="shared" si="18"/>
        <v>Senior</v>
      </c>
      <c r="M572" s="8" t="str">
        <f t="shared" si="19"/>
        <v>Pending</v>
      </c>
      <c r="N572" s="9">
        <f>VLOOKUP(B572,Questions!$K$2:$L$7,2,FALSE)</f>
        <v>90</v>
      </c>
    </row>
    <row r="573" spans="1:14">
      <c r="A573" s="8" t="s">
        <v>121</v>
      </c>
      <c r="B573" s="8">
        <v>10</v>
      </c>
      <c r="C573" s="8" t="s">
        <v>21</v>
      </c>
      <c r="D573" s="8">
        <v>29</v>
      </c>
      <c r="E573" s="8" t="s">
        <v>14</v>
      </c>
      <c r="F573" s="8">
        <v>15</v>
      </c>
      <c r="G573" s="8" t="s">
        <v>33</v>
      </c>
      <c r="H573" s="8" t="s">
        <v>22</v>
      </c>
      <c r="I573" s="8" t="s">
        <v>17</v>
      </c>
      <c r="J573" s="8" t="s">
        <v>28</v>
      </c>
      <c r="K573" s="8" t="s">
        <v>28</v>
      </c>
      <c r="L573" s="8" t="str">
        <f t="shared" si="18"/>
        <v>Senior</v>
      </c>
      <c r="M573" s="8" t="str">
        <f t="shared" si="19"/>
        <v>Pending</v>
      </c>
      <c r="N573" s="9">
        <f>VLOOKUP(B573,Questions!$K$2:$L$7,2,FALSE)</f>
        <v>90</v>
      </c>
    </row>
    <row r="574" spans="1:14">
      <c r="A574" s="8" t="s">
        <v>205</v>
      </c>
      <c r="B574" s="8">
        <v>10</v>
      </c>
      <c r="C574" s="8" t="s">
        <v>21</v>
      </c>
      <c r="D574" s="8">
        <v>35</v>
      </c>
      <c r="E574" s="8" t="s">
        <v>14</v>
      </c>
      <c r="F574" s="8">
        <v>16</v>
      </c>
      <c r="G574" s="8" t="s">
        <v>15</v>
      </c>
      <c r="H574" s="8" t="s">
        <v>22</v>
      </c>
      <c r="I574" s="8" t="s">
        <v>23</v>
      </c>
      <c r="J574" s="8" t="s">
        <v>28</v>
      </c>
      <c r="K574" s="8" t="s">
        <v>19</v>
      </c>
      <c r="L574" s="8" t="str">
        <f t="shared" si="18"/>
        <v>Senior</v>
      </c>
      <c r="M574" s="8" t="str">
        <f t="shared" si="19"/>
        <v>OK</v>
      </c>
      <c r="N574" s="9">
        <f>VLOOKUP(B574,Questions!$K$2:$L$7,2,FALSE)</f>
        <v>90</v>
      </c>
    </row>
    <row r="575" spans="1:14">
      <c r="A575" s="8" t="s">
        <v>89</v>
      </c>
      <c r="B575" s="8">
        <v>10</v>
      </c>
      <c r="C575" s="8" t="s">
        <v>21</v>
      </c>
      <c r="D575" s="8">
        <v>38</v>
      </c>
      <c r="E575" s="8" t="s">
        <v>14</v>
      </c>
      <c r="F575" s="8">
        <v>16</v>
      </c>
      <c r="G575" s="8" t="s">
        <v>15</v>
      </c>
      <c r="H575" s="8" t="s">
        <v>16</v>
      </c>
      <c r="I575" s="8" t="s">
        <v>17</v>
      </c>
      <c r="J575" s="8" t="s">
        <v>30</v>
      </c>
      <c r="K575" s="8" t="s">
        <v>28</v>
      </c>
      <c r="L575" s="8" t="str">
        <f t="shared" si="18"/>
        <v>Senior</v>
      </c>
      <c r="M575" s="8" t="str">
        <f t="shared" si="19"/>
        <v>OK</v>
      </c>
      <c r="N575" s="9">
        <f>VLOOKUP(B575,Questions!$K$2:$L$7,2,FALSE)</f>
        <v>90</v>
      </c>
    </row>
    <row r="576" spans="1:14">
      <c r="A576" s="8" t="s">
        <v>34</v>
      </c>
      <c r="B576" s="8">
        <v>10</v>
      </c>
      <c r="C576" s="8" t="s">
        <v>21</v>
      </c>
      <c r="D576" s="8">
        <v>40</v>
      </c>
      <c r="E576" s="8" t="s">
        <v>27</v>
      </c>
      <c r="F576" s="8">
        <v>15</v>
      </c>
      <c r="G576" s="8" t="s">
        <v>15</v>
      </c>
      <c r="H576" s="8" t="s">
        <v>22</v>
      </c>
      <c r="I576" s="8" t="s">
        <v>23</v>
      </c>
      <c r="J576" s="8" t="s">
        <v>24</v>
      </c>
      <c r="K576" s="8" t="s">
        <v>28</v>
      </c>
      <c r="L576" s="8" t="str">
        <f t="shared" si="18"/>
        <v>Senior</v>
      </c>
      <c r="M576" s="8" t="str">
        <f t="shared" si="19"/>
        <v>OK</v>
      </c>
      <c r="N576" s="9">
        <f>VLOOKUP(B576,Questions!$K$2:$L$7,2,FALSE)</f>
        <v>90</v>
      </c>
    </row>
    <row r="577" spans="1:14">
      <c r="A577" s="8" t="s">
        <v>430</v>
      </c>
      <c r="B577" s="8">
        <v>10</v>
      </c>
      <c r="C577" s="8" t="s">
        <v>21</v>
      </c>
      <c r="D577" s="8">
        <v>42</v>
      </c>
      <c r="E577" s="8" t="s">
        <v>14</v>
      </c>
      <c r="F577" s="8">
        <v>15</v>
      </c>
      <c r="G577" s="8" t="s">
        <v>33</v>
      </c>
      <c r="H577" s="8" t="s">
        <v>22</v>
      </c>
      <c r="I577" s="8" t="s">
        <v>17</v>
      </c>
      <c r="J577" s="8" t="s">
        <v>18</v>
      </c>
      <c r="K577" s="8" t="s">
        <v>28</v>
      </c>
      <c r="L577" s="8" t="str">
        <f t="shared" si="18"/>
        <v>Senior</v>
      </c>
      <c r="M577" s="8" t="str">
        <f t="shared" si="19"/>
        <v>Pending</v>
      </c>
      <c r="N577" s="9">
        <f>VLOOKUP(B577,Questions!$K$2:$L$7,2,FALSE)</f>
        <v>90</v>
      </c>
    </row>
    <row r="578" spans="1:14">
      <c r="A578" s="8" t="s">
        <v>322</v>
      </c>
      <c r="B578" s="8">
        <v>10</v>
      </c>
      <c r="C578" s="8" t="s">
        <v>21</v>
      </c>
      <c r="D578" s="8">
        <v>44</v>
      </c>
      <c r="E578" s="8" t="s">
        <v>27</v>
      </c>
      <c r="F578" s="8">
        <v>15</v>
      </c>
      <c r="G578" s="8" t="s">
        <v>15</v>
      </c>
      <c r="H578" s="8" t="s">
        <v>22</v>
      </c>
      <c r="I578" s="8" t="s">
        <v>23</v>
      </c>
      <c r="J578" s="8" t="s">
        <v>18</v>
      </c>
      <c r="K578" s="8" t="s">
        <v>28</v>
      </c>
      <c r="L578" s="8" t="str">
        <f t="shared" si="18"/>
        <v>Senior</v>
      </c>
      <c r="M578" s="8" t="str">
        <f t="shared" si="19"/>
        <v>OK</v>
      </c>
      <c r="N578" s="9">
        <f>VLOOKUP(B578,Questions!$K$2:$L$7,2,FALSE)</f>
        <v>90</v>
      </c>
    </row>
    <row r="579" spans="1:14">
      <c r="A579" s="8" t="s">
        <v>419</v>
      </c>
      <c r="B579" s="8">
        <v>10</v>
      </c>
      <c r="C579" s="8" t="s">
        <v>21</v>
      </c>
      <c r="D579" s="8">
        <v>47</v>
      </c>
      <c r="E579" s="8" t="s">
        <v>14</v>
      </c>
      <c r="F579" s="8">
        <v>16</v>
      </c>
      <c r="G579" s="8" t="s">
        <v>15</v>
      </c>
      <c r="H579" s="8" t="s">
        <v>16</v>
      </c>
      <c r="I579" s="8" t="s">
        <v>17</v>
      </c>
      <c r="J579" s="8" t="s">
        <v>28</v>
      </c>
      <c r="K579" s="8" t="s">
        <v>19</v>
      </c>
      <c r="L579" s="8" t="str">
        <f t="shared" ref="L579:L602" si="20">IF(B579&lt;=7,"Junior","Senior")</f>
        <v>Senior</v>
      </c>
      <c r="M579" s="8" t="str">
        <f t="shared" si="19"/>
        <v>OK</v>
      </c>
      <c r="N579" s="9">
        <f>VLOOKUP(B579,Questions!$K$2:$L$7,2,FALSE)</f>
        <v>90</v>
      </c>
    </row>
    <row r="580" spans="1:14">
      <c r="A580" s="8" t="s">
        <v>200</v>
      </c>
      <c r="B580" s="8">
        <v>10</v>
      </c>
      <c r="C580" s="8" t="s">
        <v>21</v>
      </c>
      <c r="D580" s="8">
        <v>65</v>
      </c>
      <c r="E580" s="8" t="s">
        <v>14</v>
      </c>
      <c r="F580" s="8">
        <v>15</v>
      </c>
      <c r="G580" s="8" t="s">
        <v>33</v>
      </c>
      <c r="H580" s="8" t="s">
        <v>22</v>
      </c>
      <c r="I580" s="8" t="s">
        <v>23</v>
      </c>
      <c r="J580" s="8" t="s">
        <v>30</v>
      </c>
      <c r="K580" s="8" t="s">
        <v>42</v>
      </c>
      <c r="L580" s="8" t="str">
        <f t="shared" si="20"/>
        <v>Senior</v>
      </c>
      <c r="M580" s="8" t="str">
        <f t="shared" ref="M580:M602" si="21">IF(G580="Paid","OK","Pending")</f>
        <v>Pending</v>
      </c>
      <c r="N580" s="9">
        <f>VLOOKUP(B580,Questions!$K$2:$L$7,2,FALSE)</f>
        <v>90</v>
      </c>
    </row>
    <row r="581" spans="1:14">
      <c r="A581" s="8" t="s">
        <v>153</v>
      </c>
      <c r="B581" s="8">
        <v>10</v>
      </c>
      <c r="C581" s="8" t="s">
        <v>21</v>
      </c>
      <c r="D581" s="8">
        <v>74</v>
      </c>
      <c r="E581" s="8" t="s">
        <v>27</v>
      </c>
      <c r="F581" s="8">
        <v>15</v>
      </c>
      <c r="G581" s="8" t="s">
        <v>33</v>
      </c>
      <c r="H581" s="8" t="s">
        <v>22</v>
      </c>
      <c r="I581" s="8" t="s">
        <v>23</v>
      </c>
      <c r="J581" s="8" t="s">
        <v>18</v>
      </c>
      <c r="K581" s="8" t="s">
        <v>31</v>
      </c>
      <c r="L581" s="8" t="str">
        <f t="shared" si="20"/>
        <v>Senior</v>
      </c>
      <c r="M581" s="8" t="str">
        <f t="shared" si="21"/>
        <v>Pending</v>
      </c>
      <c r="N581" s="9">
        <f>VLOOKUP(B581,Questions!$K$2:$L$7,2,FALSE)</f>
        <v>90</v>
      </c>
    </row>
    <row r="582" spans="1:14">
      <c r="A582" s="8" t="s">
        <v>420</v>
      </c>
      <c r="B582" s="8">
        <v>10</v>
      </c>
      <c r="C582" s="8" t="s">
        <v>21</v>
      </c>
      <c r="D582" s="8">
        <v>80</v>
      </c>
      <c r="E582" s="8" t="s">
        <v>27</v>
      </c>
      <c r="F582" s="8">
        <v>16</v>
      </c>
      <c r="G582" s="8" t="s">
        <v>33</v>
      </c>
      <c r="H582" s="8" t="s">
        <v>22</v>
      </c>
      <c r="I582" s="8" t="s">
        <v>23</v>
      </c>
      <c r="J582" s="8" t="s">
        <v>28</v>
      </c>
      <c r="K582" s="8" t="s">
        <v>42</v>
      </c>
      <c r="L582" s="8" t="str">
        <f t="shared" si="20"/>
        <v>Senior</v>
      </c>
      <c r="M582" s="8" t="str">
        <f t="shared" si="21"/>
        <v>Pending</v>
      </c>
      <c r="N582" s="9">
        <f>VLOOKUP(B582,Questions!$K$2:$L$7,2,FALSE)</f>
        <v>90</v>
      </c>
    </row>
    <row r="583" spans="1:14">
      <c r="A583" s="8" t="s">
        <v>579</v>
      </c>
      <c r="B583" s="8">
        <v>10</v>
      </c>
      <c r="C583" s="8" t="s">
        <v>21</v>
      </c>
      <c r="D583" s="8">
        <v>90</v>
      </c>
      <c r="E583" s="8" t="s">
        <v>14</v>
      </c>
      <c r="F583" s="8">
        <v>16</v>
      </c>
      <c r="G583" s="8" t="s">
        <v>15</v>
      </c>
      <c r="H583" s="8" t="s">
        <v>22</v>
      </c>
      <c r="I583" s="8" t="s">
        <v>23</v>
      </c>
      <c r="J583" s="8" t="s">
        <v>30</v>
      </c>
      <c r="K583" s="8" t="s">
        <v>19</v>
      </c>
      <c r="L583" s="8" t="str">
        <f t="shared" si="20"/>
        <v>Senior</v>
      </c>
      <c r="M583" s="8" t="str">
        <f t="shared" si="21"/>
        <v>OK</v>
      </c>
      <c r="N583" s="9">
        <f>VLOOKUP(B583,Questions!$K$2:$L$7,2,FALSE)</f>
        <v>90</v>
      </c>
    </row>
    <row r="584" spans="1:14">
      <c r="A584" s="8" t="s">
        <v>473</v>
      </c>
      <c r="B584" s="8">
        <v>10</v>
      </c>
      <c r="C584" s="8" t="s">
        <v>21</v>
      </c>
      <c r="D584" s="8">
        <v>99</v>
      </c>
      <c r="E584" s="8" t="s">
        <v>14</v>
      </c>
      <c r="F584" s="8">
        <v>16</v>
      </c>
      <c r="G584" s="8" t="s">
        <v>15</v>
      </c>
      <c r="H584" s="8" t="s">
        <v>22</v>
      </c>
      <c r="I584" s="8" t="s">
        <v>23</v>
      </c>
      <c r="J584" s="8" t="s">
        <v>18</v>
      </c>
      <c r="K584" s="8" t="s">
        <v>28</v>
      </c>
      <c r="L584" s="8" t="str">
        <f t="shared" si="20"/>
        <v>Senior</v>
      </c>
      <c r="M584" s="8" t="str">
        <f t="shared" si="21"/>
        <v>OK</v>
      </c>
      <c r="N584" s="9">
        <f>VLOOKUP(B584,Questions!$K$2:$L$7,2,FALSE)</f>
        <v>90</v>
      </c>
    </row>
    <row r="585" spans="1:14">
      <c r="A585" s="8" t="s">
        <v>118</v>
      </c>
      <c r="B585" s="8">
        <v>10</v>
      </c>
      <c r="C585" s="8" t="s">
        <v>21</v>
      </c>
      <c r="D585" s="8">
        <v>101</v>
      </c>
      <c r="E585" s="8" t="s">
        <v>27</v>
      </c>
      <c r="F585" s="8">
        <v>16</v>
      </c>
      <c r="G585" s="8" t="s">
        <v>15</v>
      </c>
      <c r="H585" s="8" t="s">
        <v>16</v>
      </c>
      <c r="I585" s="8" t="s">
        <v>23</v>
      </c>
      <c r="J585" s="8" t="s">
        <v>24</v>
      </c>
      <c r="K585" s="8" t="s">
        <v>42</v>
      </c>
      <c r="L585" s="8" t="str">
        <f t="shared" si="20"/>
        <v>Senior</v>
      </c>
      <c r="M585" s="8" t="str">
        <f t="shared" si="21"/>
        <v>OK</v>
      </c>
      <c r="N585" s="9">
        <f>VLOOKUP(B585,Questions!$K$2:$L$7,2,FALSE)</f>
        <v>90</v>
      </c>
    </row>
    <row r="586" spans="1:14">
      <c r="A586" s="8" t="s">
        <v>536</v>
      </c>
      <c r="B586" s="8">
        <v>10</v>
      </c>
      <c r="C586" s="8" t="s">
        <v>21</v>
      </c>
      <c r="D586" s="8">
        <v>108</v>
      </c>
      <c r="E586" s="8" t="s">
        <v>27</v>
      </c>
      <c r="F586" s="8">
        <v>16</v>
      </c>
      <c r="G586" s="8" t="s">
        <v>15</v>
      </c>
      <c r="H586" s="8" t="s">
        <v>16</v>
      </c>
      <c r="I586" s="8" t="s">
        <v>17</v>
      </c>
      <c r="J586" s="8" t="s">
        <v>30</v>
      </c>
      <c r="K586" s="8" t="s">
        <v>28</v>
      </c>
      <c r="L586" s="8" t="str">
        <f t="shared" si="20"/>
        <v>Senior</v>
      </c>
      <c r="M586" s="8" t="str">
        <f t="shared" si="21"/>
        <v>OK</v>
      </c>
      <c r="N586" s="9">
        <f>VLOOKUP(B586,Questions!$K$2:$L$7,2,FALSE)</f>
        <v>90</v>
      </c>
    </row>
    <row r="587" spans="1:14">
      <c r="A587" s="8" t="s">
        <v>20</v>
      </c>
      <c r="B587" s="8">
        <v>10</v>
      </c>
      <c r="C587" s="8" t="s">
        <v>21</v>
      </c>
      <c r="D587" s="8">
        <v>110</v>
      </c>
      <c r="E587" s="8" t="s">
        <v>14</v>
      </c>
      <c r="F587" s="8">
        <v>15</v>
      </c>
      <c r="G587" s="8" t="s">
        <v>15</v>
      </c>
      <c r="H587" s="8" t="s">
        <v>22</v>
      </c>
      <c r="I587" s="8" t="s">
        <v>23</v>
      </c>
      <c r="J587" s="8" t="s">
        <v>24</v>
      </c>
      <c r="K587" s="8" t="s">
        <v>19</v>
      </c>
      <c r="L587" s="8" t="str">
        <f t="shared" si="20"/>
        <v>Senior</v>
      </c>
      <c r="M587" s="8" t="str">
        <f t="shared" si="21"/>
        <v>OK</v>
      </c>
      <c r="N587" s="9">
        <f>VLOOKUP(B587,Questions!$K$2:$L$7,2,FALSE)</f>
        <v>90</v>
      </c>
    </row>
    <row r="588" spans="1:14">
      <c r="A588" s="8" t="s">
        <v>171</v>
      </c>
      <c r="B588" s="8">
        <v>10</v>
      </c>
      <c r="C588" s="8" t="s">
        <v>21</v>
      </c>
      <c r="D588" s="8">
        <v>121</v>
      </c>
      <c r="E588" s="8" t="s">
        <v>14</v>
      </c>
      <c r="F588" s="8">
        <v>15</v>
      </c>
      <c r="G588" s="8" t="s">
        <v>15</v>
      </c>
      <c r="H588" s="8" t="s">
        <v>16</v>
      </c>
      <c r="I588" s="8" t="s">
        <v>23</v>
      </c>
      <c r="J588" s="8" t="s">
        <v>28</v>
      </c>
      <c r="K588" s="8" t="s">
        <v>28</v>
      </c>
      <c r="L588" s="8" t="str">
        <f t="shared" si="20"/>
        <v>Senior</v>
      </c>
      <c r="M588" s="8" t="str">
        <f t="shared" si="21"/>
        <v>OK</v>
      </c>
      <c r="N588" s="9">
        <f>VLOOKUP(B588,Questions!$K$2:$L$7,2,FALSE)</f>
        <v>90</v>
      </c>
    </row>
    <row r="589" spans="1:14">
      <c r="A589" s="8" t="s">
        <v>537</v>
      </c>
      <c r="B589" s="8">
        <v>10</v>
      </c>
      <c r="C589" s="8" t="s">
        <v>21</v>
      </c>
      <c r="D589" s="8">
        <v>125</v>
      </c>
      <c r="E589" s="8" t="s">
        <v>14</v>
      </c>
      <c r="F589" s="8">
        <v>15</v>
      </c>
      <c r="G589" s="8" t="s">
        <v>33</v>
      </c>
      <c r="H589" s="8" t="s">
        <v>22</v>
      </c>
      <c r="I589" s="8" t="s">
        <v>23</v>
      </c>
      <c r="J589" s="8" t="s">
        <v>28</v>
      </c>
      <c r="K589" s="8" t="s">
        <v>28</v>
      </c>
      <c r="L589" s="8" t="str">
        <f t="shared" si="20"/>
        <v>Senior</v>
      </c>
      <c r="M589" s="8" t="str">
        <f t="shared" si="21"/>
        <v>Pending</v>
      </c>
      <c r="N589" s="9">
        <f>VLOOKUP(B589,Questions!$K$2:$L$7,2,FALSE)</f>
        <v>90</v>
      </c>
    </row>
    <row r="590" spans="1:14">
      <c r="A590" s="8" t="s">
        <v>598</v>
      </c>
      <c r="B590" s="8">
        <v>10</v>
      </c>
      <c r="C590" s="8" t="s">
        <v>21</v>
      </c>
      <c r="D590" s="8">
        <v>133</v>
      </c>
      <c r="E590" s="8" t="s">
        <v>27</v>
      </c>
      <c r="F590" s="8">
        <v>16</v>
      </c>
      <c r="G590" s="8" t="s">
        <v>15</v>
      </c>
      <c r="H590" s="8" t="s">
        <v>16</v>
      </c>
      <c r="I590" s="8" t="s">
        <v>17</v>
      </c>
      <c r="J590" s="8" t="s">
        <v>30</v>
      </c>
      <c r="K590" s="8" t="s">
        <v>28</v>
      </c>
      <c r="L590" s="8" t="str">
        <f t="shared" si="20"/>
        <v>Senior</v>
      </c>
      <c r="M590" s="8" t="str">
        <f t="shared" si="21"/>
        <v>OK</v>
      </c>
      <c r="N590" s="9">
        <f>VLOOKUP(B590,Questions!$K$2:$L$7,2,FALSE)</f>
        <v>90</v>
      </c>
    </row>
    <row r="591" spans="1:14">
      <c r="A591" s="8" t="s">
        <v>232</v>
      </c>
      <c r="B591" s="8">
        <v>10</v>
      </c>
      <c r="C591" s="8" t="s">
        <v>21</v>
      </c>
      <c r="D591" s="8">
        <v>134</v>
      </c>
      <c r="E591" s="8" t="s">
        <v>27</v>
      </c>
      <c r="F591" s="8">
        <v>15</v>
      </c>
      <c r="G591" s="8" t="s">
        <v>15</v>
      </c>
      <c r="H591" s="8" t="s">
        <v>22</v>
      </c>
      <c r="I591" s="8" t="s">
        <v>23</v>
      </c>
      <c r="J591" s="8" t="s">
        <v>28</v>
      </c>
      <c r="K591" s="8" t="s">
        <v>28</v>
      </c>
      <c r="L591" s="8" t="str">
        <f t="shared" si="20"/>
        <v>Senior</v>
      </c>
      <c r="M591" s="8" t="str">
        <f t="shared" si="21"/>
        <v>OK</v>
      </c>
      <c r="N591" s="9">
        <f>VLOOKUP(B591,Questions!$K$2:$L$7,2,FALSE)</f>
        <v>90</v>
      </c>
    </row>
    <row r="592" spans="1:14">
      <c r="A592" s="8" t="s">
        <v>305</v>
      </c>
      <c r="B592" s="8">
        <v>10</v>
      </c>
      <c r="C592" s="8" t="s">
        <v>21</v>
      </c>
      <c r="D592" s="8">
        <v>141</v>
      </c>
      <c r="E592" s="8" t="s">
        <v>14</v>
      </c>
      <c r="F592" s="8">
        <v>15</v>
      </c>
      <c r="G592" s="8" t="s">
        <v>33</v>
      </c>
      <c r="H592" s="8" t="s">
        <v>16</v>
      </c>
      <c r="I592" s="8" t="s">
        <v>23</v>
      </c>
      <c r="J592" s="8" t="s">
        <v>28</v>
      </c>
      <c r="K592" s="8" t="s">
        <v>42</v>
      </c>
      <c r="L592" s="8" t="str">
        <f t="shared" si="20"/>
        <v>Senior</v>
      </c>
      <c r="M592" s="8" t="str">
        <f t="shared" si="21"/>
        <v>Pending</v>
      </c>
      <c r="N592" s="9">
        <f>VLOOKUP(B592,Questions!$K$2:$L$7,2,FALSE)</f>
        <v>90</v>
      </c>
    </row>
    <row r="593" spans="1:14">
      <c r="A593" s="8" t="s">
        <v>519</v>
      </c>
      <c r="B593" s="8">
        <v>10</v>
      </c>
      <c r="C593" s="8" t="s">
        <v>21</v>
      </c>
      <c r="D593" s="8">
        <v>151</v>
      </c>
      <c r="E593" s="8" t="s">
        <v>14</v>
      </c>
      <c r="F593" s="8">
        <v>15</v>
      </c>
      <c r="G593" s="8" t="s">
        <v>15</v>
      </c>
      <c r="H593" s="8" t="s">
        <v>22</v>
      </c>
      <c r="I593" s="8" t="s">
        <v>23</v>
      </c>
      <c r="J593" s="8" t="s">
        <v>30</v>
      </c>
      <c r="K593" s="8" t="s">
        <v>31</v>
      </c>
      <c r="L593" s="8" t="str">
        <f t="shared" si="20"/>
        <v>Senior</v>
      </c>
      <c r="M593" s="8" t="str">
        <f t="shared" si="21"/>
        <v>OK</v>
      </c>
      <c r="N593" s="9">
        <f>VLOOKUP(B593,Questions!$K$2:$L$7,2,FALSE)</f>
        <v>90</v>
      </c>
    </row>
    <row r="594" spans="1:14">
      <c r="A594" s="8" t="s">
        <v>443</v>
      </c>
      <c r="B594" s="8">
        <v>10</v>
      </c>
      <c r="C594" s="8" t="s">
        <v>21</v>
      </c>
      <c r="D594" s="8">
        <v>163</v>
      </c>
      <c r="E594" s="8" t="s">
        <v>27</v>
      </c>
      <c r="F594" s="8">
        <v>15</v>
      </c>
      <c r="G594" s="8" t="s">
        <v>33</v>
      </c>
      <c r="H594" s="8" t="s">
        <v>16</v>
      </c>
      <c r="I594" s="8" t="s">
        <v>17</v>
      </c>
      <c r="J594" s="8" t="s">
        <v>18</v>
      </c>
      <c r="K594" s="8" t="s">
        <v>42</v>
      </c>
      <c r="L594" s="8" t="str">
        <f t="shared" si="20"/>
        <v>Senior</v>
      </c>
      <c r="M594" s="8" t="str">
        <f t="shared" si="21"/>
        <v>Pending</v>
      </c>
      <c r="N594" s="9">
        <f>VLOOKUP(B594,Questions!$K$2:$L$7,2,FALSE)</f>
        <v>90</v>
      </c>
    </row>
    <row r="595" spans="1:14">
      <c r="A595" s="8" t="s">
        <v>107</v>
      </c>
      <c r="B595" s="8">
        <v>10</v>
      </c>
      <c r="C595" s="8" t="s">
        <v>21</v>
      </c>
      <c r="D595" s="8">
        <v>168</v>
      </c>
      <c r="E595" s="8" t="s">
        <v>27</v>
      </c>
      <c r="F595" s="8">
        <v>16</v>
      </c>
      <c r="G595" s="8" t="s">
        <v>33</v>
      </c>
      <c r="H595" s="8" t="s">
        <v>22</v>
      </c>
      <c r="I595" s="8" t="s">
        <v>23</v>
      </c>
      <c r="J595" s="8" t="s">
        <v>28</v>
      </c>
      <c r="K595" s="8" t="s">
        <v>28</v>
      </c>
      <c r="L595" s="8" t="str">
        <f t="shared" si="20"/>
        <v>Senior</v>
      </c>
      <c r="M595" s="8" t="str">
        <f t="shared" si="21"/>
        <v>Pending</v>
      </c>
      <c r="N595" s="9">
        <f>VLOOKUP(B595,Questions!$K$2:$L$7,2,FALSE)</f>
        <v>90</v>
      </c>
    </row>
    <row r="596" spans="1:14">
      <c r="A596" s="8" t="s">
        <v>39</v>
      </c>
      <c r="B596" s="8">
        <v>10</v>
      </c>
      <c r="C596" s="8" t="s">
        <v>21</v>
      </c>
      <c r="D596" s="8">
        <v>178</v>
      </c>
      <c r="E596" s="8" t="s">
        <v>27</v>
      </c>
      <c r="F596" s="8">
        <v>15</v>
      </c>
      <c r="G596" s="8" t="s">
        <v>15</v>
      </c>
      <c r="H596" s="8" t="s">
        <v>22</v>
      </c>
      <c r="I596" s="8" t="s">
        <v>17</v>
      </c>
      <c r="J596" s="8" t="s">
        <v>18</v>
      </c>
      <c r="K596" s="8" t="s">
        <v>19</v>
      </c>
      <c r="L596" s="8" t="str">
        <f t="shared" si="20"/>
        <v>Senior</v>
      </c>
      <c r="M596" s="8" t="str">
        <f t="shared" si="21"/>
        <v>OK</v>
      </c>
      <c r="N596" s="9">
        <f>VLOOKUP(B596,Questions!$K$2:$L$7,2,FALSE)</f>
        <v>90</v>
      </c>
    </row>
    <row r="597" spans="1:14">
      <c r="A597" s="8" t="s">
        <v>302</v>
      </c>
      <c r="B597" s="8">
        <v>10</v>
      </c>
      <c r="C597" s="8" t="s">
        <v>21</v>
      </c>
      <c r="D597" s="8">
        <v>180</v>
      </c>
      <c r="E597" s="8" t="s">
        <v>27</v>
      </c>
      <c r="F597" s="8">
        <v>16</v>
      </c>
      <c r="G597" s="8" t="s">
        <v>33</v>
      </c>
      <c r="H597" s="8" t="s">
        <v>16</v>
      </c>
      <c r="I597" s="8" t="s">
        <v>23</v>
      </c>
      <c r="J597" s="8" t="s">
        <v>28</v>
      </c>
      <c r="K597" s="8" t="s">
        <v>28</v>
      </c>
      <c r="L597" s="8" t="str">
        <f t="shared" si="20"/>
        <v>Senior</v>
      </c>
      <c r="M597" s="8" t="str">
        <f t="shared" si="21"/>
        <v>Pending</v>
      </c>
      <c r="N597" s="9">
        <f>VLOOKUP(B597,Questions!$K$2:$L$7,2,FALSE)</f>
        <v>90</v>
      </c>
    </row>
    <row r="598" spans="1:14">
      <c r="A598" s="8" t="s">
        <v>56</v>
      </c>
      <c r="B598" s="8">
        <v>10</v>
      </c>
      <c r="C598" s="8" t="s">
        <v>21</v>
      </c>
      <c r="D598" s="8">
        <v>184</v>
      </c>
      <c r="E598" s="8" t="s">
        <v>27</v>
      </c>
      <c r="F598" s="8">
        <v>16</v>
      </c>
      <c r="G598" s="8" t="s">
        <v>15</v>
      </c>
      <c r="H598" s="8" t="s">
        <v>16</v>
      </c>
      <c r="I598" s="8" t="s">
        <v>17</v>
      </c>
      <c r="J598" s="8" t="s">
        <v>28</v>
      </c>
      <c r="K598" s="8" t="s">
        <v>19</v>
      </c>
      <c r="L598" s="8" t="str">
        <f t="shared" si="20"/>
        <v>Senior</v>
      </c>
      <c r="M598" s="8" t="str">
        <f t="shared" si="21"/>
        <v>OK</v>
      </c>
      <c r="N598" s="9">
        <f>VLOOKUP(B598,Questions!$K$2:$L$7,2,FALSE)</f>
        <v>90</v>
      </c>
    </row>
    <row r="599" spans="1:14">
      <c r="A599" s="8" t="s">
        <v>531</v>
      </c>
      <c r="B599" s="8">
        <v>10</v>
      </c>
      <c r="C599" s="8" t="s">
        <v>21</v>
      </c>
      <c r="D599" s="8">
        <v>186</v>
      </c>
      <c r="E599" s="8" t="s">
        <v>27</v>
      </c>
      <c r="F599" s="8">
        <v>15</v>
      </c>
      <c r="G599" s="8" t="s">
        <v>15</v>
      </c>
      <c r="H599" s="8" t="s">
        <v>22</v>
      </c>
      <c r="I599" s="8" t="s">
        <v>17</v>
      </c>
      <c r="J599" s="8" t="s">
        <v>24</v>
      </c>
      <c r="K599" s="8" t="s">
        <v>28</v>
      </c>
      <c r="L599" s="8" t="str">
        <f t="shared" si="20"/>
        <v>Senior</v>
      </c>
      <c r="M599" s="8" t="str">
        <f t="shared" si="21"/>
        <v>OK</v>
      </c>
      <c r="N599" s="9">
        <f>VLOOKUP(B599,Questions!$K$2:$L$7,2,FALSE)</f>
        <v>90</v>
      </c>
    </row>
    <row r="600" spans="1:14">
      <c r="A600" s="8" t="s">
        <v>221</v>
      </c>
      <c r="B600" s="8">
        <v>10</v>
      </c>
      <c r="C600" s="8" t="s">
        <v>21</v>
      </c>
      <c r="D600" s="8">
        <v>191</v>
      </c>
      <c r="E600" s="8" t="s">
        <v>14</v>
      </c>
      <c r="F600" s="8">
        <v>16</v>
      </c>
      <c r="G600" s="8" t="s">
        <v>33</v>
      </c>
      <c r="H600" s="8" t="s">
        <v>22</v>
      </c>
      <c r="I600" s="8" t="s">
        <v>17</v>
      </c>
      <c r="J600" s="8" t="s">
        <v>24</v>
      </c>
      <c r="K600" s="8" t="s">
        <v>31</v>
      </c>
      <c r="L600" s="8" t="str">
        <f t="shared" si="20"/>
        <v>Senior</v>
      </c>
      <c r="M600" s="8" t="str">
        <f t="shared" si="21"/>
        <v>Pending</v>
      </c>
      <c r="N600" s="9">
        <f>VLOOKUP(B600,Questions!$K$2:$L$7,2,FALSE)</f>
        <v>90</v>
      </c>
    </row>
    <row r="601" spans="1:14">
      <c r="A601" s="8" t="s">
        <v>265</v>
      </c>
      <c r="B601" s="8">
        <v>10</v>
      </c>
      <c r="C601" s="8" t="s">
        <v>21</v>
      </c>
      <c r="D601" s="8">
        <v>192</v>
      </c>
      <c r="E601" s="8" t="s">
        <v>27</v>
      </c>
      <c r="F601" s="8">
        <v>16</v>
      </c>
      <c r="G601" s="8" t="s">
        <v>33</v>
      </c>
      <c r="H601" s="8" t="s">
        <v>16</v>
      </c>
      <c r="I601" s="8" t="s">
        <v>23</v>
      </c>
      <c r="J601" s="8" t="s">
        <v>24</v>
      </c>
      <c r="K601" s="8" t="s">
        <v>28</v>
      </c>
      <c r="L601" s="8" t="str">
        <f t="shared" si="20"/>
        <v>Senior</v>
      </c>
      <c r="M601" s="8" t="str">
        <f t="shared" si="21"/>
        <v>Pending</v>
      </c>
      <c r="N601" s="9">
        <f>VLOOKUP(B601,Questions!$K$2:$L$7,2,FALSE)</f>
        <v>90</v>
      </c>
    </row>
    <row r="602" spans="1:14">
      <c r="A602" s="8" t="s">
        <v>495</v>
      </c>
      <c r="B602" s="8">
        <v>10</v>
      </c>
      <c r="C602" s="8" t="s">
        <v>21</v>
      </c>
      <c r="D602" s="8">
        <v>196</v>
      </c>
      <c r="E602" s="8" t="s">
        <v>27</v>
      </c>
      <c r="F602" s="8">
        <v>16</v>
      </c>
      <c r="G602" s="8" t="s">
        <v>33</v>
      </c>
      <c r="H602" s="8" t="s">
        <v>22</v>
      </c>
      <c r="I602" s="8" t="s">
        <v>23</v>
      </c>
      <c r="J602" s="8" t="s">
        <v>28</v>
      </c>
      <c r="K602" s="8" t="s">
        <v>28</v>
      </c>
      <c r="L602" s="8" t="str">
        <f t="shared" si="20"/>
        <v>Senior</v>
      </c>
      <c r="M602" s="8" t="str">
        <f t="shared" si="21"/>
        <v>Pending</v>
      </c>
      <c r="N602" s="9">
        <f>VLOOKUP(B602,Questions!$K$2:$L$7,2,FALSE)</f>
        <v>90</v>
      </c>
    </row>
  </sheetData>
  <autoFilter ref="A2:N602" xr:uid="{990F7916-FB84-4ACE-8473-4894BB193880}"/>
  <sortState xmlns:xlrd2="http://schemas.microsoft.com/office/spreadsheetml/2017/richdata2" ref="A3:O602">
    <sortCondition ref="B3:B602"/>
    <sortCondition ref="C3:C602"/>
    <sortCondition ref="D3:D602"/>
  </sortState>
  <dataConsolidate/>
  <mergeCells count="3">
    <mergeCell ref="W3:X3"/>
    <mergeCell ref="A1:N1"/>
    <mergeCell ref="Z8:AA8"/>
  </mergeCells>
  <conditionalFormatting sqref="A3:N602 Q22">
    <cfRule type="expression" dxfId="6" priority="7">
      <formula>$G3="Paid"</formula>
    </cfRule>
  </conditionalFormatting>
  <conditionalFormatting sqref="Q19:Q20">
    <cfRule type="expression" dxfId="5" priority="6">
      <formula>$G23="Paid"</formula>
    </cfRule>
  </conditionalFormatting>
  <conditionalFormatting sqref="Z10">
    <cfRule type="expression" dxfId="4" priority="5">
      <formula>$G10="Paid"</formula>
    </cfRule>
  </conditionalFormatting>
  <conditionalFormatting sqref="Z11">
    <cfRule type="expression" dxfId="3" priority="4">
      <formula>$G11="Paid"</formula>
    </cfRule>
  </conditionalFormatting>
  <conditionalFormatting sqref="Z12">
    <cfRule type="expression" dxfId="2" priority="3">
      <formula>$G12="Paid"</formula>
    </cfRule>
  </conditionalFormatting>
  <conditionalFormatting sqref="Z13">
    <cfRule type="expression" dxfId="1" priority="2">
      <formula>$G13="Paid"</formula>
    </cfRule>
  </conditionalFormatting>
  <conditionalFormatting sqref="Z14">
    <cfRule type="expression" dxfId="0" priority="1">
      <formula>$G14="Paid"</formula>
    </cfRule>
  </conditionalFormatting>
  <dataValidations count="5">
    <dataValidation type="list" allowBlank="1" showInputMessage="1" showErrorMessage="1" errorTitle="Invalid Entry" error="Please select from dropdown only" sqref="K3:K602 Q20" xr:uid="{014613FD-0B01-45C4-9F9C-BC52871AFCFC}">
      <formula1>"Dance,Singing,Drama,None"</formula1>
    </dataValidation>
    <dataValidation type="list" allowBlank="1" showInputMessage="1" showErrorMessage="1" sqref="J3:J602 Q22 Q19" xr:uid="{6FE5A338-5E85-4742-8481-D5813C0AE273}">
      <formula1>"Drawing,Quiz,Science Fair,Olympiad,None"</formula1>
    </dataValidation>
    <dataValidation type="list" allowBlank="1" showInputMessage="1" showErrorMessage="1" sqref="Q5" xr:uid="{29990089-84EB-4F6B-AC27-7705297F7094}">
      <formula1>"Veg,Non-Veg"</formula1>
    </dataValidation>
    <dataValidation type="list" allowBlank="1" showInputMessage="1" showErrorMessage="1" sqref="Q11:Q13 Q18:Q20 Q33" xr:uid="{B6F6D54F-85BD-4609-85AC-7A492C48CAA6}">
      <formula1>"6,7,8,9,10"</formula1>
    </dataValidation>
    <dataValidation type="list" allowBlank="1" showInputMessage="1" showErrorMessage="1" sqref="S7" xr:uid="{FCE12FD7-5DA5-49E7-A784-A1CCABDD6AD6}">
      <formula1>"Yes,No"</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CC847-2D2B-437E-B77A-895677C88703}">
  <dimension ref="A1:C34"/>
  <sheetViews>
    <sheetView topLeftCell="A37" workbookViewId="0">
      <selection activeCell="U41" sqref="U41"/>
    </sheetView>
  </sheetViews>
  <sheetFormatPr defaultRowHeight="14.4"/>
  <cols>
    <col min="1" max="2" width="10.77734375" bestFit="1" customWidth="1"/>
    <col min="3" max="3" width="11.5546875" bestFit="1" customWidth="1"/>
    <col min="4" max="4" width="10.77734375" bestFit="1" customWidth="1"/>
    <col min="9" max="9" width="12.44140625" bestFit="1" customWidth="1"/>
    <col min="10" max="10" width="11.88671875" bestFit="1" customWidth="1"/>
    <col min="14" max="14" width="12.44140625" bestFit="1" customWidth="1"/>
    <col min="15" max="15" width="11.88671875" bestFit="1" customWidth="1"/>
  </cols>
  <sheetData>
    <row r="1" spans="1:3">
      <c r="A1" s="3" t="s">
        <v>1</v>
      </c>
      <c r="B1" t="s">
        <v>665</v>
      </c>
      <c r="C1" t="str">
        <f>"Cultural Event Participation OF CLASS :"&amp;B1</f>
        <v>Cultural Event Participation OF CLASS :(All)</v>
      </c>
    </row>
    <row r="3" spans="1:3">
      <c r="A3" s="3" t="s">
        <v>609</v>
      </c>
      <c r="B3" t="s">
        <v>611</v>
      </c>
    </row>
    <row r="4" spans="1:3">
      <c r="A4" s="4" t="s">
        <v>31</v>
      </c>
      <c r="B4" s="20">
        <v>0.20930232558139536</v>
      </c>
      <c r="C4" s="20">
        <f>1-B4</f>
        <v>0.79069767441860461</v>
      </c>
    </row>
    <row r="5" spans="1:3">
      <c r="A5" s="4" t="s">
        <v>42</v>
      </c>
      <c r="B5" s="20">
        <v>0.18147840531561463</v>
      </c>
      <c r="C5" s="20">
        <f t="shared" ref="C5:C7" si="0">1-B5</f>
        <v>0.81852159468438535</v>
      </c>
    </row>
    <row r="6" spans="1:3">
      <c r="A6" s="4" t="s">
        <v>28</v>
      </c>
      <c r="B6" s="20">
        <v>0.38683554817275745</v>
      </c>
      <c r="C6" s="20">
        <f t="shared" si="0"/>
        <v>0.61316445182724255</v>
      </c>
    </row>
    <row r="7" spans="1:3">
      <c r="A7" s="4" t="s">
        <v>19</v>
      </c>
      <c r="B7" s="20">
        <v>0.22238372093023256</v>
      </c>
      <c r="C7" s="20">
        <f t="shared" si="0"/>
        <v>0.77761627906976738</v>
      </c>
    </row>
    <row r="8" spans="1:3">
      <c r="A8" s="4" t="s">
        <v>610</v>
      </c>
      <c r="B8" s="20">
        <v>1</v>
      </c>
      <c r="C8" s="20"/>
    </row>
    <row r="9" spans="1:3">
      <c r="C9" s="20"/>
    </row>
    <row r="19" spans="1:3">
      <c r="A19" s="3" t="s">
        <v>1</v>
      </c>
      <c r="B19" t="s">
        <v>665</v>
      </c>
      <c r="C19" t="str">
        <f>" Academic Event Participation OF CLASS :"&amp;B19</f>
        <v xml:space="preserve"> Academic Event Participation OF CLASS :(All)</v>
      </c>
    </row>
    <row r="21" spans="1:3">
      <c r="A21" s="3" t="s">
        <v>609</v>
      </c>
      <c r="B21" t="s">
        <v>611</v>
      </c>
    </row>
    <row r="22" spans="1:3">
      <c r="A22" s="4" t="s">
        <v>30</v>
      </c>
      <c r="B22" s="20">
        <v>0.16341362126245848</v>
      </c>
      <c r="C22" s="20">
        <f>1-B22</f>
        <v>0.83658637873754149</v>
      </c>
    </row>
    <row r="23" spans="1:3">
      <c r="A23" s="4" t="s">
        <v>28</v>
      </c>
      <c r="B23" s="20">
        <v>0.36254152823920266</v>
      </c>
      <c r="C23" s="20">
        <f t="shared" ref="C23:C26" si="1">1-B23</f>
        <v>0.6374584717607974</v>
      </c>
    </row>
    <row r="24" spans="1:3">
      <c r="A24" s="4" t="s">
        <v>49</v>
      </c>
      <c r="B24" s="20">
        <v>0.13226744186046513</v>
      </c>
      <c r="C24" s="20">
        <f t="shared" si="1"/>
        <v>0.86773255813953487</v>
      </c>
    </row>
    <row r="25" spans="1:3">
      <c r="A25" s="4" t="s">
        <v>18</v>
      </c>
      <c r="B25" s="20">
        <v>0.15863787375415284</v>
      </c>
      <c r="C25" s="20">
        <f t="shared" si="1"/>
        <v>0.84136212624584716</v>
      </c>
    </row>
    <row r="26" spans="1:3">
      <c r="A26" s="4" t="s">
        <v>24</v>
      </c>
      <c r="B26" s="20">
        <v>0.18313953488372092</v>
      </c>
      <c r="C26" s="20">
        <f t="shared" si="1"/>
        <v>0.81686046511627908</v>
      </c>
    </row>
    <row r="27" spans="1:3">
      <c r="A27" s="4" t="s">
        <v>610</v>
      </c>
      <c r="B27" s="20">
        <v>1</v>
      </c>
      <c r="C27" s="20"/>
    </row>
    <row r="31" spans="1:3">
      <c r="A31" s="3" t="s">
        <v>1</v>
      </c>
      <c r="B31" s="4">
        <v>9</v>
      </c>
    </row>
    <row r="32" spans="1:3">
      <c r="C32" s="4"/>
    </row>
    <row r="33" spans="1:2">
      <c r="A33" t="s">
        <v>669</v>
      </c>
      <c r="B33" t="s">
        <v>668</v>
      </c>
    </row>
    <row r="34" spans="1:2">
      <c r="A34" s="59">
        <v>55</v>
      </c>
      <c r="B34" s="59">
        <v>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Dataset</vt:lpstr>
      <vt:lpstr>Questions</vt:lpstr>
      <vt:lpstr>Answers</vt:lpstr>
      <vt:lpstr>Dashboard</vt:lpstr>
      <vt:lpstr>Answers!Extract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SWARNENDU MANI</cp:lastModifiedBy>
  <dcterms:created xsi:type="dcterms:W3CDTF">2026-03-21T10:57:48Z</dcterms:created>
  <dcterms:modified xsi:type="dcterms:W3CDTF">2026-03-24T03:49:24Z</dcterms:modified>
</cp:coreProperties>
</file>