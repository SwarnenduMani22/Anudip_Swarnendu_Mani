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RNENDU\Desktop\Anudip\class_work\"/>
    </mc:Choice>
  </mc:AlternateContent>
  <xr:revisionPtr revIDLastSave="0" documentId="13_ncr:1_{2A5D5F52-B952-4D40-8ABD-ADC64C617C0A}" xr6:coauthVersionLast="47" xr6:coauthVersionMax="47" xr10:uidLastSave="{00000000-0000-0000-0000-000000000000}"/>
  <bookViews>
    <workbookView xWindow="-108" yWindow="-108" windowWidth="23256" windowHeight="12456" xr2:uid="{7C66AA12-17D7-4C18-9571-79084A8F6F55}"/>
  </bookViews>
  <sheets>
    <sheet name="Sheet1" sheetId="1" r:id="rId1"/>
  </sheets>
  <definedNames>
    <definedName name="_xlnm._FilterDatabase" localSheetId="0" hidden="1">Sheet1!$B$2:$J$12</definedName>
    <definedName name="_xlnm.Criteria" localSheetId="0">Sheet1!$L$41:$M$42</definedName>
    <definedName name="_xlnm.Extract" localSheetId="0">Sheet1!$B$42:$J$42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4" i="1" l="1"/>
  <c r="H65" i="1"/>
  <c r="H63" i="1"/>
  <c r="H47" i="1"/>
  <c r="H61" i="1"/>
  <c r="H59" i="1"/>
  <c r="H57" i="1"/>
  <c r="G14" i="1"/>
  <c r="H55" i="1"/>
  <c r="H53" i="1"/>
  <c r="H51" i="1"/>
  <c r="H49" i="1"/>
</calcChain>
</file>

<file path=xl/sharedStrings.xml><?xml version="1.0" encoding="utf-8"?>
<sst xmlns="http://schemas.openxmlformats.org/spreadsheetml/2006/main" count="309" uniqueCount="44">
  <si>
    <t>Order_ID</t>
  </si>
  <si>
    <t>Date</t>
  </si>
  <si>
    <t>Region</t>
  </si>
  <si>
    <t>Salesperson</t>
  </si>
  <si>
    <t>Product</t>
  </si>
  <si>
    <t>Category</t>
  </si>
  <si>
    <t>Quantity</t>
  </si>
  <si>
    <t>Unit_Price</t>
  </si>
  <si>
    <t>Total_Sales</t>
  </si>
  <si>
    <t>East</t>
  </si>
  <si>
    <t>Amit</t>
  </si>
  <si>
    <t>Laptop</t>
  </si>
  <si>
    <t>Electronics</t>
  </si>
  <si>
    <t>West</t>
  </si>
  <si>
    <t>Priya</t>
  </si>
  <si>
    <t>Phone</t>
  </si>
  <si>
    <t>North</t>
  </si>
  <si>
    <t>Rahul</t>
  </si>
  <si>
    <t>Chair</t>
  </si>
  <si>
    <t>Furniture</t>
  </si>
  <si>
    <t>South</t>
  </si>
  <si>
    <t>Neha</t>
  </si>
  <si>
    <t>Table</t>
  </si>
  <si>
    <t>Desk</t>
  </si>
  <si>
    <t>Q1. Sort Total_Sales from Highest to Lowest.</t>
  </si>
  <si>
    <t>Q2. Filter data to show only "Electronics" category.</t>
  </si>
  <si>
    <t>Q3. Filter sales done by Amit in East region.</t>
  </si>
  <si>
    <t>Q4. Find total sales of all orders.</t>
  </si>
  <si>
    <t>Q5. Find total quantity sold.</t>
  </si>
  <si>
    <t>Q6. Find average Total_Sales.</t>
  </si>
  <si>
    <t>Q7. Find average quantity sold per order.</t>
  </si>
  <si>
    <t>Q8. Count total number of orders.</t>
  </si>
  <si>
    <t>Q9. Count number of Furniture orders.</t>
  </si>
  <si>
    <t>Q10. Find total sales for Electronics category.</t>
  </si>
  <si>
    <t>Q11. Find total sales done by Amit.</t>
  </si>
  <si>
    <t>Q12. Total sales of Electronics in East region.</t>
  </si>
  <si>
    <t>Q13. Total sales by Priya in West region.</t>
  </si>
  <si>
    <t>Q14. Highlight Total_Sales greater than 1,00,000.</t>
  </si>
  <si>
    <t>Q15. Highlight Quantity less than 3.</t>
  </si>
  <si>
    <t>Q16. Count orders where:</t>
  </si>
  <si>
    <t>Category = Electronics</t>
  </si>
  <si>
    <t>Quantity &gt; 3</t>
  </si>
  <si>
    <t>Data_set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</si>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</sst>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9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AFAF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5" borderId="0" xfId="0" applyFont="1" applyFill="1" applyAlignment="1">
      <alignment horizontal="right"/>
    </xf>
    <xf numFmtId="0" fontId="1" fillId="6" borderId="0" xfId="0" applyFont="1" applyFill="1" applyAlignment="1">
      <alignment horizontal="right"/>
    </xf>
    <xf numFmtId="0" fontId="1" fillId="7" borderId="0" xfId="0" applyFont="1" applyFill="1" applyAlignment="1">
      <alignment horizontal="right"/>
    </xf>
    <xf numFmtId="0" fontId="1" fillId="9" borderId="0" xfId="0" applyFont="1" applyFill="1" applyAlignment="1">
      <alignment horizontal="right"/>
    </xf>
    <xf numFmtId="0" fontId="1" fillId="8" borderId="0" xfId="0" applyFont="1" applyFill="1" applyAlignment="1">
      <alignment horizontal="right"/>
    </xf>
    <xf numFmtId="0" fontId="1" fillId="10" borderId="0" xfId="0" applyFont="1" applyFill="1" applyAlignment="1">
      <alignment horizontal="right"/>
    </xf>
    <xf numFmtId="0" fontId="1" fillId="12" borderId="0" xfId="0" applyFont="1" applyFill="1"/>
    <xf numFmtId="0" fontId="1" fillId="14" borderId="0" xfId="0" applyFont="1" applyFill="1" applyAlignment="1">
      <alignment horizontal="right"/>
    </xf>
    <xf numFmtId="0" fontId="0" fillId="14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4" fillId="0" borderId="0" xfId="0" applyFont="1"/>
    <xf numFmtId="0" fontId="4" fillId="15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right"/>
    </xf>
    <xf numFmtId="0" fontId="1" fillId="0" borderId="5" xfId="0" applyFont="1" applyBorder="1"/>
    <xf numFmtId="0" fontId="1" fillId="13" borderId="6" xfId="0" applyFont="1" applyFill="1" applyBorder="1" applyAlignment="1">
      <alignment horizontal="right"/>
    </xf>
    <xf numFmtId="0" fontId="1" fillId="12" borderId="6" xfId="0" applyFont="1" applyFill="1" applyBorder="1" applyAlignment="1">
      <alignment horizontal="right"/>
    </xf>
    <xf numFmtId="0" fontId="1" fillId="11" borderId="6" xfId="0" applyFont="1" applyFill="1" applyBorder="1" applyAlignment="1">
      <alignment horizontal="right"/>
    </xf>
    <xf numFmtId="0" fontId="2" fillId="12" borderId="0" xfId="0" applyFont="1" applyFill="1"/>
    <xf numFmtId="0" fontId="0" fillId="12" borderId="0" xfId="0" applyFill="1"/>
    <xf numFmtId="0" fontId="0" fillId="12" borderId="0" xfId="0" applyFill="1" applyAlignment="1">
      <alignment horizontal="left"/>
    </xf>
    <xf numFmtId="0" fontId="8" fillId="12" borderId="0" xfId="0" applyFont="1" applyFill="1" applyAlignment="1">
      <alignment horizontal="left" vertical="center"/>
    </xf>
    <xf numFmtId="0" fontId="1" fillId="14" borderId="0" xfId="0" applyFont="1" applyFill="1"/>
    <xf numFmtId="0" fontId="1" fillId="14" borderId="5" xfId="0" applyFont="1" applyFill="1" applyBorder="1"/>
    <xf numFmtId="0" fontId="6" fillId="15" borderId="0" xfId="0" applyFont="1" applyFill="1"/>
    <xf numFmtId="0" fontId="7" fillId="13" borderId="0" xfId="0" applyFont="1" applyFill="1"/>
    <xf numFmtId="0" fontId="1" fillId="12" borderId="0" xfId="0" applyFont="1" applyFill="1" applyAlignment="1">
      <alignment horizontal="left" vertical="center" indent="1"/>
    </xf>
    <xf numFmtId="0" fontId="1" fillId="9" borderId="0" xfId="0" applyFont="1" applyFill="1"/>
    <xf numFmtId="0" fontId="1" fillId="9" borderId="5" xfId="0" applyFont="1" applyFill="1" applyBorder="1"/>
    <xf numFmtId="0" fontId="1" fillId="8" borderId="0" xfId="0" applyFont="1" applyFill="1" applyAlignment="1">
      <alignment horizontal="center"/>
    </xf>
    <xf numFmtId="0" fontId="1" fillId="10" borderId="0" xfId="0" applyFont="1" applyFill="1"/>
    <xf numFmtId="0" fontId="1" fillId="10" borderId="5" xfId="0" applyFont="1" applyFill="1" applyBorder="1"/>
    <xf numFmtId="0" fontId="1" fillId="11" borderId="6" xfId="0" applyFont="1" applyFill="1" applyBorder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AFA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6149-8E81-489F-91E3-C4CF917A52EE}">
  <dimension ref="A1:M95"/>
  <sheetViews>
    <sheetView tabSelected="1" topLeftCell="A107" zoomScale="110" zoomScaleNormal="110" workbookViewId="0">
      <selection activeCell="F125" sqref="F125"/>
    </sheetView>
  </sheetViews>
  <sheetFormatPr defaultRowHeight="14.4" x14ac:dyDescent="0.3"/>
  <cols>
    <col min="1" max="1" width="2.77734375" customWidth="1"/>
    <col min="2" max="2" width="8.5546875" bestFit="1" customWidth="1"/>
    <col min="3" max="3" width="10.33203125" bestFit="1" customWidth="1"/>
    <col min="4" max="4" width="6.77734375" bestFit="1" customWidth="1"/>
    <col min="5" max="5" width="11" bestFit="1" customWidth="1"/>
    <col min="6" max="6" width="7.6640625" bestFit="1" customWidth="1"/>
    <col min="7" max="9" width="9.88671875" bestFit="1" customWidth="1"/>
    <col min="10" max="10" width="10.44140625" bestFit="1" customWidth="1"/>
    <col min="12" max="13" width="11" bestFit="1" customWidth="1"/>
  </cols>
  <sheetData>
    <row r="1" spans="2:12" ht="18" x14ac:dyDescent="0.35">
      <c r="B1" s="13" t="s">
        <v>42</v>
      </c>
      <c r="L1" t="s">
        <v>24</v>
      </c>
    </row>
    <row r="2" spans="2:12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L2" t="s">
        <v>25</v>
      </c>
    </row>
    <row r="3" spans="2:12" x14ac:dyDescent="0.3">
      <c r="B3" s="9">
        <v>1001</v>
      </c>
      <c r="C3" s="10">
        <v>45296</v>
      </c>
      <c r="D3" s="9" t="s">
        <v>9</v>
      </c>
      <c r="E3" s="9" t="s">
        <v>10</v>
      </c>
      <c r="F3" s="9" t="s">
        <v>11</v>
      </c>
      <c r="G3" s="9" t="s">
        <v>12</v>
      </c>
      <c r="H3" s="9">
        <v>2</v>
      </c>
      <c r="I3" s="9">
        <v>50000</v>
      </c>
      <c r="J3" s="9">
        <v>100000</v>
      </c>
      <c r="L3" t="s">
        <v>26</v>
      </c>
    </row>
    <row r="4" spans="2:12" x14ac:dyDescent="0.3">
      <c r="B4" s="9">
        <v>1002</v>
      </c>
      <c r="C4" s="10">
        <v>45299</v>
      </c>
      <c r="D4" s="9" t="s">
        <v>13</v>
      </c>
      <c r="E4" s="9" t="s">
        <v>14</v>
      </c>
      <c r="F4" s="9" t="s">
        <v>15</v>
      </c>
      <c r="G4" s="9" t="s">
        <v>12</v>
      </c>
      <c r="H4" s="9">
        <v>5</v>
      </c>
      <c r="I4" s="9">
        <v>20000</v>
      </c>
      <c r="J4" s="9">
        <v>100000</v>
      </c>
      <c r="L4" t="s">
        <v>27</v>
      </c>
    </row>
    <row r="5" spans="2:12" x14ac:dyDescent="0.3">
      <c r="B5" s="9">
        <v>1003</v>
      </c>
      <c r="C5" s="10">
        <v>45303</v>
      </c>
      <c r="D5" s="9" t="s">
        <v>16</v>
      </c>
      <c r="E5" s="9" t="s">
        <v>17</v>
      </c>
      <c r="F5" s="9" t="s">
        <v>18</v>
      </c>
      <c r="G5" s="9" t="s">
        <v>19</v>
      </c>
      <c r="H5" s="9">
        <v>10</v>
      </c>
      <c r="I5" s="9">
        <v>3000</v>
      </c>
      <c r="J5" s="9">
        <v>30000</v>
      </c>
      <c r="L5" t="s">
        <v>28</v>
      </c>
    </row>
    <row r="6" spans="2:12" x14ac:dyDescent="0.3">
      <c r="B6" s="9">
        <v>1004</v>
      </c>
      <c r="C6" s="10">
        <v>45306</v>
      </c>
      <c r="D6" s="9" t="s">
        <v>20</v>
      </c>
      <c r="E6" s="9" t="s">
        <v>21</v>
      </c>
      <c r="F6" s="9" t="s">
        <v>22</v>
      </c>
      <c r="G6" s="9" t="s">
        <v>19</v>
      </c>
      <c r="H6" s="9">
        <v>3</v>
      </c>
      <c r="I6" s="9">
        <v>7000</v>
      </c>
      <c r="J6" s="9">
        <v>21000</v>
      </c>
      <c r="L6" t="s">
        <v>29</v>
      </c>
    </row>
    <row r="7" spans="2:12" x14ac:dyDescent="0.3">
      <c r="B7" s="9">
        <v>1005</v>
      </c>
      <c r="C7" s="10">
        <v>45309</v>
      </c>
      <c r="D7" s="9" t="s">
        <v>9</v>
      </c>
      <c r="E7" s="9" t="s">
        <v>10</v>
      </c>
      <c r="F7" s="9" t="s">
        <v>15</v>
      </c>
      <c r="G7" s="9" t="s">
        <v>12</v>
      </c>
      <c r="H7" s="9">
        <v>4</v>
      </c>
      <c r="I7" s="9">
        <v>20000</v>
      </c>
      <c r="J7" s="9">
        <v>80000</v>
      </c>
      <c r="L7" t="s">
        <v>30</v>
      </c>
    </row>
    <row r="8" spans="2:12" x14ac:dyDescent="0.3">
      <c r="B8" s="9">
        <v>1006</v>
      </c>
      <c r="C8" s="10">
        <v>45311</v>
      </c>
      <c r="D8" s="9" t="s">
        <v>13</v>
      </c>
      <c r="E8" s="9" t="s">
        <v>14</v>
      </c>
      <c r="F8" s="9" t="s">
        <v>11</v>
      </c>
      <c r="G8" s="9" t="s">
        <v>12</v>
      </c>
      <c r="H8" s="9">
        <v>1</v>
      </c>
      <c r="I8" s="9">
        <v>50000</v>
      </c>
      <c r="J8" s="9">
        <v>50000</v>
      </c>
      <c r="L8" t="s">
        <v>31</v>
      </c>
    </row>
    <row r="9" spans="2:12" x14ac:dyDescent="0.3">
      <c r="B9" s="9">
        <v>1007</v>
      </c>
      <c r="C9" s="10">
        <v>45316</v>
      </c>
      <c r="D9" s="9" t="s">
        <v>16</v>
      </c>
      <c r="E9" s="9" t="s">
        <v>17</v>
      </c>
      <c r="F9" s="9" t="s">
        <v>23</v>
      </c>
      <c r="G9" s="9" t="s">
        <v>19</v>
      </c>
      <c r="H9" s="9">
        <v>2</v>
      </c>
      <c r="I9" s="9">
        <v>10000</v>
      </c>
      <c r="J9" s="9">
        <v>20000</v>
      </c>
      <c r="L9" t="s">
        <v>32</v>
      </c>
    </row>
    <row r="10" spans="2:12" x14ac:dyDescent="0.3">
      <c r="B10" s="9">
        <v>1008</v>
      </c>
      <c r="C10" s="10">
        <v>45319</v>
      </c>
      <c r="D10" s="9" t="s">
        <v>20</v>
      </c>
      <c r="E10" s="9" t="s">
        <v>21</v>
      </c>
      <c r="F10" s="9" t="s">
        <v>15</v>
      </c>
      <c r="G10" s="9" t="s">
        <v>12</v>
      </c>
      <c r="H10" s="9">
        <v>6</v>
      </c>
      <c r="I10" s="9">
        <v>20000</v>
      </c>
      <c r="J10" s="9">
        <v>120000</v>
      </c>
      <c r="L10" t="s">
        <v>33</v>
      </c>
    </row>
    <row r="11" spans="2:12" x14ac:dyDescent="0.3">
      <c r="B11" s="9">
        <v>1009</v>
      </c>
      <c r="C11" s="10">
        <v>45324</v>
      </c>
      <c r="D11" s="9" t="s">
        <v>9</v>
      </c>
      <c r="E11" s="9" t="s">
        <v>10</v>
      </c>
      <c r="F11" s="9" t="s">
        <v>22</v>
      </c>
      <c r="G11" s="9" t="s">
        <v>19</v>
      </c>
      <c r="H11" s="9">
        <v>5</v>
      </c>
      <c r="I11" s="9">
        <v>7000</v>
      </c>
      <c r="J11" s="9">
        <v>35000</v>
      </c>
      <c r="L11" t="s">
        <v>34</v>
      </c>
    </row>
    <row r="12" spans="2:12" x14ac:dyDescent="0.3">
      <c r="B12" s="9">
        <v>1010</v>
      </c>
      <c r="C12" s="10">
        <v>45327</v>
      </c>
      <c r="D12" s="9" t="s">
        <v>13</v>
      </c>
      <c r="E12" s="9" t="s">
        <v>14</v>
      </c>
      <c r="F12" s="9" t="s">
        <v>18</v>
      </c>
      <c r="G12" s="9" t="s">
        <v>19</v>
      </c>
      <c r="H12" s="9">
        <v>7</v>
      </c>
      <c r="I12" s="9">
        <v>3000</v>
      </c>
      <c r="J12" s="9">
        <v>21000</v>
      </c>
      <c r="L12" t="s">
        <v>35</v>
      </c>
    </row>
    <row r="13" spans="2:12" x14ac:dyDescent="0.3">
      <c r="L13" t="s">
        <v>36</v>
      </c>
    </row>
    <row r="14" spans="2:12" x14ac:dyDescent="0.3">
      <c r="B14" s="4"/>
      <c r="C14" s="5"/>
      <c r="G14">
        <f>COUNTIF(G3:G12,"Furniture")</f>
        <v>5</v>
      </c>
      <c r="L14" t="s">
        <v>37</v>
      </c>
    </row>
    <row r="15" spans="2:12" x14ac:dyDescent="0.3">
      <c r="L15" t="s">
        <v>38</v>
      </c>
    </row>
    <row r="16" spans="2:12" x14ac:dyDescent="0.3">
      <c r="L16" t="s">
        <v>39</v>
      </c>
    </row>
    <row r="17" spans="1:13" x14ac:dyDescent="0.3">
      <c r="L17" s="2"/>
      <c r="M17" s="2" t="s">
        <v>40</v>
      </c>
    </row>
    <row r="18" spans="1:13" ht="18" x14ac:dyDescent="0.35">
      <c r="A18" s="63" t="s">
        <v>43</v>
      </c>
      <c r="B18" s="64"/>
      <c r="L18" s="2"/>
      <c r="M18" s="2" t="s">
        <v>41</v>
      </c>
    </row>
    <row r="20" spans="1:13" ht="15.6" x14ac:dyDescent="0.3">
      <c r="A20" s="57" t="s">
        <v>24</v>
      </c>
      <c r="B20" s="57"/>
      <c r="C20" s="57"/>
      <c r="D20" s="57"/>
      <c r="E20" s="57"/>
      <c r="F20" s="57"/>
    </row>
    <row r="21" spans="1:13" x14ac:dyDescent="0.3">
      <c r="B21" s="1" t="s">
        <v>0</v>
      </c>
      <c r="C21" s="1" t="s">
        <v>1</v>
      </c>
      <c r="D21" s="1" t="s">
        <v>2</v>
      </c>
      <c r="E21" s="1" t="s">
        <v>3</v>
      </c>
      <c r="F21" s="1" t="s">
        <v>4</v>
      </c>
      <c r="G21" s="1" t="s">
        <v>5</v>
      </c>
      <c r="H21" s="1" t="s">
        <v>6</v>
      </c>
      <c r="I21" s="1" t="s">
        <v>7</v>
      </c>
      <c r="J21" s="15" t="s">
        <v>8</v>
      </c>
    </row>
    <row r="22" spans="1:13" x14ac:dyDescent="0.3">
      <c r="B22" s="9">
        <v>1008</v>
      </c>
      <c r="C22" s="10">
        <v>45319</v>
      </c>
      <c r="D22" s="9" t="s">
        <v>20</v>
      </c>
      <c r="E22" s="9" t="s">
        <v>21</v>
      </c>
      <c r="F22" s="9" t="s">
        <v>15</v>
      </c>
      <c r="G22" s="9" t="s">
        <v>12</v>
      </c>
      <c r="H22" s="9">
        <v>6</v>
      </c>
      <c r="I22" s="9">
        <v>20000</v>
      </c>
      <c r="J22" s="9">
        <v>120000</v>
      </c>
    </row>
    <row r="23" spans="1:13" x14ac:dyDescent="0.3">
      <c r="B23" s="9">
        <v>1001</v>
      </c>
      <c r="C23" s="10">
        <v>45296</v>
      </c>
      <c r="D23" s="9" t="s">
        <v>9</v>
      </c>
      <c r="E23" s="9" t="s">
        <v>10</v>
      </c>
      <c r="F23" s="9" t="s">
        <v>11</v>
      </c>
      <c r="G23" s="9" t="s">
        <v>12</v>
      </c>
      <c r="H23" s="9">
        <v>2</v>
      </c>
      <c r="I23" s="9">
        <v>50000</v>
      </c>
      <c r="J23" s="9">
        <v>100000</v>
      </c>
    </row>
    <row r="24" spans="1:13" x14ac:dyDescent="0.3">
      <c r="B24" s="9">
        <v>1002</v>
      </c>
      <c r="C24" s="10">
        <v>45299</v>
      </c>
      <c r="D24" s="9" t="s">
        <v>13</v>
      </c>
      <c r="E24" s="9" t="s">
        <v>14</v>
      </c>
      <c r="F24" s="9" t="s">
        <v>15</v>
      </c>
      <c r="G24" s="9" t="s">
        <v>12</v>
      </c>
      <c r="H24" s="9">
        <v>5</v>
      </c>
      <c r="I24" s="9">
        <v>20000</v>
      </c>
      <c r="J24" s="9">
        <v>100000</v>
      </c>
    </row>
    <row r="25" spans="1:13" x14ac:dyDescent="0.3">
      <c r="B25" s="9">
        <v>1005</v>
      </c>
      <c r="C25" s="10">
        <v>45309</v>
      </c>
      <c r="D25" s="9" t="s">
        <v>9</v>
      </c>
      <c r="E25" s="9" t="s">
        <v>10</v>
      </c>
      <c r="F25" s="9" t="s">
        <v>15</v>
      </c>
      <c r="G25" s="9" t="s">
        <v>12</v>
      </c>
      <c r="H25" s="9">
        <v>4</v>
      </c>
      <c r="I25" s="9">
        <v>20000</v>
      </c>
      <c r="J25" s="9">
        <v>80000</v>
      </c>
    </row>
    <row r="26" spans="1:13" x14ac:dyDescent="0.3">
      <c r="B26" s="9">
        <v>1006</v>
      </c>
      <c r="C26" s="10">
        <v>45311</v>
      </c>
      <c r="D26" s="9" t="s">
        <v>13</v>
      </c>
      <c r="E26" s="9" t="s">
        <v>14</v>
      </c>
      <c r="F26" s="9" t="s">
        <v>11</v>
      </c>
      <c r="G26" s="9" t="s">
        <v>12</v>
      </c>
      <c r="H26" s="9">
        <v>1</v>
      </c>
      <c r="I26" s="9">
        <v>50000</v>
      </c>
      <c r="J26" s="9">
        <v>50000</v>
      </c>
    </row>
    <row r="27" spans="1:13" x14ac:dyDescent="0.3">
      <c r="B27" s="9">
        <v>1009</v>
      </c>
      <c r="C27" s="10">
        <v>45324</v>
      </c>
      <c r="D27" s="9" t="s">
        <v>9</v>
      </c>
      <c r="E27" s="9" t="s">
        <v>10</v>
      </c>
      <c r="F27" s="9" t="s">
        <v>22</v>
      </c>
      <c r="G27" s="9" t="s">
        <v>19</v>
      </c>
      <c r="H27" s="9">
        <v>5</v>
      </c>
      <c r="I27" s="9">
        <v>7000</v>
      </c>
      <c r="J27" s="9">
        <v>35000</v>
      </c>
    </row>
    <row r="28" spans="1:13" x14ac:dyDescent="0.3">
      <c r="B28" s="9">
        <v>1003</v>
      </c>
      <c r="C28" s="10">
        <v>45303</v>
      </c>
      <c r="D28" s="9" t="s">
        <v>16</v>
      </c>
      <c r="E28" s="9" t="s">
        <v>17</v>
      </c>
      <c r="F28" s="9" t="s">
        <v>18</v>
      </c>
      <c r="G28" s="9" t="s">
        <v>19</v>
      </c>
      <c r="H28" s="9">
        <v>10</v>
      </c>
      <c r="I28" s="9">
        <v>3000</v>
      </c>
      <c r="J28" s="9">
        <v>30000</v>
      </c>
    </row>
    <row r="29" spans="1:13" x14ac:dyDescent="0.3">
      <c r="B29" s="9">
        <v>1004</v>
      </c>
      <c r="C29" s="10">
        <v>45306</v>
      </c>
      <c r="D29" s="9" t="s">
        <v>20</v>
      </c>
      <c r="E29" s="9" t="s">
        <v>21</v>
      </c>
      <c r="F29" s="9" t="s">
        <v>22</v>
      </c>
      <c r="G29" s="9" t="s">
        <v>19</v>
      </c>
      <c r="H29" s="9">
        <v>3</v>
      </c>
      <c r="I29" s="9">
        <v>7000</v>
      </c>
      <c r="J29" s="9">
        <v>21000</v>
      </c>
    </row>
    <row r="30" spans="1:13" x14ac:dyDescent="0.3">
      <c r="B30" s="9">
        <v>1010</v>
      </c>
      <c r="C30" s="10">
        <v>45327</v>
      </c>
      <c r="D30" s="9" t="s">
        <v>13</v>
      </c>
      <c r="E30" s="9" t="s">
        <v>14</v>
      </c>
      <c r="F30" s="9" t="s">
        <v>18</v>
      </c>
      <c r="G30" s="9" t="s">
        <v>19</v>
      </c>
      <c r="H30" s="9">
        <v>7</v>
      </c>
      <c r="I30" s="9">
        <v>3000</v>
      </c>
      <c r="J30" s="9">
        <v>21000</v>
      </c>
    </row>
    <row r="31" spans="1:13" x14ac:dyDescent="0.3">
      <c r="B31" s="9">
        <v>1007</v>
      </c>
      <c r="C31" s="10">
        <v>45316</v>
      </c>
      <c r="D31" s="9" t="s">
        <v>16</v>
      </c>
      <c r="E31" s="9" t="s">
        <v>17</v>
      </c>
      <c r="F31" s="9" t="s">
        <v>23</v>
      </c>
      <c r="G31" s="9" t="s">
        <v>19</v>
      </c>
      <c r="H31" s="9">
        <v>2</v>
      </c>
      <c r="I31" s="9">
        <v>10000</v>
      </c>
      <c r="J31" s="9">
        <v>20000</v>
      </c>
    </row>
    <row r="33" spans="1:13" ht="15.6" x14ac:dyDescent="0.3">
      <c r="A33" s="58" t="s">
        <v>25</v>
      </c>
      <c r="B33" s="58"/>
      <c r="C33" s="58"/>
      <c r="D33" s="58"/>
      <c r="E33" s="58"/>
      <c r="F33" s="58"/>
      <c r="H33" s="6"/>
      <c r="I33" s="7"/>
    </row>
    <row r="34" spans="1:13" x14ac:dyDescent="0.3">
      <c r="B34" s="1" t="s">
        <v>0</v>
      </c>
      <c r="C34" s="1" t="s">
        <v>1</v>
      </c>
      <c r="D34" s="1" t="s">
        <v>2</v>
      </c>
      <c r="E34" s="1" t="s">
        <v>3</v>
      </c>
      <c r="F34" s="1" t="s">
        <v>4</v>
      </c>
      <c r="G34" s="1" t="s">
        <v>5</v>
      </c>
      <c r="H34" s="1" t="s">
        <v>6</v>
      </c>
      <c r="I34" s="1" t="s">
        <v>7</v>
      </c>
      <c r="J34" s="1" t="s">
        <v>8</v>
      </c>
      <c r="L34" s="1" t="s">
        <v>5</v>
      </c>
    </row>
    <row r="35" spans="1:13" x14ac:dyDescent="0.3">
      <c r="B35" s="9">
        <v>1001</v>
      </c>
      <c r="C35" s="10">
        <v>45296</v>
      </c>
      <c r="D35" s="9" t="s">
        <v>9</v>
      </c>
      <c r="E35" s="9" t="s">
        <v>10</v>
      </c>
      <c r="F35" s="9" t="s">
        <v>11</v>
      </c>
      <c r="G35" s="9" t="s">
        <v>12</v>
      </c>
      <c r="H35" s="9">
        <v>2</v>
      </c>
      <c r="I35" s="9">
        <v>50000</v>
      </c>
      <c r="J35" s="9">
        <v>100000</v>
      </c>
      <c r="L35" s="16" t="s">
        <v>12</v>
      </c>
    </row>
    <row r="36" spans="1:13" x14ac:dyDescent="0.3">
      <c r="B36" s="9">
        <v>1002</v>
      </c>
      <c r="C36" s="10">
        <v>45299</v>
      </c>
      <c r="D36" s="9" t="s">
        <v>13</v>
      </c>
      <c r="E36" s="9" t="s">
        <v>14</v>
      </c>
      <c r="F36" s="9" t="s">
        <v>15</v>
      </c>
      <c r="G36" s="9" t="s">
        <v>12</v>
      </c>
      <c r="H36" s="9">
        <v>5</v>
      </c>
      <c r="I36" s="9">
        <v>20000</v>
      </c>
      <c r="J36" s="9">
        <v>100000</v>
      </c>
    </row>
    <row r="37" spans="1:13" x14ac:dyDescent="0.3">
      <c r="B37" s="9">
        <v>1005</v>
      </c>
      <c r="C37" s="10">
        <v>45309</v>
      </c>
      <c r="D37" s="9" t="s">
        <v>9</v>
      </c>
      <c r="E37" s="9" t="s">
        <v>10</v>
      </c>
      <c r="F37" s="9" t="s">
        <v>15</v>
      </c>
      <c r="G37" s="9" t="s">
        <v>12</v>
      </c>
      <c r="H37" s="9">
        <v>4</v>
      </c>
      <c r="I37" s="9">
        <v>20000</v>
      </c>
      <c r="J37" s="9">
        <v>80000</v>
      </c>
    </row>
    <row r="38" spans="1:13" x14ac:dyDescent="0.3">
      <c r="B38" s="9">
        <v>1006</v>
      </c>
      <c r="C38" s="10">
        <v>45311</v>
      </c>
      <c r="D38" s="9" t="s">
        <v>13</v>
      </c>
      <c r="E38" s="9" t="s">
        <v>14</v>
      </c>
      <c r="F38" s="9" t="s">
        <v>11</v>
      </c>
      <c r="G38" s="9" t="s">
        <v>12</v>
      </c>
      <c r="H38" s="9">
        <v>1</v>
      </c>
      <c r="I38" s="9">
        <v>50000</v>
      </c>
      <c r="J38" s="9">
        <v>50000</v>
      </c>
    </row>
    <row r="39" spans="1:13" x14ac:dyDescent="0.3">
      <c r="B39" s="9">
        <v>1008</v>
      </c>
      <c r="C39" s="10">
        <v>45319</v>
      </c>
      <c r="D39" s="9" t="s">
        <v>20</v>
      </c>
      <c r="E39" s="9" t="s">
        <v>21</v>
      </c>
      <c r="F39" s="9" t="s">
        <v>15</v>
      </c>
      <c r="G39" s="9" t="s">
        <v>12</v>
      </c>
      <c r="H39" s="9">
        <v>6</v>
      </c>
      <c r="I39" s="9">
        <v>20000</v>
      </c>
      <c r="J39" s="9">
        <v>120000</v>
      </c>
    </row>
    <row r="41" spans="1:13" ht="15.6" x14ac:dyDescent="0.3">
      <c r="A41" s="59" t="s">
        <v>26</v>
      </c>
      <c r="B41" s="59"/>
      <c r="C41" s="59"/>
      <c r="D41" s="59"/>
      <c r="E41" s="59"/>
      <c r="F41" s="59"/>
      <c r="L41" s="1" t="s">
        <v>2</v>
      </c>
      <c r="M41" s="1" t="s">
        <v>3</v>
      </c>
    </row>
    <row r="42" spans="1:13" x14ac:dyDescent="0.3">
      <c r="B42" s="1" t="s">
        <v>0</v>
      </c>
      <c r="C42" s="1" t="s">
        <v>1</v>
      </c>
      <c r="D42" s="1" t="s">
        <v>2</v>
      </c>
      <c r="E42" s="1" t="s">
        <v>3</v>
      </c>
      <c r="F42" s="1" t="s">
        <v>4</v>
      </c>
      <c r="G42" s="1" t="s">
        <v>5</v>
      </c>
      <c r="H42" s="1" t="s">
        <v>6</v>
      </c>
      <c r="I42" s="1" t="s">
        <v>7</v>
      </c>
      <c r="J42" s="1" t="s">
        <v>8</v>
      </c>
      <c r="L42" s="17" t="s">
        <v>9</v>
      </c>
      <c r="M42" s="17" t="s">
        <v>10</v>
      </c>
    </row>
    <row r="43" spans="1:13" x14ac:dyDescent="0.3">
      <c r="B43" s="9">
        <v>1001</v>
      </c>
      <c r="C43" s="10">
        <v>45296</v>
      </c>
      <c r="D43" s="9" t="s">
        <v>9</v>
      </c>
      <c r="E43" s="9" t="s">
        <v>10</v>
      </c>
      <c r="F43" s="9" t="s">
        <v>11</v>
      </c>
      <c r="G43" s="9" t="s">
        <v>12</v>
      </c>
      <c r="H43" s="9">
        <v>2</v>
      </c>
      <c r="I43" s="9">
        <v>50000</v>
      </c>
      <c r="J43" s="9">
        <v>100000</v>
      </c>
    </row>
    <row r="44" spans="1:13" x14ac:dyDescent="0.3">
      <c r="B44" s="9">
        <v>1005</v>
      </c>
      <c r="C44" s="10">
        <v>45309</v>
      </c>
      <c r="D44" s="9" t="s">
        <v>9</v>
      </c>
      <c r="E44" s="9" t="s">
        <v>10</v>
      </c>
      <c r="F44" s="9" t="s">
        <v>15</v>
      </c>
      <c r="G44" s="9" t="s">
        <v>12</v>
      </c>
      <c r="H44" s="9">
        <v>4</v>
      </c>
      <c r="I44" s="9">
        <v>20000</v>
      </c>
      <c r="J44" s="9">
        <v>80000</v>
      </c>
    </row>
    <row r="45" spans="1:13" x14ac:dyDescent="0.3">
      <c r="B45" s="9">
        <v>1009</v>
      </c>
      <c r="C45" s="10">
        <v>45324</v>
      </c>
      <c r="D45" s="9" t="s">
        <v>9</v>
      </c>
      <c r="E45" s="9" t="s">
        <v>10</v>
      </c>
      <c r="F45" s="9" t="s">
        <v>22</v>
      </c>
      <c r="G45" s="9" t="s">
        <v>19</v>
      </c>
      <c r="H45" s="9">
        <v>5</v>
      </c>
      <c r="I45" s="9">
        <v>7000</v>
      </c>
      <c r="J45" s="9">
        <v>35000</v>
      </c>
    </row>
    <row r="46" spans="1:13" x14ac:dyDescent="0.3">
      <c r="A46" s="12"/>
      <c r="B46" s="12"/>
      <c r="C46" s="12"/>
      <c r="D46" s="12"/>
      <c r="E46" s="12"/>
      <c r="F46" s="12"/>
    </row>
    <row r="47" spans="1:13" x14ac:dyDescent="0.3">
      <c r="A47" s="60" t="s">
        <v>27</v>
      </c>
      <c r="B47" s="60"/>
      <c r="C47" s="60"/>
      <c r="D47" s="60"/>
      <c r="E47" s="12"/>
      <c r="H47" s="18">
        <f>SUM(J3:J12)</f>
        <v>577000</v>
      </c>
    </row>
    <row r="48" spans="1:13" x14ac:dyDescent="0.3">
      <c r="A48" s="12"/>
      <c r="B48" s="12"/>
      <c r="C48" s="12"/>
      <c r="D48" s="12"/>
      <c r="E48" s="12"/>
      <c r="H48" s="14"/>
    </row>
    <row r="49" spans="1:13" x14ac:dyDescent="0.3">
      <c r="A49" s="61" t="s">
        <v>28</v>
      </c>
      <c r="B49" s="61"/>
      <c r="C49" s="61"/>
      <c r="D49" s="61"/>
      <c r="E49" s="12"/>
      <c r="H49" s="19">
        <f>SUM(H3:H12)</f>
        <v>45</v>
      </c>
    </row>
    <row r="50" spans="1:13" x14ac:dyDescent="0.3">
      <c r="A50" s="12"/>
      <c r="B50" s="12"/>
      <c r="C50" s="12"/>
      <c r="D50" s="12"/>
      <c r="E50" s="12"/>
      <c r="H50" s="14"/>
    </row>
    <row r="51" spans="1:13" x14ac:dyDescent="0.3">
      <c r="A51" s="62" t="s">
        <v>29</v>
      </c>
      <c r="B51" s="62"/>
      <c r="C51" s="62"/>
      <c r="D51" s="62"/>
      <c r="E51" s="12"/>
      <c r="H51" s="20">
        <f>AVERAGE(J3:J12)</f>
        <v>57700</v>
      </c>
    </row>
    <row r="52" spans="1:13" x14ac:dyDescent="0.3">
      <c r="A52" s="12"/>
      <c r="B52" s="12"/>
      <c r="C52" s="12"/>
      <c r="D52" s="12"/>
      <c r="E52" s="12"/>
      <c r="H52" s="14"/>
    </row>
    <row r="53" spans="1:13" x14ac:dyDescent="0.3">
      <c r="A53" s="48" t="s">
        <v>30</v>
      </c>
      <c r="B53" s="48"/>
      <c r="C53" s="48"/>
      <c r="D53" s="48"/>
      <c r="E53" s="49"/>
      <c r="H53" s="21">
        <f>AVERAGE(H3:H12)</f>
        <v>4.5</v>
      </c>
    </row>
    <row r="54" spans="1:13" x14ac:dyDescent="0.3">
      <c r="A54" s="12"/>
      <c r="B54" s="12"/>
      <c r="C54" s="12"/>
      <c r="D54" s="12"/>
      <c r="E54" s="35"/>
      <c r="H54" s="34"/>
    </row>
    <row r="55" spans="1:13" x14ac:dyDescent="0.3">
      <c r="A55" s="50" t="s">
        <v>31</v>
      </c>
      <c r="B55" s="50"/>
      <c r="C55" s="50"/>
      <c r="D55" s="50"/>
      <c r="E55" s="12"/>
      <c r="H55" s="22">
        <f>COUNT(B3:B12)</f>
        <v>10</v>
      </c>
    </row>
    <row r="56" spans="1:13" x14ac:dyDescent="0.3">
      <c r="A56" s="12"/>
      <c r="B56" s="12"/>
      <c r="C56" s="12"/>
      <c r="D56" s="12"/>
      <c r="E56" s="12"/>
      <c r="H56" s="14"/>
    </row>
    <row r="57" spans="1:13" x14ac:dyDescent="0.3">
      <c r="A57" s="51" t="s">
        <v>32</v>
      </c>
      <c r="B57" s="51"/>
      <c r="C57" s="51"/>
      <c r="D57" s="51"/>
      <c r="E57" s="52"/>
      <c r="H57" s="23">
        <f>COUNTIF(G3:G12,M57)</f>
        <v>5</v>
      </c>
      <c r="L57" s="1" t="s">
        <v>5</v>
      </c>
      <c r="M57" s="30" t="s">
        <v>19</v>
      </c>
    </row>
    <row r="58" spans="1:13" x14ac:dyDescent="0.3">
      <c r="A58" s="12"/>
      <c r="B58" s="12"/>
      <c r="C58" s="12"/>
      <c r="D58" s="12"/>
      <c r="E58" s="12"/>
      <c r="H58" s="14"/>
      <c r="L58" s="8"/>
      <c r="M58" s="8"/>
    </row>
    <row r="59" spans="1:13" x14ac:dyDescent="0.3">
      <c r="A59" s="53" t="s">
        <v>33</v>
      </c>
      <c r="B59" s="54"/>
      <c r="C59" s="54"/>
      <c r="D59" s="54"/>
      <c r="E59" s="54"/>
      <c r="H59" s="38">
        <f>SUMIF(G3:G12,M59,J3:J12)</f>
        <v>450000</v>
      </c>
      <c r="L59" s="1" t="s">
        <v>5</v>
      </c>
      <c r="M59" s="29" t="s">
        <v>12</v>
      </c>
    </row>
    <row r="60" spans="1:13" x14ac:dyDescent="0.3">
      <c r="A60" s="12"/>
      <c r="B60" s="12"/>
      <c r="C60" s="12"/>
      <c r="D60" s="12"/>
      <c r="E60" s="12"/>
      <c r="H60" s="14"/>
      <c r="L60" s="8"/>
      <c r="M60" s="8"/>
    </row>
    <row r="61" spans="1:13" x14ac:dyDescent="0.3">
      <c r="A61" s="55" t="s">
        <v>34</v>
      </c>
      <c r="B61" s="55"/>
      <c r="C61" s="55"/>
      <c r="D61" s="55"/>
      <c r="E61" s="55"/>
      <c r="H61" s="37">
        <f>SUMIF(E3:E12,M61,J3:J12)</f>
        <v>215000</v>
      </c>
      <c r="L61" s="3" t="s">
        <v>3</v>
      </c>
      <c r="M61" s="28" t="s">
        <v>10</v>
      </c>
    </row>
    <row r="62" spans="1:13" x14ac:dyDescent="0.3">
      <c r="A62" s="12"/>
      <c r="B62" s="12"/>
      <c r="C62" s="12"/>
      <c r="D62" s="12"/>
      <c r="E62" s="12"/>
      <c r="H62" s="14"/>
      <c r="L62" s="11"/>
      <c r="M62" s="8"/>
    </row>
    <row r="63" spans="1:13" x14ac:dyDescent="0.3">
      <c r="A63" s="56" t="s">
        <v>35</v>
      </c>
      <c r="B63" s="56"/>
      <c r="C63" s="56"/>
      <c r="D63" s="56"/>
      <c r="E63" s="56"/>
      <c r="H63" s="36">
        <f>SUMIFS(J3:J12,G3:G12,L64,D3:D12,M64)</f>
        <v>180000</v>
      </c>
      <c r="L63" s="1" t="s">
        <v>5</v>
      </c>
      <c r="M63" s="1" t="s">
        <v>2</v>
      </c>
    </row>
    <row r="64" spans="1:13" x14ac:dyDescent="0.3">
      <c r="A64" s="12"/>
      <c r="B64" s="12"/>
      <c r="C64" s="12"/>
      <c r="D64" s="12"/>
      <c r="E64" s="12"/>
      <c r="F64" s="14"/>
      <c r="L64" s="27" t="s">
        <v>12</v>
      </c>
      <c r="M64" s="27" t="s">
        <v>9</v>
      </c>
    </row>
    <row r="65" spans="1:13" x14ac:dyDescent="0.3">
      <c r="A65" s="43" t="s">
        <v>36</v>
      </c>
      <c r="B65" s="43"/>
      <c r="C65" s="43"/>
      <c r="D65" s="43"/>
      <c r="E65" s="44"/>
      <c r="H65" s="25">
        <f>SUMIFS(J3:J12,E3:E12,L66,D3:D12,M66)</f>
        <v>171000</v>
      </c>
      <c r="L65" s="3" t="s">
        <v>3</v>
      </c>
      <c r="M65" s="1" t="s">
        <v>2</v>
      </c>
    </row>
    <row r="66" spans="1:13" x14ac:dyDescent="0.3">
      <c r="A66" s="12"/>
      <c r="B66" s="12"/>
      <c r="C66" s="12"/>
      <c r="D66" s="12"/>
      <c r="E66" s="12"/>
      <c r="F66" s="12"/>
      <c r="L66" s="26" t="s">
        <v>14</v>
      </c>
      <c r="M66" s="26" t="s">
        <v>13</v>
      </c>
    </row>
    <row r="67" spans="1:13" ht="15.6" x14ac:dyDescent="0.3">
      <c r="A67" s="45" t="s">
        <v>37</v>
      </c>
      <c r="B67" s="45"/>
      <c r="C67" s="45"/>
      <c r="D67" s="45"/>
      <c r="E67" s="45"/>
      <c r="F67" s="45"/>
    </row>
    <row r="68" spans="1:13" x14ac:dyDescent="0.3">
      <c r="B68" s="1" t="s">
        <v>0</v>
      </c>
      <c r="C68" s="1" t="s">
        <v>1</v>
      </c>
      <c r="D68" s="1" t="s">
        <v>2</v>
      </c>
      <c r="E68" s="1" t="s">
        <v>3</v>
      </c>
      <c r="F68" s="1" t="s">
        <v>4</v>
      </c>
      <c r="G68" s="1" t="s">
        <v>5</v>
      </c>
      <c r="H68" s="1" t="s">
        <v>6</v>
      </c>
      <c r="I68" s="1" t="s">
        <v>7</v>
      </c>
      <c r="J68" s="1" t="s">
        <v>8</v>
      </c>
    </row>
    <row r="69" spans="1:13" x14ac:dyDescent="0.3">
      <c r="B69" s="9">
        <v>1001</v>
      </c>
      <c r="C69" s="10">
        <v>45296</v>
      </c>
      <c r="D69" s="9" t="s">
        <v>9</v>
      </c>
      <c r="E69" s="9" t="s">
        <v>10</v>
      </c>
      <c r="F69" s="9" t="s">
        <v>11</v>
      </c>
      <c r="G69" s="9" t="s">
        <v>12</v>
      </c>
      <c r="H69" s="9">
        <v>2</v>
      </c>
      <c r="I69" s="9">
        <v>50000</v>
      </c>
      <c r="J69" s="9">
        <v>100000</v>
      </c>
      <c r="L69" s="1" t="s">
        <v>8</v>
      </c>
    </row>
    <row r="70" spans="1:13" x14ac:dyDescent="0.3">
      <c r="B70" s="9">
        <v>1002</v>
      </c>
      <c r="C70" s="10">
        <v>45299</v>
      </c>
      <c r="D70" s="9" t="s">
        <v>13</v>
      </c>
      <c r="E70" s="9" t="s">
        <v>14</v>
      </c>
      <c r="F70" s="9" t="s">
        <v>15</v>
      </c>
      <c r="G70" s="9" t="s">
        <v>12</v>
      </c>
      <c r="H70" s="9">
        <v>5</v>
      </c>
      <c r="I70" s="9">
        <v>20000</v>
      </c>
      <c r="J70" s="9">
        <v>100000</v>
      </c>
      <c r="L70" s="32">
        <v>100000</v>
      </c>
    </row>
    <row r="71" spans="1:13" x14ac:dyDescent="0.3">
      <c r="B71" s="9">
        <v>1003</v>
      </c>
      <c r="C71" s="10">
        <v>45303</v>
      </c>
      <c r="D71" s="9" t="s">
        <v>16</v>
      </c>
      <c r="E71" s="9" t="s">
        <v>17</v>
      </c>
      <c r="F71" s="9" t="s">
        <v>18</v>
      </c>
      <c r="G71" s="9" t="s">
        <v>19</v>
      </c>
      <c r="H71" s="9">
        <v>10</v>
      </c>
      <c r="I71" s="9">
        <v>3000</v>
      </c>
      <c r="J71" s="9">
        <v>30000</v>
      </c>
    </row>
    <row r="72" spans="1:13" x14ac:dyDescent="0.3">
      <c r="B72" s="9">
        <v>1004</v>
      </c>
      <c r="C72" s="10">
        <v>45306</v>
      </c>
      <c r="D72" s="9" t="s">
        <v>20</v>
      </c>
      <c r="E72" s="9" t="s">
        <v>21</v>
      </c>
      <c r="F72" s="9" t="s">
        <v>22</v>
      </c>
      <c r="G72" s="9" t="s">
        <v>19</v>
      </c>
      <c r="H72" s="9">
        <v>3</v>
      </c>
      <c r="I72" s="9">
        <v>7000</v>
      </c>
      <c r="J72" s="9">
        <v>21000</v>
      </c>
    </row>
    <row r="73" spans="1:13" x14ac:dyDescent="0.3">
      <c r="B73" s="9">
        <v>1005</v>
      </c>
      <c r="C73" s="10">
        <v>45309</v>
      </c>
      <c r="D73" s="9" t="s">
        <v>9</v>
      </c>
      <c r="E73" s="9" t="s">
        <v>10</v>
      </c>
      <c r="F73" s="9" t="s">
        <v>15</v>
      </c>
      <c r="G73" s="9" t="s">
        <v>12</v>
      </c>
      <c r="H73" s="9">
        <v>4</v>
      </c>
      <c r="I73" s="9">
        <v>20000</v>
      </c>
      <c r="J73" s="9">
        <v>80000</v>
      </c>
    </row>
    <row r="74" spans="1:13" x14ac:dyDescent="0.3">
      <c r="B74" s="9">
        <v>1006</v>
      </c>
      <c r="C74" s="10">
        <v>45311</v>
      </c>
      <c r="D74" s="9" t="s">
        <v>13</v>
      </c>
      <c r="E74" s="9" t="s">
        <v>14</v>
      </c>
      <c r="F74" s="9" t="s">
        <v>11</v>
      </c>
      <c r="G74" s="9" t="s">
        <v>12</v>
      </c>
      <c r="H74" s="9">
        <v>1</v>
      </c>
      <c r="I74" s="9">
        <v>50000</v>
      </c>
      <c r="J74" s="9">
        <v>50000</v>
      </c>
    </row>
    <row r="75" spans="1:13" x14ac:dyDescent="0.3">
      <c r="B75" s="9">
        <v>1007</v>
      </c>
      <c r="C75" s="10">
        <v>45316</v>
      </c>
      <c r="D75" s="9" t="s">
        <v>16</v>
      </c>
      <c r="E75" s="9" t="s">
        <v>17</v>
      </c>
      <c r="F75" s="9" t="s">
        <v>23</v>
      </c>
      <c r="G75" s="9" t="s">
        <v>19</v>
      </c>
      <c r="H75" s="9">
        <v>2</v>
      </c>
      <c r="I75" s="9">
        <v>10000</v>
      </c>
      <c r="J75" s="9">
        <v>20000</v>
      </c>
    </row>
    <row r="76" spans="1:13" x14ac:dyDescent="0.3">
      <c r="B76" s="9">
        <v>1008</v>
      </c>
      <c r="C76" s="10">
        <v>45319</v>
      </c>
      <c r="D76" s="9" t="s">
        <v>20</v>
      </c>
      <c r="E76" s="9" t="s">
        <v>21</v>
      </c>
      <c r="F76" s="9" t="s">
        <v>15</v>
      </c>
      <c r="G76" s="9" t="s">
        <v>12</v>
      </c>
      <c r="H76" s="9">
        <v>6</v>
      </c>
      <c r="I76" s="9">
        <v>20000</v>
      </c>
      <c r="J76" s="9">
        <v>120000</v>
      </c>
    </row>
    <row r="77" spans="1:13" x14ac:dyDescent="0.3">
      <c r="B77" s="9">
        <v>1009</v>
      </c>
      <c r="C77" s="10">
        <v>45324</v>
      </c>
      <c r="D77" s="9" t="s">
        <v>9</v>
      </c>
      <c r="E77" s="9" t="s">
        <v>10</v>
      </c>
      <c r="F77" s="9" t="s">
        <v>22</v>
      </c>
      <c r="G77" s="9" t="s">
        <v>19</v>
      </c>
      <c r="H77" s="9">
        <v>5</v>
      </c>
      <c r="I77" s="9">
        <v>7000</v>
      </c>
      <c r="J77" s="9">
        <v>35000</v>
      </c>
    </row>
    <row r="78" spans="1:13" x14ac:dyDescent="0.3">
      <c r="B78" s="9">
        <v>1010</v>
      </c>
      <c r="C78" s="10">
        <v>45327</v>
      </c>
      <c r="D78" s="9" t="s">
        <v>13</v>
      </c>
      <c r="E78" s="9" t="s">
        <v>14</v>
      </c>
      <c r="F78" s="9" t="s">
        <v>18</v>
      </c>
      <c r="G78" s="9" t="s">
        <v>19</v>
      </c>
      <c r="H78" s="9">
        <v>7</v>
      </c>
      <c r="I78" s="9">
        <v>3000</v>
      </c>
      <c r="J78" s="9">
        <v>21000</v>
      </c>
      <c r="M78" s="31"/>
    </row>
    <row r="80" spans="1:13" ht="15.6" x14ac:dyDescent="0.3">
      <c r="A80" s="46" t="s">
        <v>38</v>
      </c>
      <c r="B80" s="46"/>
      <c r="C80" s="46"/>
      <c r="D80" s="46"/>
      <c r="E80" s="46"/>
    </row>
    <row r="81" spans="1:13" x14ac:dyDescent="0.3">
      <c r="B81" s="1" t="s">
        <v>0</v>
      </c>
      <c r="C81" s="1" t="s">
        <v>1</v>
      </c>
      <c r="D81" s="1" t="s">
        <v>2</v>
      </c>
      <c r="E81" s="1" t="s">
        <v>3</v>
      </c>
      <c r="F81" s="1" t="s">
        <v>4</v>
      </c>
      <c r="G81" s="1" t="s">
        <v>5</v>
      </c>
      <c r="H81" s="1" t="s">
        <v>6</v>
      </c>
      <c r="I81" s="1" t="s">
        <v>7</v>
      </c>
      <c r="J81" s="1" t="s">
        <v>8</v>
      </c>
      <c r="K81" s="8"/>
      <c r="L81" s="8"/>
    </row>
    <row r="82" spans="1:13" x14ac:dyDescent="0.3">
      <c r="B82" s="9">
        <v>1001</v>
      </c>
      <c r="C82" s="10">
        <v>45296</v>
      </c>
      <c r="D82" s="9" t="s">
        <v>9</v>
      </c>
      <c r="E82" s="9" t="s">
        <v>10</v>
      </c>
      <c r="F82" s="9" t="s">
        <v>11</v>
      </c>
      <c r="G82" s="9" t="s">
        <v>12</v>
      </c>
      <c r="H82" s="9">
        <v>2</v>
      </c>
      <c r="I82" s="9">
        <v>50000</v>
      </c>
      <c r="J82" s="9">
        <v>100000</v>
      </c>
      <c r="K82" s="8"/>
      <c r="L82" s="1" t="s">
        <v>6</v>
      </c>
    </row>
    <row r="83" spans="1:13" x14ac:dyDescent="0.3">
      <c r="B83" s="9">
        <v>1002</v>
      </c>
      <c r="C83" s="10">
        <v>45299</v>
      </c>
      <c r="D83" s="9" t="s">
        <v>13</v>
      </c>
      <c r="E83" s="9" t="s">
        <v>14</v>
      </c>
      <c r="F83" s="9" t="s">
        <v>15</v>
      </c>
      <c r="G83" s="9" t="s">
        <v>12</v>
      </c>
      <c r="H83" s="9">
        <v>5</v>
      </c>
      <c r="I83" s="9">
        <v>20000</v>
      </c>
      <c r="J83" s="9">
        <v>100000</v>
      </c>
      <c r="K83" s="8"/>
      <c r="L83" s="33">
        <v>3</v>
      </c>
    </row>
    <row r="84" spans="1:13" x14ac:dyDescent="0.3">
      <c r="B84" s="9">
        <v>1003</v>
      </c>
      <c r="C84" s="10">
        <v>45303</v>
      </c>
      <c r="D84" s="9" t="s">
        <v>16</v>
      </c>
      <c r="E84" s="9" t="s">
        <v>17</v>
      </c>
      <c r="F84" s="9" t="s">
        <v>18</v>
      </c>
      <c r="G84" s="9" t="s">
        <v>19</v>
      </c>
      <c r="H84" s="9">
        <v>10</v>
      </c>
      <c r="I84" s="9">
        <v>3000</v>
      </c>
      <c r="J84" s="9">
        <v>30000</v>
      </c>
      <c r="K84" s="8"/>
      <c r="L84" s="8"/>
    </row>
    <row r="85" spans="1:13" x14ac:dyDescent="0.3">
      <c r="B85" s="9">
        <v>1004</v>
      </c>
      <c r="C85" s="10">
        <v>45306</v>
      </c>
      <c r="D85" s="9" t="s">
        <v>20</v>
      </c>
      <c r="E85" s="9" t="s">
        <v>21</v>
      </c>
      <c r="F85" s="9" t="s">
        <v>22</v>
      </c>
      <c r="G85" s="9" t="s">
        <v>19</v>
      </c>
      <c r="H85" s="9">
        <v>3</v>
      </c>
      <c r="I85" s="9">
        <v>7000</v>
      </c>
      <c r="J85" s="9">
        <v>21000</v>
      </c>
      <c r="K85" s="8"/>
      <c r="L85" s="8"/>
    </row>
    <row r="86" spans="1:13" x14ac:dyDescent="0.3">
      <c r="B86" s="9">
        <v>1005</v>
      </c>
      <c r="C86" s="10">
        <v>45309</v>
      </c>
      <c r="D86" s="9" t="s">
        <v>9</v>
      </c>
      <c r="E86" s="9" t="s">
        <v>10</v>
      </c>
      <c r="F86" s="9" t="s">
        <v>15</v>
      </c>
      <c r="G86" s="9" t="s">
        <v>12</v>
      </c>
      <c r="H86" s="9">
        <v>4</v>
      </c>
      <c r="I86" s="9">
        <v>20000</v>
      </c>
      <c r="J86" s="9">
        <v>80000</v>
      </c>
      <c r="K86" s="8"/>
      <c r="L86" s="8"/>
    </row>
    <row r="87" spans="1:13" x14ac:dyDescent="0.3">
      <c r="B87" s="9">
        <v>1006</v>
      </c>
      <c r="C87" s="10">
        <v>45311</v>
      </c>
      <c r="D87" s="9" t="s">
        <v>13</v>
      </c>
      <c r="E87" s="9" t="s">
        <v>14</v>
      </c>
      <c r="F87" s="9" t="s">
        <v>11</v>
      </c>
      <c r="G87" s="9" t="s">
        <v>12</v>
      </c>
      <c r="H87" s="9">
        <v>1</v>
      </c>
      <c r="I87" s="9">
        <v>50000</v>
      </c>
      <c r="J87" s="9">
        <v>50000</v>
      </c>
      <c r="K87" s="8"/>
      <c r="L87" s="8"/>
    </row>
    <row r="88" spans="1:13" x14ac:dyDescent="0.3">
      <c r="B88" s="9">
        <v>1007</v>
      </c>
      <c r="C88" s="10">
        <v>45316</v>
      </c>
      <c r="D88" s="9" t="s">
        <v>16</v>
      </c>
      <c r="E88" s="9" t="s">
        <v>17</v>
      </c>
      <c r="F88" s="9" t="s">
        <v>23</v>
      </c>
      <c r="G88" s="9" t="s">
        <v>19</v>
      </c>
      <c r="H88" s="9">
        <v>2</v>
      </c>
      <c r="I88" s="9">
        <v>10000</v>
      </c>
      <c r="J88" s="9">
        <v>20000</v>
      </c>
      <c r="K88" s="8"/>
      <c r="L88" s="8"/>
    </row>
    <row r="89" spans="1:13" x14ac:dyDescent="0.3">
      <c r="B89" s="9">
        <v>1008</v>
      </c>
      <c r="C89" s="10">
        <v>45319</v>
      </c>
      <c r="D89" s="9" t="s">
        <v>20</v>
      </c>
      <c r="E89" s="9" t="s">
        <v>21</v>
      </c>
      <c r="F89" s="9" t="s">
        <v>15</v>
      </c>
      <c r="G89" s="9" t="s">
        <v>12</v>
      </c>
      <c r="H89" s="9">
        <v>6</v>
      </c>
      <c r="I89" s="9">
        <v>20000</v>
      </c>
      <c r="J89" s="9">
        <v>120000</v>
      </c>
      <c r="K89" s="8"/>
      <c r="L89" s="8"/>
    </row>
    <row r="90" spans="1:13" x14ac:dyDescent="0.3">
      <c r="B90" s="9">
        <v>1009</v>
      </c>
      <c r="C90" s="10">
        <v>45324</v>
      </c>
      <c r="D90" s="9" t="s">
        <v>9</v>
      </c>
      <c r="E90" s="9" t="s">
        <v>10</v>
      </c>
      <c r="F90" s="9" t="s">
        <v>22</v>
      </c>
      <c r="G90" s="9" t="s">
        <v>19</v>
      </c>
      <c r="H90" s="9">
        <v>5</v>
      </c>
      <c r="I90" s="9">
        <v>7000</v>
      </c>
      <c r="J90" s="9">
        <v>35000</v>
      </c>
      <c r="K90" s="8"/>
      <c r="L90" s="8"/>
    </row>
    <row r="91" spans="1:13" x14ac:dyDescent="0.3">
      <c r="B91" s="9">
        <v>1010</v>
      </c>
      <c r="C91" s="10">
        <v>45327</v>
      </c>
      <c r="D91" s="9" t="s">
        <v>13</v>
      </c>
      <c r="E91" s="9" t="s">
        <v>14</v>
      </c>
      <c r="F91" s="9" t="s">
        <v>18</v>
      </c>
      <c r="G91" s="9" t="s">
        <v>19</v>
      </c>
      <c r="H91" s="9">
        <v>7</v>
      </c>
      <c r="I91" s="9">
        <v>3000</v>
      </c>
      <c r="J91" s="9">
        <v>21000</v>
      </c>
      <c r="K91" s="8"/>
      <c r="L91" s="8"/>
    </row>
    <row r="93" spans="1:13" ht="15.6" x14ac:dyDescent="0.3">
      <c r="A93" s="39" t="s">
        <v>39</v>
      </c>
      <c r="B93" s="40"/>
      <c r="C93" s="40"/>
      <c r="D93" s="40"/>
      <c r="L93" s="1" t="s">
        <v>5</v>
      </c>
      <c r="M93" s="1" t="s">
        <v>6</v>
      </c>
    </row>
    <row r="94" spans="1:13" x14ac:dyDescent="0.3">
      <c r="A94" s="2"/>
      <c r="C94" s="42" t="s">
        <v>40</v>
      </c>
      <c r="D94" s="41"/>
      <c r="F94" s="24">
        <f>COUNTIFS(G3:G12,L94,H3:H12,"&gt;"&amp;M94)</f>
        <v>3</v>
      </c>
      <c r="L94" s="28" t="s">
        <v>12</v>
      </c>
      <c r="M94" s="28">
        <v>3</v>
      </c>
    </row>
    <row r="95" spans="1:13" x14ac:dyDescent="0.3">
      <c r="A95" s="2"/>
      <c r="C95" s="47" t="s">
        <v>41</v>
      </c>
      <c r="D95" s="47"/>
    </row>
  </sheetData>
  <mergeCells count="17">
    <mergeCell ref="A51:D51"/>
    <mergeCell ref="A18:B18"/>
    <mergeCell ref="A20:F20"/>
    <mergeCell ref="A33:F33"/>
    <mergeCell ref="A41:F41"/>
    <mergeCell ref="A47:D47"/>
    <mergeCell ref="A49:D49"/>
    <mergeCell ref="A65:E65"/>
    <mergeCell ref="A67:F67"/>
    <mergeCell ref="A80:E80"/>
    <mergeCell ref="C95:D95"/>
    <mergeCell ref="A53:E53"/>
    <mergeCell ref="A55:D55"/>
    <mergeCell ref="A57:E57"/>
    <mergeCell ref="A59:E59"/>
    <mergeCell ref="A61:E61"/>
    <mergeCell ref="A63:E63"/>
  </mergeCells>
  <conditionalFormatting sqref="H82:H91">
    <cfRule type="cellIs" dxfId="2" priority="2" operator="lessThan">
      <formula>$L$83</formula>
    </cfRule>
  </conditionalFormatting>
  <conditionalFormatting sqref="J69:J78">
    <cfRule type="cellIs" dxfId="1" priority="3" operator="greaterThan">
      <formula>$L$70</formula>
    </cfRule>
  </conditionalFormatting>
  <conditionalFormatting sqref="L70">
    <cfRule type="cellIs" dxfId="0" priority="1" operator="greaterThan">
      <formula>100000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SWARNENDU MANI</cp:lastModifiedBy>
  <dcterms:created xsi:type="dcterms:W3CDTF">2026-03-04T02:35:16Z</dcterms:created>
  <dcterms:modified xsi:type="dcterms:W3CDTF">2026-03-04T08:43:34Z</dcterms:modified>
</cp:coreProperties>
</file>