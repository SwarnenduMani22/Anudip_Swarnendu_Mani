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ownloads\"/>
    </mc:Choice>
  </mc:AlternateContent>
  <xr:revisionPtr revIDLastSave="0" documentId="13_ncr:1_{75B05F0F-8BE7-4D27-85AE-96BEADB5A7E1}" xr6:coauthVersionLast="47" xr6:coauthVersionMax="47" xr10:uidLastSave="{00000000-0000-0000-0000-000000000000}"/>
  <bookViews>
    <workbookView xWindow="-108" yWindow="-108" windowWidth="23256" windowHeight="12456" firstSheet="4" activeTab="13" xr2:uid="{A8063823-0903-4FBF-881C-32FE5D83A693}"/>
  </bookViews>
  <sheets>
    <sheet name="Sheet1" sheetId="1" r:id="rId1"/>
    <sheet name="Sheet7" sheetId="7" r:id="rId2"/>
    <sheet name="Sheet8" sheetId="8" r:id="rId3"/>
    <sheet name="Sheet9" sheetId="9" r:id="rId4"/>
    <sheet name="Sheet16" sheetId="16" r:id="rId5"/>
    <sheet name="Sheet17" sheetId="17" r:id="rId6"/>
    <sheet name="Sheet18" sheetId="18" r:id="rId7"/>
    <sheet name="Sheet19" sheetId="19" r:id="rId8"/>
    <sheet name="Sheet3" sheetId="3" r:id="rId9"/>
    <sheet name="Sheet2" sheetId="2" r:id="rId10"/>
    <sheet name="Sheet4" sheetId="4" r:id="rId11"/>
    <sheet name="Sheet5" sheetId="5" r:id="rId12"/>
    <sheet name="Sheet6" sheetId="6" r:id="rId13"/>
    <sheet name="VLOOKUP" sheetId="20" r:id="rId14"/>
  </sheets>
  <definedNames>
    <definedName name="_xlnm._FilterDatabase" localSheetId="1" hidden="1">Sheet7!$A$1:$M$373</definedName>
    <definedName name="_xlnm.Criteria" localSheetId="1">Sheet7!$S$2:$S$3</definedName>
    <definedName name="_xlnm.Extract" localSheetId="1">Sheet7!$Q$202:$AC$202</definedName>
    <definedName name="_xlnm.Extract" localSheetId="2">Sheet8!$O$1:$AA$1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0" l="1"/>
  <c r="P3" i="20"/>
  <c r="J7" i="19"/>
  <c r="K7" i="19"/>
  <c r="L7" i="19"/>
  <c r="J8" i="19"/>
  <c r="K8" i="19"/>
  <c r="L8" i="19"/>
  <c r="J9" i="19"/>
  <c r="K9" i="19"/>
  <c r="L9" i="19"/>
  <c r="J10" i="19"/>
  <c r="K10" i="19"/>
  <c r="L10" i="19"/>
  <c r="J11" i="19"/>
  <c r="K11" i="19"/>
  <c r="L11" i="19"/>
  <c r="J12" i="19"/>
  <c r="K12" i="19"/>
  <c r="L12" i="19"/>
  <c r="J13" i="19"/>
  <c r="K13" i="19"/>
  <c r="L13" i="19"/>
  <c r="J14" i="19"/>
  <c r="K14" i="19"/>
  <c r="L14" i="19"/>
  <c r="J15" i="19"/>
  <c r="K15" i="19"/>
  <c r="L15" i="19"/>
  <c r="J16" i="19"/>
  <c r="K16" i="19"/>
  <c r="L16" i="19"/>
  <c r="J17" i="19"/>
  <c r="K17" i="19"/>
  <c r="L17" i="19"/>
  <c r="J18" i="19"/>
  <c r="K18" i="19"/>
  <c r="L18" i="19"/>
  <c r="J19" i="19"/>
  <c r="K19" i="19"/>
  <c r="L19" i="19"/>
  <c r="J20" i="19"/>
  <c r="K20" i="19"/>
  <c r="L20" i="19"/>
  <c r="J21" i="19"/>
  <c r="K21" i="19"/>
  <c r="L21" i="19"/>
  <c r="J22" i="19"/>
  <c r="K22" i="19"/>
  <c r="L22" i="19"/>
  <c r="J23" i="19"/>
  <c r="K23" i="19"/>
  <c r="L23" i="19"/>
  <c r="J24" i="19"/>
  <c r="K24" i="19"/>
  <c r="L24" i="19"/>
  <c r="J25" i="19"/>
  <c r="K25" i="19"/>
  <c r="L25" i="19"/>
  <c r="J26" i="19"/>
  <c r="K26" i="19"/>
  <c r="L26" i="19"/>
  <c r="J27" i="19"/>
  <c r="K27" i="19"/>
  <c r="L27" i="19"/>
  <c r="J28" i="19"/>
  <c r="K28" i="19"/>
  <c r="L28" i="19"/>
  <c r="J29" i="19"/>
  <c r="K29" i="19"/>
  <c r="L29" i="19"/>
  <c r="J30" i="19"/>
  <c r="K30" i="19"/>
  <c r="L30" i="19"/>
  <c r="J31" i="19"/>
  <c r="K31" i="19"/>
  <c r="L31" i="19"/>
  <c r="J32" i="19"/>
  <c r="K32" i="19"/>
  <c r="L32" i="19"/>
  <c r="J33" i="19"/>
  <c r="K33" i="19"/>
  <c r="L33" i="19"/>
  <c r="J34" i="19"/>
  <c r="K34" i="19"/>
  <c r="L34" i="19"/>
  <c r="C2" i="19"/>
  <c r="D2" i="19"/>
  <c r="C3" i="19"/>
  <c r="D3" i="19"/>
  <c r="C4" i="19"/>
  <c r="D4" i="19"/>
  <c r="C5" i="19"/>
  <c r="D5" i="19"/>
  <c r="C6" i="19"/>
  <c r="D6" i="19"/>
  <c r="C10" i="19"/>
  <c r="D10" i="19"/>
  <c r="B3" i="19"/>
  <c r="B4" i="19"/>
  <c r="B5" i="19"/>
  <c r="B6" i="19"/>
  <c r="B10" i="19"/>
  <c r="B2" i="19"/>
  <c r="LB20" i="4"/>
  <c r="GZ20" i="4"/>
  <c r="FM20" i="4"/>
  <c r="FC20" i="4"/>
  <c r="FB20" i="4"/>
  <c r="BL20" i="4"/>
  <c r="BE20" i="4"/>
  <c r="NI19" i="4" a="1"/>
  <c r="NI19" i="4" s="1"/>
  <c r="NH19" i="4"/>
  <c r="NH19" i="4" a="1"/>
  <c r="NG19" i="4"/>
  <c r="NG19" i="4" a="1"/>
  <c r="NF19" i="4" a="1"/>
  <c r="NF19" i="4" s="1"/>
  <c r="NE19" i="4"/>
  <c r="NE19" i="4" a="1"/>
  <c r="ND19" i="4" a="1"/>
  <c r="ND19" i="4" s="1"/>
  <c r="NC19" i="4" a="1"/>
  <c r="NC19" i="4" s="1"/>
  <c r="NB19" i="4"/>
  <c r="NB19" i="4" a="1"/>
  <c r="NA19" i="4"/>
  <c r="NA19" i="4" a="1"/>
  <c r="MZ19" i="4" a="1"/>
  <c r="MZ19" i="4" s="1"/>
  <c r="MY19" i="4"/>
  <c r="MY19" i="4" a="1"/>
  <c r="MX19" i="4"/>
  <c r="MX19" i="4" a="1"/>
  <c r="MW19" i="4"/>
  <c r="MW19" i="4" a="1"/>
  <c r="MV19" i="4"/>
  <c r="MV19" i="4" a="1"/>
  <c r="MU19" i="4" a="1"/>
  <c r="MU19" i="4" s="1"/>
  <c r="MT19" i="4" a="1"/>
  <c r="MT19" i="4" s="1"/>
  <c r="MS19" i="4"/>
  <c r="MS19" i="4" a="1"/>
  <c r="MR19" i="4"/>
  <c r="MR19" i="4" a="1"/>
  <c r="MQ19" i="4"/>
  <c r="MQ19" i="4" a="1"/>
  <c r="MP19" i="4" a="1"/>
  <c r="MP19" i="4" s="1"/>
  <c r="MO19" i="4"/>
  <c r="MO19" i="4" a="1"/>
  <c r="MN19" i="4" a="1"/>
  <c r="MN19" i="4" s="1"/>
  <c r="MM19" i="4" a="1"/>
  <c r="MM19" i="4" s="1"/>
  <c r="ML19" i="4"/>
  <c r="ML19" i="4" a="1"/>
  <c r="MK19" i="4"/>
  <c r="MK19" i="4" a="1"/>
  <c r="MJ19" i="4"/>
  <c r="MJ19" i="4" a="1"/>
  <c r="MI19" i="4"/>
  <c r="MI19" i="4" a="1"/>
  <c r="MH19" i="4" a="1"/>
  <c r="MH19" i="4" s="1"/>
  <c r="MG19" i="4" a="1"/>
  <c r="MG19" i="4" s="1"/>
  <c r="MF19" i="4"/>
  <c r="MF19" i="4" a="1"/>
  <c r="ME19" i="4"/>
  <c r="ME19" i="4" a="1"/>
  <c r="MD19" i="4"/>
  <c r="MD19" i="4" a="1"/>
  <c r="MC19" i="4" a="1"/>
  <c r="MC19" i="4" s="1"/>
  <c r="MB19" i="4" a="1"/>
  <c r="MB19" i="4" s="1"/>
  <c r="MA19" i="4" a="1"/>
  <c r="MA19" i="4" s="1"/>
  <c r="LZ19" i="4" a="1"/>
  <c r="LZ19" i="4" s="1"/>
  <c r="LY19" i="4" a="1"/>
  <c r="LY19" i="4" s="1"/>
  <c r="LX19" i="4"/>
  <c r="LX19" i="4" a="1"/>
  <c r="LW19" i="4"/>
  <c r="LW19" i="4" a="1"/>
  <c r="LV19" i="4" a="1"/>
  <c r="LV19" i="4" s="1"/>
  <c r="LU19" i="4"/>
  <c r="LU19" i="4" a="1"/>
  <c r="LT19" i="4" a="1"/>
  <c r="LT19" i="4" s="1"/>
  <c r="LS19" i="4" a="1"/>
  <c r="LS19" i="4" s="1"/>
  <c r="LR19" i="4" a="1"/>
  <c r="LR19" i="4" s="1"/>
  <c r="LQ19" i="4"/>
  <c r="LQ19" i="4" a="1"/>
  <c r="LP19" i="4" a="1"/>
  <c r="LP19" i="4" s="1"/>
  <c r="LO19" i="4"/>
  <c r="LO19" i="4" a="1"/>
  <c r="LN19" i="4" a="1"/>
  <c r="LN19" i="4" s="1"/>
  <c r="LM19" i="4" a="1"/>
  <c r="LM19" i="4" s="1"/>
  <c r="LL19" i="4" a="1"/>
  <c r="LL19" i="4" s="1"/>
  <c r="LK19" i="4"/>
  <c r="LK19" i="4" a="1"/>
  <c r="LJ19" i="4" a="1"/>
  <c r="LJ19" i="4" s="1"/>
  <c r="LI19" i="4" a="1"/>
  <c r="LI19" i="4" s="1"/>
  <c r="LH19" i="4"/>
  <c r="LH19" i="4" a="1"/>
  <c r="LG19" i="4" a="1"/>
  <c r="LG19" i="4" s="1"/>
  <c r="LF19" i="4" a="1"/>
  <c r="LF19" i="4" s="1"/>
  <c r="LE19" i="4"/>
  <c r="LE19" i="4" a="1"/>
  <c r="LD19" i="4" a="1"/>
  <c r="LD19" i="4" s="1"/>
  <c r="LC19" i="4"/>
  <c r="LC19" i="4" a="1"/>
  <c r="LB19" i="4" a="1"/>
  <c r="LB19" i="4" s="1"/>
  <c r="LA19" i="4" a="1"/>
  <c r="LA19" i="4" s="1"/>
  <c r="KZ19" i="4" a="1"/>
  <c r="KZ19" i="4" s="1"/>
  <c r="KY19" i="4" a="1"/>
  <c r="KY19" i="4" s="1"/>
  <c r="KX19" i="4" a="1"/>
  <c r="KX19" i="4" s="1"/>
  <c r="KW19" i="4"/>
  <c r="KW19" i="4" a="1"/>
  <c r="KV19" i="4" a="1"/>
  <c r="KV19" i="4" s="1"/>
  <c r="KU19" i="4"/>
  <c r="KU19" i="4" a="1"/>
  <c r="KT19" i="4"/>
  <c r="KT19" i="4" a="1"/>
  <c r="KS19" i="4" a="1"/>
  <c r="KS19" i="4" s="1"/>
  <c r="KR19" i="4" a="1"/>
  <c r="KR19" i="4" s="1"/>
  <c r="KQ19" i="4"/>
  <c r="KQ19" i="4" a="1"/>
  <c r="KP19" i="4"/>
  <c r="KP19" i="4" a="1"/>
  <c r="KO19" i="4"/>
  <c r="KO19" i="4" a="1"/>
  <c r="KN19" i="4" a="1"/>
  <c r="KN19" i="4" s="1"/>
  <c r="KM19" i="4"/>
  <c r="KM19" i="4" a="1"/>
  <c r="KL19" i="4" a="1"/>
  <c r="KL19" i="4" s="1"/>
  <c r="KK19" i="4"/>
  <c r="KK19" i="4" a="1"/>
  <c r="KJ19" i="4"/>
  <c r="KJ19" i="4" a="1"/>
  <c r="KI19" i="4" a="1"/>
  <c r="KI19" i="4" s="1"/>
  <c r="KH19" i="4"/>
  <c r="KH19" i="4" a="1"/>
  <c r="KG19" i="4" a="1"/>
  <c r="KG19" i="4" s="1"/>
  <c r="KF19" i="4" a="1"/>
  <c r="KF19" i="4" s="1"/>
  <c r="KE19" i="4"/>
  <c r="KE19" i="4" a="1"/>
  <c r="KD19" i="4"/>
  <c r="KD19" i="4" a="1"/>
  <c r="KC19" i="4"/>
  <c r="KC19" i="4" a="1"/>
  <c r="KB19" i="4" a="1"/>
  <c r="KB19" i="4" s="1"/>
  <c r="KA19" i="4" a="1"/>
  <c r="KA19" i="4" s="1"/>
  <c r="JZ19" i="4" a="1"/>
  <c r="JZ19" i="4" s="1"/>
  <c r="JY19" i="4" a="1"/>
  <c r="JY19" i="4" s="1"/>
  <c r="JX19" i="4"/>
  <c r="JX19" i="4" a="1"/>
  <c r="JW19" i="4"/>
  <c r="JW19" i="4" a="1"/>
  <c r="JV19" i="4" a="1"/>
  <c r="JV19" i="4" s="1"/>
  <c r="JU19" i="4"/>
  <c r="JU19" i="4" a="1"/>
  <c r="JT19" i="4" a="1"/>
  <c r="JT19" i="4" s="1"/>
  <c r="JS19" i="4"/>
  <c r="JS19" i="4" a="1"/>
  <c r="JR19" i="4" a="1"/>
  <c r="JR19" i="4" s="1"/>
  <c r="JQ19" i="4"/>
  <c r="JQ19" i="4" a="1"/>
  <c r="JP19" i="4"/>
  <c r="JP19" i="4" a="1"/>
  <c r="JO19" i="4" a="1"/>
  <c r="JO19" i="4" s="1"/>
  <c r="JN19" i="4" a="1"/>
  <c r="JN19" i="4" s="1"/>
  <c r="JM19" i="4" a="1"/>
  <c r="JM19" i="4" s="1"/>
  <c r="JL19" i="4" a="1"/>
  <c r="JL19" i="4" s="1"/>
  <c r="JK19" i="4"/>
  <c r="JK19" i="4" a="1"/>
  <c r="JJ19" i="4"/>
  <c r="JJ19" i="4" a="1"/>
  <c r="JI19" i="4" a="1"/>
  <c r="JI19" i="4" s="1"/>
  <c r="JH19" i="4" a="1"/>
  <c r="JH19" i="4" s="1"/>
  <c r="JG19" i="4" a="1"/>
  <c r="JG19" i="4" s="1"/>
  <c r="JF19" i="4" a="1"/>
  <c r="JF19" i="4" s="1"/>
  <c r="JE19" i="4"/>
  <c r="JE19" i="4" a="1"/>
  <c r="JD19" i="4"/>
  <c r="JD19" i="4" a="1"/>
  <c r="JC19" i="4"/>
  <c r="JC19" i="4" a="1"/>
  <c r="JB19" i="4" a="1"/>
  <c r="JB19" i="4" s="1"/>
  <c r="JA19" i="4"/>
  <c r="JA19" i="4" a="1"/>
  <c r="IZ19" i="4"/>
  <c r="IZ19" i="4" a="1"/>
  <c r="IY19" i="4" a="1"/>
  <c r="IY19" i="4" s="1"/>
  <c r="IX19" i="4" a="1"/>
  <c r="IX19" i="4" s="1"/>
  <c r="IW19" i="4"/>
  <c r="IW19" i="4" a="1"/>
  <c r="IV19" i="4" a="1"/>
  <c r="IV19" i="4" s="1"/>
  <c r="IU19" i="4"/>
  <c r="IU19" i="4" a="1"/>
  <c r="IT19" i="4" a="1"/>
  <c r="IT19" i="4" s="1"/>
  <c r="IS19" i="4"/>
  <c r="IS19" i="4" a="1"/>
  <c r="IR19" i="4" a="1"/>
  <c r="IR19" i="4" s="1"/>
  <c r="IQ19" i="4"/>
  <c r="IQ19" i="4" a="1"/>
  <c r="IP19" i="4" a="1"/>
  <c r="IP19" i="4" s="1"/>
  <c r="IO19" i="4" a="1"/>
  <c r="IO19" i="4" s="1"/>
  <c r="IN19" i="4"/>
  <c r="IN19" i="4" a="1"/>
  <c r="IM19" i="4" a="1"/>
  <c r="IM19" i="4" s="1"/>
  <c r="IL19" i="4" a="1"/>
  <c r="IL19" i="4" s="1"/>
  <c r="IK19" i="4" a="1"/>
  <c r="IK19" i="4" s="1"/>
  <c r="IJ19" i="4" a="1"/>
  <c r="IJ19" i="4" s="1"/>
  <c r="II19" i="4"/>
  <c r="II19" i="4" a="1"/>
  <c r="IH19" i="4"/>
  <c r="IH19" i="4" a="1"/>
  <c r="IG19" i="4" a="1"/>
  <c r="IG19" i="4" s="1"/>
  <c r="IF19" i="4" a="1"/>
  <c r="IF19" i="4" s="1"/>
  <c r="IE19" i="4"/>
  <c r="IE19" i="4" a="1"/>
  <c r="ID19" i="4" a="1"/>
  <c r="ID19" i="4" s="1"/>
  <c r="IC19" i="4"/>
  <c r="IC19" i="4" a="1"/>
  <c r="IB19" i="4" a="1"/>
  <c r="IB19" i="4" s="1"/>
  <c r="IA19" i="4"/>
  <c r="IA19" i="4" a="1"/>
  <c r="HZ19" i="4" a="1"/>
  <c r="HZ19" i="4" s="1"/>
  <c r="HY19" i="4" a="1"/>
  <c r="HY19" i="4" s="1"/>
  <c r="HX19" i="4" a="1"/>
  <c r="HX19" i="4" s="1"/>
  <c r="HW19" i="4"/>
  <c r="HW19" i="4" a="1"/>
  <c r="HV19" i="4"/>
  <c r="HV19" i="4" a="1"/>
  <c r="HU19" i="4" a="1"/>
  <c r="HU19" i="4" s="1"/>
  <c r="HT19" i="4" a="1"/>
  <c r="HT19" i="4" s="1"/>
  <c r="HS19" i="4" a="1"/>
  <c r="HS19" i="4" s="1"/>
  <c r="HR19" i="4" a="1"/>
  <c r="HR19" i="4" s="1"/>
  <c r="HQ19" i="4" a="1"/>
  <c r="HQ19" i="4" s="1"/>
  <c r="HP19" i="4"/>
  <c r="HP19" i="4" a="1"/>
  <c r="HO19" i="4" a="1"/>
  <c r="HO19" i="4" s="1"/>
  <c r="HN19" i="4"/>
  <c r="HN19" i="4" a="1"/>
  <c r="HM19" i="4"/>
  <c r="HM19" i="4" a="1"/>
  <c r="HL19" i="4" a="1"/>
  <c r="HL19" i="4" s="1"/>
  <c r="HK19" i="4"/>
  <c r="HK19" i="4" a="1"/>
  <c r="HJ19" i="4"/>
  <c r="HJ19" i="4" a="1"/>
  <c r="HI19" i="4"/>
  <c r="HI19" i="4" a="1"/>
  <c r="HH19" i="4"/>
  <c r="HH19" i="4" a="1"/>
  <c r="HG19" i="4" a="1"/>
  <c r="HG19" i="4" s="1"/>
  <c r="HF19" i="4" a="1"/>
  <c r="HF19" i="4" s="1"/>
  <c r="HE19" i="4"/>
  <c r="HE19" i="4" a="1"/>
  <c r="HD19" i="4"/>
  <c r="HD19" i="4" a="1"/>
  <c r="HC19" i="4"/>
  <c r="HC19" i="4" a="1"/>
  <c r="HB19" i="4" a="1"/>
  <c r="HB19" i="4" s="1"/>
  <c r="HA19" i="4"/>
  <c r="HA19" i="4" a="1"/>
  <c r="GZ19" i="4" a="1"/>
  <c r="GZ19" i="4" s="1"/>
  <c r="GY19" i="4"/>
  <c r="GY19" i="4" a="1"/>
  <c r="GX19" i="4"/>
  <c r="GX19" i="4" a="1"/>
  <c r="GW19" i="4"/>
  <c r="GW19" i="4" a="1"/>
  <c r="GV19" i="4"/>
  <c r="GV19" i="4" a="1"/>
  <c r="GU19" i="4" a="1"/>
  <c r="GU19" i="4" s="1"/>
  <c r="GT19" i="4" a="1"/>
  <c r="GT19" i="4" s="1"/>
  <c r="GS19" i="4" a="1"/>
  <c r="GS19" i="4" s="1"/>
  <c r="GR19" i="4"/>
  <c r="GR19" i="4" a="1"/>
  <c r="GQ19" i="4" a="1"/>
  <c r="GQ19" i="4" s="1"/>
  <c r="GP19" i="4"/>
  <c r="GP19" i="4" a="1"/>
  <c r="GO19" i="4" a="1"/>
  <c r="GO19" i="4" s="1"/>
  <c r="GN19" i="4" a="1"/>
  <c r="GN19" i="4" s="1"/>
  <c r="GM19" i="4" a="1"/>
  <c r="GM19" i="4" s="1"/>
  <c r="GL19" i="4"/>
  <c r="GL19" i="4" a="1"/>
  <c r="GK19" i="4" a="1"/>
  <c r="GK19" i="4" s="1"/>
  <c r="GJ19" i="4"/>
  <c r="GJ19" i="4" a="1"/>
  <c r="GI19" i="4"/>
  <c r="GI19" i="4" a="1"/>
  <c r="GH19" i="4" a="1"/>
  <c r="GH19" i="4" s="1"/>
  <c r="GG19" i="4"/>
  <c r="GG19" i="4" a="1"/>
  <c r="GF19" i="4" a="1"/>
  <c r="GF19" i="4" s="1"/>
  <c r="GE19" i="4"/>
  <c r="GE19" i="4" a="1"/>
  <c r="GD19" i="4"/>
  <c r="GD19" i="4" a="1"/>
  <c r="GC19" i="4"/>
  <c r="GC19" i="4" a="1"/>
  <c r="GB19" i="4" a="1"/>
  <c r="GB19" i="4" s="1"/>
  <c r="GA19" i="4" a="1"/>
  <c r="GA19" i="4" s="1"/>
  <c r="FZ19" i="4" a="1"/>
  <c r="FZ19" i="4" s="1"/>
  <c r="FY19" i="4" a="1"/>
  <c r="FY19" i="4" s="1"/>
  <c r="FX19" i="4"/>
  <c r="FX19" i="4" a="1"/>
  <c r="FW19" i="4"/>
  <c r="FW19" i="4" a="1"/>
  <c r="FV19" i="4" a="1"/>
  <c r="FV19" i="4" s="1"/>
  <c r="FU19" i="4" a="1"/>
  <c r="FU19" i="4" s="1"/>
  <c r="FT19" i="4"/>
  <c r="FT19" i="4" a="1"/>
  <c r="FS19" i="4"/>
  <c r="FS19" i="4" a="1"/>
  <c r="FR19" i="4" a="1"/>
  <c r="FR19" i="4" s="1"/>
  <c r="FQ19" i="4"/>
  <c r="FQ19" i="4" a="1"/>
  <c r="FP19" i="4" a="1"/>
  <c r="FP19" i="4" s="1"/>
  <c r="FO19" i="4"/>
  <c r="FO19" i="4" a="1"/>
  <c r="FN19" i="4"/>
  <c r="FN19" i="4" a="1"/>
  <c r="FM19" i="4" a="1"/>
  <c r="FM19" i="4" s="1"/>
  <c r="FL19" i="4"/>
  <c r="FL19" i="4" a="1"/>
  <c r="FK19" i="4" a="1"/>
  <c r="FK19" i="4" s="1"/>
  <c r="FJ19" i="4" a="1"/>
  <c r="FJ19" i="4" s="1"/>
  <c r="FI19" i="4"/>
  <c r="FI19" i="4" a="1"/>
  <c r="FH19" i="4" a="1"/>
  <c r="FH19" i="4" s="1"/>
  <c r="FG19" i="4"/>
  <c r="FG19" i="4" a="1"/>
  <c r="FF19" i="4" a="1"/>
  <c r="FF19" i="4" s="1"/>
  <c r="FE19" i="4" a="1"/>
  <c r="FE19" i="4" s="1"/>
  <c r="FD19" i="4" a="1"/>
  <c r="FD19" i="4" s="1"/>
  <c r="FC19" i="4" a="1"/>
  <c r="FC19" i="4" s="1"/>
  <c r="FB19" i="4"/>
  <c r="FB19" i="4" a="1"/>
  <c r="FA19" i="4"/>
  <c r="FA19" i="4" a="1"/>
  <c r="EZ19" i="4" a="1"/>
  <c r="EZ19" i="4" s="1"/>
  <c r="EY19" i="4" a="1"/>
  <c r="EY19" i="4" s="1"/>
  <c r="EX19" i="4" a="1"/>
  <c r="EX19" i="4" s="1"/>
  <c r="EW19" i="4" a="1"/>
  <c r="EW19" i="4" s="1"/>
  <c r="EV19" i="4"/>
  <c r="EV19" i="4" a="1"/>
  <c r="EU19" i="4" a="1"/>
  <c r="EU19" i="4" s="1"/>
  <c r="ET19" i="4"/>
  <c r="ET19" i="4" a="1"/>
  <c r="ES19" i="4" a="1"/>
  <c r="ES19" i="4" s="1"/>
  <c r="ER19" i="4" a="1"/>
  <c r="ER19" i="4" s="1"/>
  <c r="EQ19" i="4"/>
  <c r="EQ19" i="4" a="1"/>
  <c r="EP19" i="4" a="1"/>
  <c r="EP19" i="4" s="1"/>
  <c r="EO19" i="4"/>
  <c r="EO19" i="4" a="1"/>
  <c r="EN19" i="4"/>
  <c r="EN19" i="4" a="1"/>
  <c r="EM19" i="4" a="1"/>
  <c r="EM19" i="4" s="1"/>
  <c r="EL19" i="4" a="1"/>
  <c r="EL19" i="4" s="1"/>
  <c r="EK19" i="4"/>
  <c r="EK19" i="4" a="1"/>
  <c r="EJ19" i="4" a="1"/>
  <c r="EJ19" i="4" s="1"/>
  <c r="EI19" i="4" a="1"/>
  <c r="EI19" i="4" s="1"/>
  <c r="EH19" i="4" a="1"/>
  <c r="EH19" i="4" s="1"/>
  <c r="EG19" i="4"/>
  <c r="EG19" i="4" a="1"/>
  <c r="EF19" i="4" a="1"/>
  <c r="EF19" i="4" s="1"/>
  <c r="EE19" i="4"/>
  <c r="EE19" i="4" a="1"/>
  <c r="ED19" i="4"/>
  <c r="ED19" i="4" a="1"/>
  <c r="EC19" i="4" a="1"/>
  <c r="EC19" i="4" s="1"/>
  <c r="EB19" i="4"/>
  <c r="EB19" i="4" a="1"/>
  <c r="EA19" i="4" a="1"/>
  <c r="EA19" i="4" s="1"/>
  <c r="DZ19" i="4" a="1"/>
  <c r="DZ19" i="4" s="1"/>
  <c r="DY19" i="4"/>
  <c r="DY19" i="4" a="1"/>
  <c r="DX19" i="4" a="1"/>
  <c r="DX19" i="4" s="1"/>
  <c r="DW19" i="4" a="1"/>
  <c r="DW19" i="4" s="1"/>
  <c r="DV19" i="4" a="1"/>
  <c r="DV19" i="4" s="1"/>
  <c r="DU19" i="4" a="1"/>
  <c r="DU19" i="4" s="1"/>
  <c r="DT19" i="4" a="1"/>
  <c r="DT19" i="4" s="1"/>
  <c r="DS19" i="4" a="1"/>
  <c r="DS19" i="4" s="1"/>
  <c r="DR19" i="4" a="1"/>
  <c r="DR19" i="4" s="1"/>
  <c r="DQ19" i="4"/>
  <c r="DQ19" i="4" a="1"/>
  <c r="DP19" i="4"/>
  <c r="DP19" i="4" a="1"/>
  <c r="DO19" i="4"/>
  <c r="DO19" i="4" a="1"/>
  <c r="DN19" i="4" a="1"/>
  <c r="DN19" i="4" s="1"/>
  <c r="DM19" i="4"/>
  <c r="DM19" i="4" a="1"/>
  <c r="DL19" i="4" a="1"/>
  <c r="DL19" i="4" s="1"/>
  <c r="DK19" i="4"/>
  <c r="DK19" i="4" a="1"/>
  <c r="DJ19" i="4" a="1"/>
  <c r="DJ19" i="4" s="1"/>
  <c r="DI19" i="4" a="1"/>
  <c r="DI19" i="4" s="1"/>
  <c r="DH19" i="4" a="1"/>
  <c r="DH19" i="4" s="1"/>
  <c r="DG19" i="4"/>
  <c r="DG19" i="4" a="1"/>
  <c r="DF19" i="4" a="1"/>
  <c r="DF19" i="4" s="1"/>
  <c r="DE19" i="4"/>
  <c r="DE19" i="4" a="1"/>
  <c r="DD19" i="4"/>
  <c r="DD19" i="4" a="1"/>
  <c r="DC19" i="4" a="1"/>
  <c r="DC19" i="4" s="1"/>
  <c r="DB19" i="4" a="1"/>
  <c r="DB19" i="4" s="1"/>
  <c r="DA19" i="4" a="1"/>
  <c r="DA19" i="4" s="1"/>
  <c r="CZ19" i="4"/>
  <c r="CZ19" i="4" a="1"/>
  <c r="CY19" i="4"/>
  <c r="CY19" i="4" a="1"/>
  <c r="CX19" i="4" a="1"/>
  <c r="CX19" i="4" s="1"/>
  <c r="CW19" i="4"/>
  <c r="CW19" i="4" a="1"/>
  <c r="CV19" i="4" a="1"/>
  <c r="CV19" i="4" s="1"/>
  <c r="CU19" i="4"/>
  <c r="CU19" i="4" a="1"/>
  <c r="CT19" i="4"/>
  <c r="CT19" i="4" a="1"/>
  <c r="CS19" i="4" a="1"/>
  <c r="CS19" i="4" s="1"/>
  <c r="CR19" i="4"/>
  <c r="CR19" i="4" a="1"/>
  <c r="CQ19" i="4" a="1"/>
  <c r="CQ19" i="4" s="1"/>
  <c r="CP19" i="4" a="1"/>
  <c r="CP19" i="4" s="1"/>
  <c r="CO19" i="4"/>
  <c r="CO19" i="4" a="1"/>
  <c r="CN19" i="4" a="1"/>
  <c r="CN19" i="4" s="1"/>
  <c r="CM19" i="4"/>
  <c r="CM19" i="4" a="1"/>
  <c r="CL19" i="4"/>
  <c r="CL19" i="4" a="1"/>
  <c r="CK19" i="4"/>
  <c r="CK19" i="4" a="1"/>
  <c r="CJ19" i="4" a="1"/>
  <c r="CJ19" i="4" s="1"/>
  <c r="CI19" i="4"/>
  <c r="CI19" i="4" a="1"/>
  <c r="CH19" i="4"/>
  <c r="CH19" i="4" a="1"/>
  <c r="CG19" i="4"/>
  <c r="CG19" i="4" a="1"/>
  <c r="CF19" i="4" a="1"/>
  <c r="CF19" i="4" s="1"/>
  <c r="CE19" i="4"/>
  <c r="CE19" i="4" a="1"/>
  <c r="CD19" i="4" a="1"/>
  <c r="CD19" i="4" s="1"/>
  <c r="CC19" i="4" a="1"/>
  <c r="CC19" i="4" s="1"/>
  <c r="CB19" i="4"/>
  <c r="CB19" i="4" a="1"/>
  <c r="CA19" i="4" a="1"/>
  <c r="CA19" i="4" s="1"/>
  <c r="BZ19" i="4"/>
  <c r="BZ19" i="4" a="1"/>
  <c r="BY19" i="4" a="1"/>
  <c r="BY19" i="4" s="1"/>
  <c r="BX19" i="4" a="1"/>
  <c r="BX19" i="4" s="1"/>
  <c r="BW19" i="4"/>
  <c r="BW19" i="4" a="1"/>
  <c r="BV19" i="4"/>
  <c r="BV19" i="4" a="1"/>
  <c r="BU19" i="4"/>
  <c r="BU19" i="4" a="1"/>
  <c r="BT19" i="4"/>
  <c r="BT19" i="4" a="1"/>
  <c r="BS19" i="4" a="1"/>
  <c r="BS19" i="4" s="1"/>
  <c r="BR19" i="4" a="1"/>
  <c r="BR19" i="4" s="1"/>
  <c r="BQ19" i="4" a="1"/>
  <c r="BQ19" i="4" s="1"/>
  <c r="BP19" i="4"/>
  <c r="BP19" i="4" a="1"/>
  <c r="BO19" i="4"/>
  <c r="BO19" i="4" a="1"/>
  <c r="BN19" i="4" a="1"/>
  <c r="BN19" i="4" s="1"/>
  <c r="BM19" i="4"/>
  <c r="BM19" i="4" a="1"/>
  <c r="BL19" i="4" a="1"/>
  <c r="BL19" i="4" s="1"/>
  <c r="BK19" i="4"/>
  <c r="BK19" i="4" a="1"/>
  <c r="BJ19" i="4" a="1"/>
  <c r="BJ19" i="4" s="1"/>
  <c r="BI19" i="4"/>
  <c r="BI19" i="4" a="1"/>
  <c r="BH19" i="4"/>
  <c r="BH19" i="4" a="1"/>
  <c r="BG19" i="4" a="1"/>
  <c r="BG19" i="4" s="1"/>
  <c r="BF19" i="4" a="1"/>
  <c r="BF19" i="4" s="1"/>
  <c r="BE19" i="4" a="1"/>
  <c r="BE19" i="4" s="1"/>
  <c r="BD19" i="4" a="1"/>
  <c r="BD19" i="4" s="1"/>
  <c r="BC19" i="4"/>
  <c r="BC19" i="4" a="1"/>
  <c r="BB19" i="4"/>
  <c r="BB19" i="4" a="1"/>
  <c r="BA19" i="4" a="1"/>
  <c r="BA19" i="4" s="1"/>
  <c r="AZ19" i="4" a="1"/>
  <c r="AZ19" i="4" s="1"/>
  <c r="AY19" i="4" a="1"/>
  <c r="AY19" i="4" s="1"/>
  <c r="AX19" i="4"/>
  <c r="AX19" i="4" a="1"/>
  <c r="AW19" i="4"/>
  <c r="AW19" i="4" a="1"/>
  <c r="AV19" i="4" a="1"/>
  <c r="AV19" i="4" s="1"/>
  <c r="AU19" i="4"/>
  <c r="AU19" i="4" a="1"/>
  <c r="AT19" i="4"/>
  <c r="AT19" i="4" a="1"/>
  <c r="AS19" i="4" a="1"/>
  <c r="AS19" i="4" s="1"/>
  <c r="AR19" i="4" a="1"/>
  <c r="AR19" i="4" s="1"/>
  <c r="AQ19" i="4" a="1"/>
  <c r="AQ19" i="4" s="1"/>
  <c r="AP19" i="4" a="1"/>
  <c r="AP19" i="4" s="1"/>
  <c r="AO19" i="4"/>
  <c r="AO19" i="4" a="1"/>
  <c r="AN19" i="4" a="1"/>
  <c r="AN19" i="4" s="1"/>
  <c r="AM19" i="4" a="1"/>
  <c r="AM19" i="4" s="1"/>
  <c r="AL19" i="4"/>
  <c r="AL19" i="4" a="1"/>
  <c r="AK19" i="4"/>
  <c r="AK19" i="4" a="1"/>
  <c r="AJ19" i="4"/>
  <c r="AJ19" i="4" a="1"/>
  <c r="AI19" i="4"/>
  <c r="AI19" i="4" a="1"/>
  <c r="AH19" i="4" a="1"/>
  <c r="AH19" i="4" s="1"/>
  <c r="AG19" i="4" a="1"/>
  <c r="AG19" i="4" s="1"/>
  <c r="AF19" i="4"/>
  <c r="AF19" i="4" a="1"/>
  <c r="AE19" i="4" a="1"/>
  <c r="AE19" i="4" s="1"/>
  <c r="AD19" i="4" a="1"/>
  <c r="AD19" i="4" s="1"/>
  <c r="AC19" i="4"/>
  <c r="AC19" i="4" a="1"/>
  <c r="AB19" i="4" a="1"/>
  <c r="AB19" i="4" s="1"/>
  <c r="AA19" i="4" a="1"/>
  <c r="AA19" i="4" s="1"/>
  <c r="Z19" i="4"/>
  <c r="Z19" i="4" a="1"/>
  <c r="Y19" i="4"/>
  <c r="Y19" i="4" a="1"/>
  <c r="X19" i="4"/>
  <c r="X19" i="4" a="1"/>
  <c r="W19" i="4"/>
  <c r="W19" i="4" a="1"/>
  <c r="V19" i="4"/>
  <c r="V19" i="4" a="1"/>
  <c r="U19" i="4" a="1"/>
  <c r="U19" i="4" s="1"/>
  <c r="T19" i="4" a="1"/>
  <c r="T19" i="4" s="1"/>
  <c r="S19" i="4" a="1"/>
  <c r="S19" i="4" s="1"/>
  <c r="R19" i="4"/>
  <c r="R19" i="4" a="1"/>
  <c r="Q19" i="4"/>
  <c r="Q19" i="4" a="1"/>
  <c r="P19" i="4" a="1"/>
  <c r="P19" i="4" s="1"/>
  <c r="O19" i="4" a="1"/>
  <c r="O19" i="4" s="1"/>
  <c r="N19" i="4" a="1"/>
  <c r="N19" i="4" s="1"/>
  <c r="M19" i="4" a="1"/>
  <c r="M19" i="4" s="1"/>
  <c r="L19" i="4"/>
  <c r="L19" i="4" a="1"/>
  <c r="K19" i="4"/>
  <c r="K19" i="4" a="1"/>
  <c r="J19" i="4"/>
  <c r="J19" i="4" a="1"/>
  <c r="I19" i="4" a="1"/>
  <c r="I19" i="4" s="1"/>
  <c r="H19" i="4"/>
  <c r="H19" i="4" a="1"/>
  <c r="G19" i="4" a="1"/>
  <c r="G19" i="4" s="1"/>
  <c r="F19" i="4" a="1"/>
  <c r="F19" i="4" s="1"/>
  <c r="E19" i="4"/>
  <c r="E19" i="4" a="1"/>
  <c r="D19" i="4" a="1"/>
  <c r="D19" i="4" s="1"/>
  <c r="C19" i="4" a="1"/>
  <c r="C19" i="4" s="1"/>
  <c r="B19" i="4" a="1"/>
  <c r="B19" i="4" s="1"/>
  <c r="MA18" i="4"/>
  <c r="GB18" i="4"/>
  <c r="NB17" i="4"/>
  <c r="NB18" i="4" s="1"/>
  <c r="MS17" i="4"/>
  <c r="MS18" i="4" s="1"/>
  <c r="MN17" i="4"/>
  <c r="MN18" i="4" s="1"/>
  <c r="ML17" i="4"/>
  <c r="ML18" i="4" s="1"/>
  <c r="MD17" i="4"/>
  <c r="MD18" i="4" s="1"/>
  <c r="MA17" i="4"/>
  <c r="LN17" i="4"/>
  <c r="LN18" i="4" s="1"/>
  <c r="LM17" i="4"/>
  <c r="LM18" i="4" s="1"/>
  <c r="LL17" i="4"/>
  <c r="LL18" i="4" s="1"/>
  <c r="KU17" i="4"/>
  <c r="KU18" i="4" s="1"/>
  <c r="KK17" i="4"/>
  <c r="KK18" i="4" s="1"/>
  <c r="KF17" i="4"/>
  <c r="KF18" i="4" s="1"/>
  <c r="JF17" i="4"/>
  <c r="JF18" i="4" s="1"/>
  <c r="JD17" i="4"/>
  <c r="JD18" i="4" s="1"/>
  <c r="IL17" i="4"/>
  <c r="IL18" i="4" s="1"/>
  <c r="IC17" i="4"/>
  <c r="IC18" i="4" s="1"/>
  <c r="HL17" i="4"/>
  <c r="HL18" i="4" s="1"/>
  <c r="GZ17" i="4"/>
  <c r="GZ18" i="4" s="1"/>
  <c r="GY17" i="4"/>
  <c r="GY18" i="4" s="1"/>
  <c r="GB17" i="4"/>
  <c r="GA17" i="4"/>
  <c r="GA18" i="4" s="1"/>
  <c r="FV17" i="4"/>
  <c r="FV18" i="4" s="1"/>
  <c r="FA17" i="4"/>
  <c r="FA18" i="4" s="1"/>
  <c r="EX17" i="4"/>
  <c r="EX18" i="4" s="1"/>
  <c r="EL17" i="4"/>
  <c r="EL18" i="4" s="1"/>
  <c r="EC17" i="4"/>
  <c r="EC18" i="4" s="1"/>
  <c r="DH17" i="4"/>
  <c r="DH18" i="4" s="1"/>
  <c r="DD17" i="4"/>
  <c r="DD18" i="4" s="1"/>
  <c r="BU17" i="4"/>
  <c r="BU18" i="4" s="1"/>
  <c r="BP17" i="4"/>
  <c r="BP18" i="4" s="1"/>
  <c r="BO17" i="4"/>
  <c r="BO18" i="4" s="1"/>
  <c r="BK17" i="4"/>
  <c r="BK18" i="4" s="1"/>
  <c r="AP17" i="4"/>
  <c r="AP18" i="4" s="1"/>
  <c r="U17" i="4"/>
  <c r="U18" i="4" s="1"/>
  <c r="T17" i="4"/>
  <c r="T18" i="4" s="1"/>
  <c r="Q17" i="4"/>
  <c r="Q18" i="4" s="1"/>
  <c r="NI16" i="4"/>
  <c r="NI20" i="4" s="1"/>
  <c r="NH16" i="4"/>
  <c r="NH20" i="4" s="1"/>
  <c r="NE16" i="4"/>
  <c r="NE20" i="4" s="1"/>
  <c r="NC16" i="4"/>
  <c r="NC20" i="4" s="1"/>
  <c r="NB16" i="4"/>
  <c r="NB20" i="4" s="1"/>
  <c r="NA16" i="4"/>
  <c r="NA20" i="4" s="1"/>
  <c r="MV16" i="4"/>
  <c r="MV20" i="4" s="1"/>
  <c r="MP16" i="4"/>
  <c r="MP20" i="4" s="1"/>
  <c r="MO16" i="4"/>
  <c r="MO20" i="4" s="1"/>
  <c r="MK16" i="4"/>
  <c r="MK20" i="4" s="1"/>
  <c r="MJ16" i="4"/>
  <c r="MJ20" i="4" s="1"/>
  <c r="MD16" i="4"/>
  <c r="MD20" i="4" s="1"/>
  <c r="MC16" i="4"/>
  <c r="MC20" i="4" s="1"/>
  <c r="MB16" i="4"/>
  <c r="MB20" i="4" s="1"/>
  <c r="LX16" i="4"/>
  <c r="LX20" i="4" s="1"/>
  <c r="LU16" i="4"/>
  <c r="LR16" i="4"/>
  <c r="LQ16" i="4"/>
  <c r="LQ20" i="4" s="1"/>
  <c r="LP16" i="4"/>
  <c r="LP20" i="4" s="1"/>
  <c r="LL16" i="4"/>
  <c r="LL20" i="4" s="1"/>
  <c r="LI16" i="4"/>
  <c r="LI20" i="4" s="1"/>
  <c r="LE16" i="4"/>
  <c r="LE20" i="4" s="1"/>
  <c r="LD16" i="4"/>
  <c r="LD20" i="4" s="1"/>
  <c r="LC16" i="4"/>
  <c r="LC20" i="4" s="1"/>
  <c r="LA16" i="4"/>
  <c r="LA20" i="4" s="1"/>
  <c r="KX16" i="4"/>
  <c r="KX20" i="4" s="1"/>
  <c r="KR16" i="4"/>
  <c r="KR20" i="4" s="1"/>
  <c r="KQ16" i="4"/>
  <c r="KQ20" i="4" s="1"/>
  <c r="KP16" i="4"/>
  <c r="KP20" i="4" s="1"/>
  <c r="KO16" i="4"/>
  <c r="KO20" i="4" s="1"/>
  <c r="KL16" i="4"/>
  <c r="KL20" i="4" s="1"/>
  <c r="KK16" i="4"/>
  <c r="KK20" i="4" s="1"/>
  <c r="JZ16" i="4"/>
  <c r="JZ20" i="4" s="1"/>
  <c r="JY16" i="4"/>
  <c r="JY20" i="4" s="1"/>
  <c r="JW16" i="4"/>
  <c r="JW20" i="4" s="1"/>
  <c r="JT16" i="4"/>
  <c r="JS16" i="4"/>
  <c r="JR16" i="4"/>
  <c r="JR20" i="4" s="1"/>
  <c r="JK16" i="4"/>
  <c r="JK20" i="4" s="1"/>
  <c r="JH16" i="4"/>
  <c r="JH20" i="4" s="1"/>
  <c r="JG16" i="4"/>
  <c r="JG20" i="4" s="1"/>
  <c r="JF16" i="4"/>
  <c r="JF20" i="4" s="1"/>
  <c r="JE16" i="4"/>
  <c r="JE20" i="4" s="1"/>
  <c r="JB16" i="4"/>
  <c r="JB20" i="4" s="1"/>
  <c r="IV16" i="4"/>
  <c r="IV20" i="4" s="1"/>
  <c r="IU16" i="4"/>
  <c r="IU20" i="4" s="1"/>
  <c r="IT16" i="4"/>
  <c r="IT20" i="4" s="1"/>
  <c r="IS16" i="4"/>
  <c r="IS20" i="4" s="1"/>
  <c r="IP16" i="4"/>
  <c r="IP20" i="4" s="1"/>
  <c r="IO16" i="4"/>
  <c r="IO20" i="4" s="1"/>
  <c r="IN16" i="4"/>
  <c r="IN20" i="4" s="1"/>
  <c r="IM16" i="4"/>
  <c r="IM20" i="4" s="1"/>
  <c r="IC16" i="4"/>
  <c r="IC20" i="4" s="1"/>
  <c r="HX16" i="4"/>
  <c r="HX20" i="4" s="1"/>
  <c r="HW16" i="4"/>
  <c r="HW20" i="4" s="1"/>
  <c r="HV16" i="4"/>
  <c r="HV20" i="4" s="1"/>
  <c r="HL16" i="4"/>
  <c r="HL20" i="4" s="1"/>
  <c r="HK16" i="4"/>
  <c r="HK20" i="4" s="1"/>
  <c r="HJ16" i="4"/>
  <c r="HJ20" i="4" s="1"/>
  <c r="HI16" i="4"/>
  <c r="HI20" i="4" s="1"/>
  <c r="GZ16" i="4"/>
  <c r="GY16" i="4"/>
  <c r="GY20" i="4" s="1"/>
  <c r="GX16" i="4"/>
  <c r="GX20" i="4" s="1"/>
  <c r="GW16" i="4"/>
  <c r="GW20" i="4" s="1"/>
  <c r="GT16" i="4"/>
  <c r="GT20" i="4" s="1"/>
  <c r="GS16" i="4"/>
  <c r="GS20" i="4" s="1"/>
  <c r="GR16" i="4"/>
  <c r="GR20" i="4" s="1"/>
  <c r="GQ16" i="4"/>
  <c r="GQ20" i="4" s="1"/>
  <c r="GH16" i="4"/>
  <c r="GH20" i="4" s="1"/>
  <c r="GG16" i="4"/>
  <c r="GG20" i="4" s="1"/>
  <c r="GE16" i="4"/>
  <c r="GE20" i="4" s="1"/>
  <c r="GB16" i="4"/>
  <c r="GB20" i="4" s="1"/>
  <c r="GA16" i="4"/>
  <c r="GA20" i="4" s="1"/>
  <c r="FZ16" i="4"/>
  <c r="FZ20" i="4" s="1"/>
  <c r="FP16" i="4"/>
  <c r="FP20" i="4" s="1"/>
  <c r="FO16" i="4"/>
  <c r="FO20" i="4" s="1"/>
  <c r="FN16" i="4"/>
  <c r="FN20" i="4" s="1"/>
  <c r="FM16" i="4"/>
  <c r="FM17" i="4" s="1"/>
  <c r="FM18" i="4" s="1"/>
  <c r="FJ16" i="4"/>
  <c r="FJ20" i="4" s="1"/>
  <c r="FD16" i="4"/>
  <c r="FD20" i="4" s="1"/>
  <c r="FC16" i="4"/>
  <c r="FB16" i="4"/>
  <c r="FA16" i="4"/>
  <c r="FA20" i="4" s="1"/>
  <c r="EX16" i="4"/>
  <c r="EX20" i="4" s="1"/>
  <c r="EW16" i="4"/>
  <c r="EW20" i="4" s="1"/>
  <c r="EV16" i="4"/>
  <c r="EV20" i="4" s="1"/>
  <c r="EU16" i="4"/>
  <c r="EU20" i="4" s="1"/>
  <c r="EL16" i="4"/>
  <c r="EL20" i="4" s="1"/>
  <c r="EK16" i="4"/>
  <c r="EK20" i="4" s="1"/>
  <c r="EI16" i="4"/>
  <c r="EI20" i="4" s="1"/>
  <c r="EF16" i="4"/>
  <c r="EE16" i="4"/>
  <c r="EE20" i="4" s="1"/>
  <c r="ED16" i="4"/>
  <c r="ED20" i="4" s="1"/>
  <c r="DT16" i="4"/>
  <c r="DT20" i="4" s="1"/>
  <c r="DS16" i="4"/>
  <c r="DS20" i="4" s="1"/>
  <c r="DR16" i="4"/>
  <c r="DR20" i="4" s="1"/>
  <c r="DQ16" i="4"/>
  <c r="DQ20" i="4" s="1"/>
  <c r="DN16" i="4"/>
  <c r="DN20" i="4" s="1"/>
  <c r="DH16" i="4"/>
  <c r="DH20" i="4" s="1"/>
  <c r="DG16" i="4"/>
  <c r="DG20" i="4" s="1"/>
  <c r="DF16" i="4"/>
  <c r="DF20" i="4" s="1"/>
  <c r="DE16" i="4"/>
  <c r="DE20" i="4" s="1"/>
  <c r="DB16" i="4"/>
  <c r="DB20" i="4" s="1"/>
  <c r="DA16" i="4"/>
  <c r="DA20" i="4" s="1"/>
  <c r="CP16" i="4"/>
  <c r="CP20" i="4" s="1"/>
  <c r="CO16" i="4"/>
  <c r="CO20" i="4" s="1"/>
  <c r="CM16" i="4"/>
  <c r="CM20" i="4" s="1"/>
  <c r="CJ16" i="4"/>
  <c r="CJ20" i="4" s="1"/>
  <c r="CI16" i="4"/>
  <c r="CI20" i="4" s="1"/>
  <c r="CH16" i="4"/>
  <c r="CH20" i="4" s="1"/>
  <c r="CA16" i="4"/>
  <c r="CA20" i="4" s="1"/>
  <c r="BX16" i="4"/>
  <c r="BW16" i="4"/>
  <c r="BW20" i="4" s="1"/>
  <c r="BV16" i="4"/>
  <c r="BV20" i="4" s="1"/>
  <c r="BU16" i="4"/>
  <c r="BU20" i="4" s="1"/>
  <c r="BR16" i="4"/>
  <c r="BR20" i="4" s="1"/>
  <c r="BL16" i="4"/>
  <c r="BK16" i="4"/>
  <c r="BK20" i="4" s="1"/>
  <c r="BJ16" i="4"/>
  <c r="BJ20" i="4" s="1"/>
  <c r="BI16" i="4"/>
  <c r="BI20" i="4" s="1"/>
  <c r="BF16" i="4"/>
  <c r="BF20" i="4" s="1"/>
  <c r="BE16" i="4"/>
  <c r="BD16" i="4"/>
  <c r="BD20" i="4" s="1"/>
  <c r="BC16" i="4"/>
  <c r="BC20" i="4" s="1"/>
  <c r="AS16" i="4"/>
  <c r="AS20" i="4" s="1"/>
  <c r="AN16" i="4"/>
  <c r="AN20" i="4" s="1"/>
  <c r="AM16" i="4"/>
  <c r="AM20" i="4" s="1"/>
  <c r="AL16" i="4"/>
  <c r="AL20" i="4" s="1"/>
  <c r="AB16" i="4"/>
  <c r="AA16" i="4"/>
  <c r="AA20" i="4" s="1"/>
  <c r="Z16" i="4"/>
  <c r="Z20" i="4" s="1"/>
  <c r="Y16" i="4"/>
  <c r="Y20" i="4" s="1"/>
  <c r="P16" i="4"/>
  <c r="P20" i="4" s="1"/>
  <c r="O16" i="4"/>
  <c r="O20" i="4" s="1"/>
  <c r="N16" i="4"/>
  <c r="N20" i="4" s="1"/>
  <c r="M16" i="4"/>
  <c r="M20" i="4" s="1"/>
  <c r="J16" i="4"/>
  <c r="J20" i="4" s="1"/>
  <c r="I16" i="4"/>
  <c r="I20" i="4" s="1"/>
  <c r="H16" i="4"/>
  <c r="H20" i="4" s="1"/>
  <c r="G16" i="4"/>
  <c r="G20" i="4" s="1"/>
  <c r="NI14" i="4"/>
  <c r="NI17" i="4" s="1"/>
  <c r="NI18" i="4" s="1"/>
  <c r="NH14" i="4"/>
  <c r="NG14" i="4"/>
  <c r="NF14" i="4"/>
  <c r="NE14" i="4"/>
  <c r="ND14" i="4"/>
  <c r="NC14" i="4"/>
  <c r="NB14" i="4"/>
  <c r="NA14" i="4"/>
  <c r="MZ14" i="4"/>
  <c r="MY14" i="4"/>
  <c r="MY16" i="4" s="1"/>
  <c r="MY20" i="4" s="1"/>
  <c r="MX14" i="4"/>
  <c r="MW14" i="4"/>
  <c r="MW16" i="4" s="1"/>
  <c r="MV14" i="4"/>
  <c r="MU14" i="4"/>
  <c r="MU16" i="4" s="1"/>
  <c r="MU20" i="4" s="1"/>
  <c r="MT14" i="4"/>
  <c r="MS14" i="4"/>
  <c r="MS16" i="4" s="1"/>
  <c r="MS20" i="4" s="1"/>
  <c r="MR14" i="4"/>
  <c r="MQ14" i="4"/>
  <c r="MP14" i="4"/>
  <c r="MP17" i="4" s="1"/>
  <c r="MP18" i="4" s="1"/>
  <c r="MO14" i="4"/>
  <c r="MN14" i="4"/>
  <c r="MN16" i="4" s="1"/>
  <c r="MN20" i="4" s="1"/>
  <c r="MM14" i="4"/>
  <c r="ML14" i="4"/>
  <c r="ML16" i="4" s="1"/>
  <c r="ML20" i="4" s="1"/>
  <c r="MK14" i="4"/>
  <c r="MJ14" i="4"/>
  <c r="MI14" i="4"/>
  <c r="MH14" i="4"/>
  <c r="MG14" i="4"/>
  <c r="MF14" i="4"/>
  <c r="ME14" i="4"/>
  <c r="MD14" i="4"/>
  <c r="MC14" i="4"/>
  <c r="MB14" i="4"/>
  <c r="MA14" i="4"/>
  <c r="MA16" i="4" s="1"/>
  <c r="MA20" i="4" s="1"/>
  <c r="LZ14" i="4"/>
  <c r="LY14" i="4"/>
  <c r="LX14" i="4"/>
  <c r="LW14" i="4"/>
  <c r="LV14" i="4"/>
  <c r="LU14" i="4"/>
  <c r="LT14" i="4"/>
  <c r="LS14" i="4"/>
  <c r="LR14" i="4"/>
  <c r="LQ14" i="4"/>
  <c r="LP14" i="4"/>
  <c r="LO14" i="4"/>
  <c r="LN14" i="4"/>
  <c r="LN16" i="4" s="1"/>
  <c r="LN20" i="4" s="1"/>
  <c r="LM14" i="4"/>
  <c r="LM16" i="4" s="1"/>
  <c r="LM20" i="4" s="1"/>
  <c r="LL14" i="4"/>
  <c r="LK14" i="4"/>
  <c r="LK16" i="4" s="1"/>
  <c r="LK20" i="4" s="1"/>
  <c r="LJ14" i="4"/>
  <c r="LI14" i="4"/>
  <c r="LH14" i="4"/>
  <c r="LG14" i="4"/>
  <c r="LF14" i="4"/>
  <c r="LF16" i="4" s="1"/>
  <c r="LE14" i="4"/>
  <c r="LD14" i="4"/>
  <c r="LC14" i="4"/>
  <c r="LB14" i="4"/>
  <c r="LB16" i="4" s="1"/>
  <c r="LA14" i="4"/>
  <c r="LA17" i="4" s="1"/>
  <c r="LA18" i="4" s="1"/>
  <c r="KZ14" i="4"/>
  <c r="KY14" i="4"/>
  <c r="KX14" i="4"/>
  <c r="KW14" i="4"/>
  <c r="KW16" i="4" s="1"/>
  <c r="KV14" i="4"/>
  <c r="KU14" i="4"/>
  <c r="KU16" i="4" s="1"/>
  <c r="KU20" i="4" s="1"/>
  <c r="KT14" i="4"/>
  <c r="KT16" i="4" s="1"/>
  <c r="KS14" i="4"/>
  <c r="KR14" i="4"/>
  <c r="KQ14" i="4"/>
  <c r="KP14" i="4"/>
  <c r="KO14" i="4"/>
  <c r="KN14" i="4"/>
  <c r="KN16" i="4" s="1"/>
  <c r="KN20" i="4" s="1"/>
  <c r="KM14" i="4"/>
  <c r="KL14" i="4"/>
  <c r="KK14" i="4"/>
  <c r="KJ14" i="4"/>
  <c r="KJ16" i="4" s="1"/>
  <c r="KJ20" i="4" s="1"/>
  <c r="KI14" i="4"/>
  <c r="KH14" i="4"/>
  <c r="KH16" i="4" s="1"/>
  <c r="KG14" i="4"/>
  <c r="KF14" i="4"/>
  <c r="KF16" i="4" s="1"/>
  <c r="KF20" i="4" s="1"/>
  <c r="KE14" i="4"/>
  <c r="KE16" i="4" s="1"/>
  <c r="KE20" i="4" s="1"/>
  <c r="KD14" i="4"/>
  <c r="KC14" i="4"/>
  <c r="KB14" i="4"/>
  <c r="KA14" i="4"/>
  <c r="JZ14" i="4"/>
  <c r="JY14" i="4"/>
  <c r="JX14" i="4"/>
  <c r="JW14" i="4"/>
  <c r="JV14" i="4"/>
  <c r="JV16" i="4" s="1"/>
  <c r="JV20" i="4" s="1"/>
  <c r="JU14" i="4"/>
  <c r="JT14" i="4"/>
  <c r="JS14" i="4"/>
  <c r="JR14" i="4"/>
  <c r="JQ14" i="4"/>
  <c r="JP14" i="4"/>
  <c r="JO14" i="4"/>
  <c r="JO16" i="4" s="1"/>
  <c r="JO20" i="4" s="1"/>
  <c r="JN14" i="4"/>
  <c r="JM14" i="4"/>
  <c r="JM16" i="4" s="1"/>
  <c r="JM17" i="4" s="1"/>
  <c r="JM18" i="4" s="1"/>
  <c r="JL14" i="4"/>
  <c r="JK14" i="4"/>
  <c r="JJ14" i="4"/>
  <c r="JJ16" i="4" s="1"/>
  <c r="JI14" i="4"/>
  <c r="JH14" i="4"/>
  <c r="JG14" i="4"/>
  <c r="JF14" i="4"/>
  <c r="JE14" i="4"/>
  <c r="JD14" i="4"/>
  <c r="JD16" i="4" s="1"/>
  <c r="JD20" i="4" s="1"/>
  <c r="JC14" i="4"/>
  <c r="JC16" i="4" s="1"/>
  <c r="JC20" i="4" s="1"/>
  <c r="JB14" i="4"/>
  <c r="JA14" i="4"/>
  <c r="IZ14" i="4"/>
  <c r="IY14" i="4"/>
  <c r="IX14" i="4"/>
  <c r="IX16" i="4" s="1"/>
  <c r="IW14" i="4"/>
  <c r="IV14" i="4"/>
  <c r="IV17" i="4" s="1"/>
  <c r="IV18" i="4" s="1"/>
  <c r="IU14" i="4"/>
  <c r="IU17" i="4" s="1"/>
  <c r="IU18" i="4" s="1"/>
  <c r="IT14" i="4"/>
  <c r="IT17" i="4" s="1"/>
  <c r="IT18" i="4" s="1"/>
  <c r="IS14" i="4"/>
  <c r="IS17" i="4" s="1"/>
  <c r="IS18" i="4" s="1"/>
  <c r="IR14" i="4"/>
  <c r="IQ14" i="4"/>
  <c r="IP14" i="4"/>
  <c r="IO14" i="4"/>
  <c r="IN14" i="4"/>
  <c r="IM14" i="4"/>
  <c r="IL14" i="4"/>
  <c r="IL16" i="4" s="1"/>
  <c r="IL20" i="4" s="1"/>
  <c r="IK14" i="4"/>
  <c r="IJ14" i="4"/>
  <c r="II14" i="4"/>
  <c r="II16" i="4" s="1"/>
  <c r="IH14" i="4"/>
  <c r="IG14" i="4"/>
  <c r="IF14" i="4"/>
  <c r="IF16" i="4" s="1"/>
  <c r="IF20" i="4" s="1"/>
  <c r="IE14" i="4"/>
  <c r="ID14" i="4"/>
  <c r="ID16" i="4" s="1"/>
  <c r="IC14" i="4"/>
  <c r="IB14" i="4"/>
  <c r="IA14" i="4"/>
  <c r="HZ14" i="4"/>
  <c r="HZ16" i="4" s="1"/>
  <c r="HZ20" i="4" s="1"/>
  <c r="HY14" i="4"/>
  <c r="HX14" i="4"/>
  <c r="HW14" i="4"/>
  <c r="HV14" i="4"/>
  <c r="HU14" i="4"/>
  <c r="HT14" i="4"/>
  <c r="HT16" i="4" s="1"/>
  <c r="HT20" i="4" s="1"/>
  <c r="HS14" i="4"/>
  <c r="HR14" i="4"/>
  <c r="HQ14" i="4"/>
  <c r="HP14" i="4"/>
  <c r="HO14" i="4"/>
  <c r="HO16" i="4" s="1"/>
  <c r="HO20" i="4" s="1"/>
  <c r="HN14" i="4"/>
  <c r="HN16" i="4" s="1"/>
  <c r="HM14" i="4"/>
  <c r="HL14" i="4"/>
  <c r="HK14" i="4"/>
  <c r="HJ14" i="4"/>
  <c r="HI14" i="4"/>
  <c r="HH14" i="4"/>
  <c r="HG14" i="4"/>
  <c r="HF14" i="4"/>
  <c r="HE14" i="4"/>
  <c r="HE16" i="4" s="1"/>
  <c r="HE20" i="4" s="1"/>
  <c r="HD14" i="4"/>
  <c r="HC14" i="4"/>
  <c r="HB14" i="4"/>
  <c r="HB16" i="4" s="1"/>
  <c r="HA14" i="4"/>
  <c r="GZ14" i="4"/>
  <c r="GY14" i="4"/>
  <c r="GX14" i="4"/>
  <c r="GW14" i="4"/>
  <c r="GV14" i="4"/>
  <c r="GU14" i="4"/>
  <c r="GT14" i="4"/>
  <c r="GS14" i="4"/>
  <c r="GR14" i="4"/>
  <c r="GQ14" i="4"/>
  <c r="GP14" i="4"/>
  <c r="GP16" i="4" s="1"/>
  <c r="GO14" i="4"/>
  <c r="GO16" i="4" s="1"/>
  <c r="GN14" i="4"/>
  <c r="GM14" i="4"/>
  <c r="GL14" i="4"/>
  <c r="GK14" i="4"/>
  <c r="GK16" i="4" s="1"/>
  <c r="GJ14" i="4"/>
  <c r="GI14" i="4"/>
  <c r="GI16" i="4" s="1"/>
  <c r="GI20" i="4" s="1"/>
  <c r="GH14" i="4"/>
  <c r="GG14" i="4"/>
  <c r="GF14" i="4"/>
  <c r="GE14" i="4"/>
  <c r="GD14" i="4"/>
  <c r="GD16" i="4" s="1"/>
  <c r="GC14" i="4"/>
  <c r="GC16" i="4" s="1"/>
  <c r="GB14" i="4"/>
  <c r="GA14" i="4"/>
  <c r="FZ14" i="4"/>
  <c r="FY14" i="4"/>
  <c r="FX14" i="4"/>
  <c r="FW14" i="4"/>
  <c r="FV14" i="4"/>
  <c r="FV16" i="4" s="1"/>
  <c r="FV20" i="4" s="1"/>
  <c r="FU14" i="4"/>
  <c r="FT14" i="4"/>
  <c r="FS14" i="4"/>
  <c r="FR14" i="4"/>
  <c r="FQ14" i="4"/>
  <c r="FP14" i="4"/>
  <c r="FO14" i="4"/>
  <c r="FN14" i="4"/>
  <c r="FM14" i="4"/>
  <c r="FL14" i="4"/>
  <c r="FK14" i="4"/>
  <c r="FJ14" i="4"/>
  <c r="FI14" i="4"/>
  <c r="FH14" i="4"/>
  <c r="FG14" i="4"/>
  <c r="FF14" i="4"/>
  <c r="FF16" i="4" s="1"/>
  <c r="FE14" i="4"/>
  <c r="FE16" i="4" s="1"/>
  <c r="FE20" i="4" s="1"/>
  <c r="FD14" i="4"/>
  <c r="FC14" i="4"/>
  <c r="FB14" i="4"/>
  <c r="FA14" i="4"/>
  <c r="EZ14" i="4"/>
  <c r="EY14" i="4"/>
  <c r="EX14" i="4"/>
  <c r="EW14" i="4"/>
  <c r="EV14" i="4"/>
  <c r="EU14" i="4"/>
  <c r="ET14" i="4"/>
  <c r="ET16" i="4" s="1"/>
  <c r="ES14" i="4"/>
  <c r="ES16" i="4" s="1"/>
  <c r="ER14" i="4"/>
  <c r="ER16" i="4" s="1"/>
  <c r="ER20" i="4" s="1"/>
  <c r="EQ14" i="4"/>
  <c r="EQ16" i="4" s="1"/>
  <c r="EP14" i="4"/>
  <c r="EO14" i="4"/>
  <c r="EN14" i="4"/>
  <c r="EM14" i="4"/>
  <c r="EL14" i="4"/>
  <c r="EK14" i="4"/>
  <c r="EJ14" i="4"/>
  <c r="EI14" i="4"/>
  <c r="EH14" i="4"/>
  <c r="EH16" i="4" s="1"/>
  <c r="EH20" i="4" s="1"/>
  <c r="EG14" i="4"/>
  <c r="EG16" i="4" s="1"/>
  <c r="EF14" i="4"/>
  <c r="EE14" i="4"/>
  <c r="ED14" i="4"/>
  <c r="EC14" i="4"/>
  <c r="EC16" i="4" s="1"/>
  <c r="EC20" i="4" s="1"/>
  <c r="EB14" i="4"/>
  <c r="EA14" i="4"/>
  <c r="EA16" i="4" s="1"/>
  <c r="EA20" i="4" s="1"/>
  <c r="DZ14" i="4"/>
  <c r="DY14" i="4"/>
  <c r="DX14" i="4"/>
  <c r="DW14" i="4"/>
  <c r="DV14" i="4"/>
  <c r="DV16" i="4" s="1"/>
  <c r="DU14" i="4"/>
  <c r="DU16" i="4" s="1"/>
  <c r="DT14" i="4"/>
  <c r="DS14" i="4"/>
  <c r="DR14" i="4"/>
  <c r="DQ14" i="4"/>
  <c r="DQ17" i="4" s="1"/>
  <c r="DQ18" i="4" s="1"/>
  <c r="DP14" i="4"/>
  <c r="DP16" i="4" s="1"/>
  <c r="DP20" i="4" s="1"/>
  <c r="DO14" i="4"/>
  <c r="DN14" i="4"/>
  <c r="DM14" i="4"/>
  <c r="DL14" i="4"/>
  <c r="DK14" i="4"/>
  <c r="DJ14" i="4"/>
  <c r="DJ16" i="4" s="1"/>
  <c r="DJ20" i="4" s="1"/>
  <c r="DI14" i="4"/>
  <c r="DI16" i="4" s="1"/>
  <c r="DH14" i="4"/>
  <c r="DG14" i="4"/>
  <c r="DF14" i="4"/>
  <c r="DE14" i="4"/>
  <c r="DD14" i="4"/>
  <c r="DD16" i="4" s="1"/>
  <c r="DD20" i="4" s="1"/>
  <c r="DC14" i="4"/>
  <c r="DC16" i="4" s="1"/>
  <c r="DC20" i="4" s="1"/>
  <c r="DB14" i="4"/>
  <c r="DA14" i="4"/>
  <c r="DA17" i="4" s="1"/>
  <c r="DA18" i="4" s="1"/>
  <c r="CZ14" i="4"/>
  <c r="CZ16" i="4" s="1"/>
  <c r="CZ20" i="4" s="1"/>
  <c r="CY14" i="4"/>
  <c r="CX14" i="4"/>
  <c r="CX16" i="4" s="1"/>
  <c r="CW14" i="4"/>
  <c r="CW16" i="4" s="1"/>
  <c r="CV14" i="4"/>
  <c r="CV16" i="4" s="1"/>
  <c r="CV20" i="4" s="1"/>
  <c r="CU14" i="4"/>
  <c r="CU16" i="4" s="1"/>
  <c r="CT14" i="4"/>
  <c r="CS14" i="4"/>
  <c r="CR14" i="4"/>
  <c r="CR16" i="4" s="1"/>
  <c r="CQ14" i="4"/>
  <c r="CQ16" i="4" s="1"/>
  <c r="CQ20" i="4" s="1"/>
  <c r="CP14" i="4"/>
  <c r="CO14" i="4"/>
  <c r="CN14" i="4"/>
  <c r="CM14" i="4"/>
  <c r="CL14" i="4"/>
  <c r="CL16" i="4" s="1"/>
  <c r="CL20" i="4" s="1"/>
  <c r="CK14" i="4"/>
  <c r="CK16" i="4" s="1"/>
  <c r="CK20" i="4" s="1"/>
  <c r="CJ14" i="4"/>
  <c r="CI14" i="4"/>
  <c r="CH14" i="4"/>
  <c r="CG14" i="4"/>
  <c r="CG16" i="4" s="1"/>
  <c r="CG20" i="4" s="1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T16" i="4" s="1"/>
  <c r="BT20" i="4" s="1"/>
  <c r="BS14" i="4"/>
  <c r="BR14" i="4"/>
  <c r="BQ14" i="4"/>
  <c r="BQ16" i="4" s="1"/>
  <c r="BQ20" i="4" s="1"/>
  <c r="BP14" i="4"/>
  <c r="BP16" i="4" s="1"/>
  <c r="BP20" i="4" s="1"/>
  <c r="BO14" i="4"/>
  <c r="BO16" i="4" s="1"/>
  <c r="BO20" i="4" s="1"/>
  <c r="BN14" i="4"/>
  <c r="BN16" i="4" s="1"/>
  <c r="BN20" i="4" s="1"/>
  <c r="BM14" i="4"/>
  <c r="BM16" i="4" s="1"/>
  <c r="BL14" i="4"/>
  <c r="BK14" i="4"/>
  <c r="BJ14" i="4"/>
  <c r="BI14" i="4"/>
  <c r="BH14" i="4"/>
  <c r="BH16" i="4" s="1"/>
  <c r="BH20" i="4" s="1"/>
  <c r="BG14" i="4"/>
  <c r="BF14" i="4"/>
  <c r="BE14" i="4"/>
  <c r="BD14" i="4"/>
  <c r="BC14" i="4"/>
  <c r="BB14" i="4"/>
  <c r="BB16" i="4" s="1"/>
  <c r="BA14" i="4"/>
  <c r="BA16" i="4" s="1"/>
  <c r="BA20" i="4" s="1"/>
  <c r="AZ14" i="4"/>
  <c r="AY14" i="4"/>
  <c r="AX14" i="4"/>
  <c r="AW14" i="4"/>
  <c r="AW16" i="4" s="1"/>
  <c r="AV14" i="4"/>
  <c r="AU14" i="4"/>
  <c r="AT14" i="4"/>
  <c r="AT16" i="4" s="1"/>
  <c r="AS14" i="4"/>
  <c r="AR14" i="4"/>
  <c r="AQ14" i="4"/>
  <c r="AQ16" i="4" s="1"/>
  <c r="AP14" i="4"/>
  <c r="AP16" i="4" s="1"/>
  <c r="AP20" i="4" s="1"/>
  <c r="AO14" i="4"/>
  <c r="AO16" i="4" s="1"/>
  <c r="AO20" i="4" s="1"/>
  <c r="AN14" i="4"/>
  <c r="AM14" i="4"/>
  <c r="AL14" i="4"/>
  <c r="AK14" i="4"/>
  <c r="AJ14" i="4"/>
  <c r="AJ16" i="4" s="1"/>
  <c r="AJ20" i="4" s="1"/>
  <c r="AI14" i="4"/>
  <c r="AH14" i="4"/>
  <c r="AG14" i="4"/>
  <c r="AF14" i="4"/>
  <c r="AE14" i="4"/>
  <c r="AE16" i="4" s="1"/>
  <c r="AE20" i="4" s="1"/>
  <c r="AD14" i="4"/>
  <c r="AD16" i="4" s="1"/>
  <c r="AC14" i="4"/>
  <c r="AC16" i="4" s="1"/>
  <c r="AC20" i="4" s="1"/>
  <c r="AB14" i="4"/>
  <c r="AA14" i="4"/>
  <c r="Z14" i="4"/>
  <c r="Y14" i="4"/>
  <c r="X14" i="4"/>
  <c r="W14" i="4"/>
  <c r="V14" i="4"/>
  <c r="U14" i="4"/>
  <c r="U16" i="4" s="1"/>
  <c r="U20" i="4" s="1"/>
  <c r="T14" i="4"/>
  <c r="T16" i="4" s="1"/>
  <c r="T20" i="4" s="1"/>
  <c r="S14" i="4"/>
  <c r="R14" i="4"/>
  <c r="R16" i="4" s="1"/>
  <c r="Q14" i="4"/>
  <c r="Q16" i="4" s="1"/>
  <c r="Q20" i="4" s="1"/>
  <c r="P14" i="4"/>
  <c r="P17" i="4" s="1"/>
  <c r="P18" i="4" s="1"/>
  <c r="O14" i="4"/>
  <c r="O17" i="4" s="1"/>
  <c r="O18" i="4" s="1"/>
  <c r="N14" i="4"/>
  <c r="M14" i="4"/>
  <c r="M17" i="4" s="1"/>
  <c r="M18" i="4" s="1"/>
  <c r="L14" i="4"/>
  <c r="K14" i="4"/>
  <c r="J14" i="4"/>
  <c r="I14" i="4"/>
  <c r="H14" i="4"/>
  <c r="G14" i="4"/>
  <c r="G17" i="4" s="1"/>
  <c r="G18" i="4" s="1"/>
  <c r="F14" i="4"/>
  <c r="F16" i="4" s="1"/>
  <c r="F20" i="4" s="1"/>
  <c r="E14" i="4"/>
  <c r="E16" i="4" s="1"/>
  <c r="D14" i="4"/>
  <c r="D16" i="4" s="1"/>
  <c r="C14" i="4"/>
  <c r="C16" i="4" s="1"/>
  <c r="B14" i="4"/>
  <c r="X49" i="1"/>
  <c r="W46" i="1"/>
  <c r="W43" i="1"/>
  <c r="V43" i="1"/>
  <c r="W42" i="1"/>
  <c r="V42" i="1"/>
  <c r="X28" i="1" a="1"/>
  <c r="X28" i="1" s="1"/>
  <c r="W25" i="1"/>
  <c r="W23" i="1"/>
  <c r="W18" i="1"/>
  <c r="Y14" i="1"/>
  <c r="X14" i="1"/>
  <c r="X11" i="1"/>
  <c r="W11" i="1"/>
  <c r="Y3" i="1"/>
  <c r="X7" i="1"/>
  <c r="W3" i="1"/>
  <c r="S3" i="1" a="1"/>
  <c r="S3" i="1" s="1"/>
  <c r="S4" i="1" a="1"/>
  <c r="S4" i="1" s="1"/>
  <c r="S5" i="1" a="1"/>
  <c r="S5" i="1" s="1"/>
  <c r="S6" i="1" a="1"/>
  <c r="S6" i="1" s="1"/>
  <c r="S7" i="1" a="1"/>
  <c r="S7" i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/>
  <c r="S39" i="1" a="1"/>
  <c r="S39" i="1" s="1"/>
  <c r="S40" i="1" a="1"/>
  <c r="S40" i="1" s="1"/>
  <c r="S41" i="1" a="1"/>
  <c r="S41" i="1" s="1"/>
  <c r="S42" i="1" a="1"/>
  <c r="S42" i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/>
  <c r="S195" i="1" a="1"/>
  <c r="S195" i="1" s="1"/>
  <c r="S196" i="1" a="1"/>
  <c r="S196" i="1" s="1"/>
  <c r="S197" i="1" a="1"/>
  <c r="S197" i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/>
  <c r="S255" i="1" a="1"/>
  <c r="S255" i="1" s="1"/>
  <c r="S256" i="1" a="1"/>
  <c r="S256" i="1" s="1"/>
  <c r="S257" i="1" a="1"/>
  <c r="S257" i="1" s="1"/>
  <c r="S258" i="1" a="1"/>
  <c r="S258" i="1" s="1"/>
  <c r="S259" i="1" a="1"/>
  <c r="S259" i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/>
  <c r="S267" i="1" a="1"/>
  <c r="S267" i="1" s="1"/>
  <c r="S268" i="1" a="1"/>
  <c r="S268" i="1" s="1"/>
  <c r="S269" i="1" a="1"/>
  <c r="S269" i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/>
  <c r="S327" i="1" a="1"/>
  <c r="S327" i="1" s="1"/>
  <c r="S328" i="1" a="1"/>
  <c r="S328" i="1" s="1"/>
  <c r="S329" i="1" a="1"/>
  <c r="S329" i="1" s="1"/>
  <c r="S330" i="1" a="1"/>
  <c r="S330" i="1" s="1"/>
  <c r="S331" i="1" a="1"/>
  <c r="S331" i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/>
  <c r="S356" i="1" a="1"/>
  <c r="S356" i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2" i="1" a="1"/>
  <c r="S2" i="1" s="1"/>
  <c r="N3" i="1"/>
  <c r="P3" i="1" s="1"/>
  <c r="T3" i="1" s="1"/>
  <c r="N4" i="1"/>
  <c r="P4" i="1" s="1"/>
  <c r="T4" i="1" s="1"/>
  <c r="N5" i="1"/>
  <c r="P5" i="1" s="1"/>
  <c r="T5" i="1" s="1"/>
  <c r="N6" i="1"/>
  <c r="P6" i="1" s="1"/>
  <c r="N7" i="1"/>
  <c r="P7" i="1" s="1"/>
  <c r="N8" i="1"/>
  <c r="P8" i="1" s="1"/>
  <c r="T8" i="1" s="1"/>
  <c r="N9" i="1"/>
  <c r="P9" i="1" s="1"/>
  <c r="T9" i="1" s="1"/>
  <c r="N10" i="1"/>
  <c r="P10" i="1" s="1"/>
  <c r="N11" i="1"/>
  <c r="N12" i="1"/>
  <c r="P12" i="1" s="1"/>
  <c r="N13" i="1"/>
  <c r="P13" i="1" s="1"/>
  <c r="N14" i="1"/>
  <c r="P14" i="1" s="1"/>
  <c r="N15" i="1"/>
  <c r="P15" i="1" s="1"/>
  <c r="Q15" i="1" s="1"/>
  <c r="R15" i="1" s="1"/>
  <c r="N16" i="1"/>
  <c r="P16" i="1" s="1"/>
  <c r="Q16" i="1" s="1"/>
  <c r="R16" i="1" s="1"/>
  <c r="N17" i="1"/>
  <c r="P17" i="1" s="1"/>
  <c r="N18" i="1"/>
  <c r="P18" i="1" s="1"/>
  <c r="N19" i="1"/>
  <c r="P19" i="1" s="1"/>
  <c r="T19" i="1" s="1"/>
  <c r="N20" i="1"/>
  <c r="P20" i="1" s="1"/>
  <c r="T20" i="1" s="1"/>
  <c r="N21" i="1"/>
  <c r="P21" i="1" s="1"/>
  <c r="N22" i="1"/>
  <c r="P22" i="1" s="1"/>
  <c r="T22" i="1" s="1"/>
  <c r="N23" i="1"/>
  <c r="N24" i="1"/>
  <c r="P24" i="1" s="1"/>
  <c r="T24" i="1" s="1"/>
  <c r="N25" i="1"/>
  <c r="P25" i="1" s="1"/>
  <c r="T25" i="1" s="1"/>
  <c r="N26" i="1"/>
  <c r="P26" i="1" s="1"/>
  <c r="N27" i="1"/>
  <c r="P27" i="1" s="1"/>
  <c r="N28" i="1"/>
  <c r="P28" i="1" s="1"/>
  <c r="Q28" i="1" s="1"/>
  <c r="R28" i="1" s="1"/>
  <c r="N29" i="1"/>
  <c r="P29" i="1" s="1"/>
  <c r="Q29" i="1" s="1"/>
  <c r="R29" i="1" s="1"/>
  <c r="N30" i="1"/>
  <c r="P30" i="1" s="1"/>
  <c r="N31" i="1"/>
  <c r="P31" i="1" s="1"/>
  <c r="Q31" i="1" s="1"/>
  <c r="R31" i="1" s="1"/>
  <c r="N32" i="1"/>
  <c r="P32" i="1" s="1"/>
  <c r="T32" i="1" s="1"/>
  <c r="N33" i="1"/>
  <c r="P33" i="1" s="1"/>
  <c r="T33" i="1" s="1"/>
  <c r="N34" i="1"/>
  <c r="P34" i="1" s="1"/>
  <c r="N35" i="1"/>
  <c r="P35" i="1" s="1"/>
  <c r="Q35" i="1" s="1"/>
  <c r="R35" i="1" s="1"/>
  <c r="N36" i="1"/>
  <c r="P36" i="1" s="1"/>
  <c r="N37" i="1"/>
  <c r="P37" i="1" s="1"/>
  <c r="N38" i="1"/>
  <c r="P38" i="1" s="1"/>
  <c r="N39" i="1"/>
  <c r="P39" i="1" s="1"/>
  <c r="T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Q45" i="1" s="1"/>
  <c r="R45" i="1" s="1"/>
  <c r="N46" i="1"/>
  <c r="P46" i="1" s="1"/>
  <c r="Q46" i="1" s="1"/>
  <c r="R46" i="1" s="1"/>
  <c r="N47" i="1"/>
  <c r="P47" i="1" s="1"/>
  <c r="T47" i="1" s="1"/>
  <c r="N48" i="1"/>
  <c r="P48" i="1" s="1"/>
  <c r="T48" i="1" s="1"/>
  <c r="N49" i="1"/>
  <c r="P49" i="1" s="1"/>
  <c r="N50" i="1"/>
  <c r="P50" i="1" s="1"/>
  <c r="N51" i="1"/>
  <c r="P51" i="1" s="1"/>
  <c r="N52" i="1"/>
  <c r="P52" i="1" s="1"/>
  <c r="T52" i="1" s="1"/>
  <c r="N53" i="1"/>
  <c r="P53" i="1" s="1"/>
  <c r="Q53" i="1" s="1"/>
  <c r="R53" i="1" s="1"/>
  <c r="N54" i="1"/>
  <c r="P54" i="1" s="1"/>
  <c r="N55" i="1"/>
  <c r="P55" i="1" s="1"/>
  <c r="N56" i="1"/>
  <c r="P56" i="1" s="1"/>
  <c r="T56" i="1" s="1"/>
  <c r="N57" i="1"/>
  <c r="P57" i="1" s="1"/>
  <c r="T57" i="1" s="1"/>
  <c r="N58" i="1"/>
  <c r="P58" i="1" s="1"/>
  <c r="N59" i="1"/>
  <c r="P59" i="1" s="1"/>
  <c r="Q59" i="1" s="1"/>
  <c r="R59" i="1" s="1"/>
  <c r="N60" i="1"/>
  <c r="P60" i="1" s="1"/>
  <c r="N61" i="1"/>
  <c r="P61" i="1" s="1"/>
  <c r="N62" i="1"/>
  <c r="P62" i="1" s="1"/>
  <c r="T62" i="1" s="1"/>
  <c r="N63" i="1"/>
  <c r="P63" i="1" s="1"/>
  <c r="Q63" i="1" s="1"/>
  <c r="R63" i="1" s="1"/>
  <c r="N64" i="1"/>
  <c r="P64" i="1" s="1"/>
  <c r="N65" i="1"/>
  <c r="P65" i="1" s="1"/>
  <c r="T65" i="1" s="1"/>
  <c r="N66" i="1"/>
  <c r="P66" i="1" s="1"/>
  <c r="N67" i="1"/>
  <c r="P67" i="1" s="1"/>
  <c r="T67" i="1" s="1"/>
  <c r="N68" i="1"/>
  <c r="P68" i="1" s="1"/>
  <c r="Q68" i="1" s="1"/>
  <c r="R68" i="1" s="1"/>
  <c r="N69" i="1"/>
  <c r="P69" i="1" s="1"/>
  <c r="Q69" i="1" s="1"/>
  <c r="R69" i="1" s="1"/>
  <c r="N70" i="1"/>
  <c r="P70" i="1" s="1"/>
  <c r="T70" i="1" s="1"/>
  <c r="N71" i="1"/>
  <c r="N72" i="1"/>
  <c r="P72" i="1" s="1"/>
  <c r="N73" i="1"/>
  <c r="P73" i="1" s="1"/>
  <c r="N74" i="1"/>
  <c r="P74" i="1" s="1"/>
  <c r="N75" i="1"/>
  <c r="P75" i="1" s="1"/>
  <c r="T75" i="1" s="1"/>
  <c r="N76" i="1"/>
  <c r="P76" i="1" s="1"/>
  <c r="Q76" i="1" s="1"/>
  <c r="R76" i="1" s="1"/>
  <c r="N77" i="1"/>
  <c r="P77" i="1" s="1"/>
  <c r="N78" i="1"/>
  <c r="P78" i="1" s="1"/>
  <c r="N79" i="1"/>
  <c r="P79" i="1" s="1"/>
  <c r="N80" i="1"/>
  <c r="P80" i="1" s="1"/>
  <c r="T80" i="1" s="1"/>
  <c r="N81" i="1"/>
  <c r="P81" i="1" s="1"/>
  <c r="N82" i="1"/>
  <c r="P82" i="1" s="1"/>
  <c r="N83" i="1"/>
  <c r="P83" i="1" s="1"/>
  <c r="T83" i="1" s="1"/>
  <c r="N84" i="1"/>
  <c r="P84" i="1" s="1"/>
  <c r="T84" i="1" s="1"/>
  <c r="N85" i="1"/>
  <c r="P85" i="1" s="1"/>
  <c r="Q85" i="1" s="1"/>
  <c r="R85" i="1" s="1"/>
  <c r="N86" i="1"/>
  <c r="P86" i="1" s="1"/>
  <c r="Q86" i="1" s="1"/>
  <c r="R86" i="1" s="1"/>
  <c r="N87" i="1"/>
  <c r="P87" i="1" s="1"/>
  <c r="N88" i="1"/>
  <c r="P88" i="1" s="1"/>
  <c r="T88" i="1" s="1"/>
  <c r="N89" i="1"/>
  <c r="P89" i="1" s="1"/>
  <c r="T89" i="1" s="1"/>
  <c r="N90" i="1"/>
  <c r="P90" i="1" s="1"/>
  <c r="N91" i="1"/>
  <c r="P91" i="1" s="1"/>
  <c r="N92" i="1"/>
  <c r="P92" i="1" s="1"/>
  <c r="N93" i="1"/>
  <c r="P93" i="1" s="1"/>
  <c r="Q93" i="1" s="1"/>
  <c r="R93" i="1" s="1"/>
  <c r="N94" i="1"/>
  <c r="P94" i="1" s="1"/>
  <c r="N95" i="1"/>
  <c r="P95" i="1" s="1"/>
  <c r="T95" i="1" s="1"/>
  <c r="N96" i="1"/>
  <c r="P96" i="1" s="1"/>
  <c r="N97" i="1"/>
  <c r="P97" i="1" s="1"/>
  <c r="N98" i="1"/>
  <c r="P98" i="1" s="1"/>
  <c r="N99" i="1"/>
  <c r="P99" i="1" s="1"/>
  <c r="N100" i="1"/>
  <c r="N101" i="1"/>
  <c r="P101" i="1" s="1"/>
  <c r="Q101" i="1" s="1"/>
  <c r="R101" i="1" s="1"/>
  <c r="N102" i="1"/>
  <c r="P102" i="1" s="1"/>
  <c r="N103" i="1"/>
  <c r="P103" i="1" s="1"/>
  <c r="Q103" i="1" s="1"/>
  <c r="R103" i="1" s="1"/>
  <c r="N104" i="1"/>
  <c r="P104" i="1" s="1"/>
  <c r="T104" i="1" s="1"/>
  <c r="N105" i="1"/>
  <c r="P105" i="1" s="1"/>
  <c r="T105" i="1" s="1"/>
  <c r="N106" i="1"/>
  <c r="P106" i="1" s="1"/>
  <c r="N107" i="1"/>
  <c r="P107" i="1" s="1"/>
  <c r="Q107" i="1" s="1"/>
  <c r="R107" i="1" s="1"/>
  <c r="N108" i="1"/>
  <c r="P108" i="1" s="1"/>
  <c r="T108" i="1" s="1"/>
  <c r="N109" i="1"/>
  <c r="N110" i="1"/>
  <c r="P110" i="1" s="1"/>
  <c r="Q110" i="1" s="1"/>
  <c r="R110" i="1" s="1"/>
  <c r="N111" i="1"/>
  <c r="P111" i="1" s="1"/>
  <c r="Q111" i="1" s="1"/>
  <c r="R111" i="1" s="1"/>
  <c r="N112" i="1"/>
  <c r="P112" i="1" s="1"/>
  <c r="N113" i="1"/>
  <c r="P113" i="1" s="1"/>
  <c r="Q113" i="1" s="1"/>
  <c r="R113" i="1" s="1"/>
  <c r="N114" i="1"/>
  <c r="P114" i="1" s="1"/>
  <c r="N115" i="1"/>
  <c r="P115" i="1" s="1"/>
  <c r="T115" i="1" s="1"/>
  <c r="N116" i="1"/>
  <c r="P116" i="1" s="1"/>
  <c r="Q116" i="1" s="1"/>
  <c r="R116" i="1" s="1"/>
  <c r="N117" i="1"/>
  <c r="P117" i="1" s="1"/>
  <c r="T117" i="1" s="1"/>
  <c r="N118" i="1"/>
  <c r="P118" i="1" s="1"/>
  <c r="N119" i="1"/>
  <c r="P119" i="1" s="1"/>
  <c r="T119" i="1" s="1"/>
  <c r="N120" i="1"/>
  <c r="P120" i="1" s="1"/>
  <c r="N121" i="1"/>
  <c r="P121" i="1" s="1"/>
  <c r="N122" i="1"/>
  <c r="P122" i="1" s="1"/>
  <c r="N123" i="1"/>
  <c r="P123" i="1" s="1"/>
  <c r="T123" i="1" s="1"/>
  <c r="N124" i="1"/>
  <c r="P124" i="1" s="1"/>
  <c r="T124" i="1" s="1"/>
  <c r="N125" i="1"/>
  <c r="P125" i="1" s="1"/>
  <c r="T125" i="1" s="1"/>
  <c r="N126" i="1"/>
  <c r="P126" i="1" s="1"/>
  <c r="N127" i="1"/>
  <c r="P127" i="1" s="1"/>
  <c r="Q127" i="1" s="1"/>
  <c r="R127" i="1" s="1"/>
  <c r="N128" i="1"/>
  <c r="P128" i="1" s="1"/>
  <c r="Q128" i="1" s="1"/>
  <c r="R128" i="1" s="1"/>
  <c r="N129" i="1"/>
  <c r="P129" i="1" s="1"/>
  <c r="N130" i="1"/>
  <c r="P130" i="1" s="1"/>
  <c r="Q130" i="1" s="1"/>
  <c r="R130" i="1" s="1"/>
  <c r="N131" i="1"/>
  <c r="P131" i="1" s="1"/>
  <c r="T131" i="1" s="1"/>
  <c r="N132" i="1"/>
  <c r="P132" i="1" s="1"/>
  <c r="Q132" i="1" s="1"/>
  <c r="R132" i="1" s="1"/>
  <c r="N133" i="1"/>
  <c r="P133" i="1" s="1"/>
  <c r="N134" i="1"/>
  <c r="P134" i="1" s="1"/>
  <c r="Q134" i="1" s="1"/>
  <c r="R134" i="1" s="1"/>
  <c r="N135" i="1"/>
  <c r="P135" i="1" s="1"/>
  <c r="Q135" i="1" s="1"/>
  <c r="R135" i="1" s="1"/>
  <c r="N136" i="1"/>
  <c r="P136" i="1" s="1"/>
  <c r="T136" i="1" s="1"/>
  <c r="N137" i="1"/>
  <c r="P137" i="1" s="1"/>
  <c r="N138" i="1"/>
  <c r="P138" i="1" s="1"/>
  <c r="N139" i="1"/>
  <c r="P139" i="1" s="1"/>
  <c r="N140" i="1"/>
  <c r="P140" i="1" s="1"/>
  <c r="T140" i="1" s="1"/>
  <c r="N141" i="1"/>
  <c r="P141" i="1" s="1"/>
  <c r="T141" i="1" s="1"/>
  <c r="N142" i="1"/>
  <c r="P142" i="1" s="1"/>
  <c r="N143" i="1"/>
  <c r="P143" i="1" s="1"/>
  <c r="N144" i="1"/>
  <c r="P144" i="1" s="1"/>
  <c r="N145" i="1"/>
  <c r="P145" i="1" s="1"/>
  <c r="T145" i="1" s="1"/>
  <c r="N146" i="1"/>
  <c r="P146" i="1" s="1"/>
  <c r="N147" i="1"/>
  <c r="P147" i="1" s="1"/>
  <c r="N148" i="1"/>
  <c r="P148" i="1" s="1"/>
  <c r="T148" i="1" s="1"/>
  <c r="N149" i="1"/>
  <c r="P149" i="1" s="1"/>
  <c r="Q149" i="1" s="1"/>
  <c r="R149" i="1" s="1"/>
  <c r="N150" i="1"/>
  <c r="P150" i="1" s="1"/>
  <c r="N151" i="1"/>
  <c r="N152" i="1"/>
  <c r="P152" i="1" s="1"/>
  <c r="T152" i="1" s="1"/>
  <c r="N153" i="1"/>
  <c r="P153" i="1" s="1"/>
  <c r="Q153" i="1" s="1"/>
  <c r="R153" i="1" s="1"/>
  <c r="N154" i="1"/>
  <c r="P154" i="1" s="1"/>
  <c r="Q154" i="1" s="1"/>
  <c r="R154" i="1" s="1"/>
  <c r="N155" i="1"/>
  <c r="P155" i="1" s="1"/>
  <c r="N156" i="1"/>
  <c r="P156" i="1" s="1"/>
  <c r="N157" i="1"/>
  <c r="P157" i="1" s="1"/>
  <c r="N158" i="1"/>
  <c r="P158" i="1" s="1"/>
  <c r="N159" i="1"/>
  <c r="P159" i="1" s="1"/>
  <c r="Q159" i="1" s="1"/>
  <c r="R159" i="1" s="1"/>
  <c r="N160" i="1"/>
  <c r="P160" i="1" s="1"/>
  <c r="Q160" i="1" s="1"/>
  <c r="R160" i="1" s="1"/>
  <c r="N161" i="1"/>
  <c r="P161" i="1" s="1"/>
  <c r="T161" i="1" s="1"/>
  <c r="N162" i="1"/>
  <c r="P162" i="1" s="1"/>
  <c r="N163" i="1"/>
  <c r="P163" i="1" s="1"/>
  <c r="Q163" i="1" s="1"/>
  <c r="R163" i="1" s="1"/>
  <c r="N164" i="1"/>
  <c r="P164" i="1" s="1"/>
  <c r="N165" i="1"/>
  <c r="P165" i="1" s="1"/>
  <c r="Q165" i="1" s="1"/>
  <c r="R165" i="1" s="1"/>
  <c r="N166" i="1"/>
  <c r="P166" i="1" s="1"/>
  <c r="T166" i="1" s="1"/>
  <c r="N167" i="1"/>
  <c r="P167" i="1" s="1"/>
  <c r="Q167" i="1" s="1"/>
  <c r="R167" i="1" s="1"/>
  <c r="N168" i="1"/>
  <c r="P168" i="1" s="1"/>
  <c r="T168" i="1" s="1"/>
  <c r="N169" i="1"/>
  <c r="P169" i="1" s="1"/>
  <c r="T169" i="1" s="1"/>
  <c r="N170" i="1"/>
  <c r="P170" i="1" s="1"/>
  <c r="N171" i="1"/>
  <c r="P171" i="1" s="1"/>
  <c r="T171" i="1" s="1"/>
  <c r="N172" i="1"/>
  <c r="P172" i="1" s="1"/>
  <c r="Q172" i="1" s="1"/>
  <c r="R172" i="1" s="1"/>
  <c r="N173" i="1"/>
  <c r="P173" i="1" s="1"/>
  <c r="N174" i="1"/>
  <c r="P174" i="1" s="1"/>
  <c r="N175" i="1"/>
  <c r="P175" i="1" s="1"/>
  <c r="T175" i="1" s="1"/>
  <c r="N176" i="1"/>
  <c r="P176" i="1" s="1"/>
  <c r="T176" i="1" s="1"/>
  <c r="N177" i="1"/>
  <c r="P177" i="1" s="1"/>
  <c r="Q177" i="1" s="1"/>
  <c r="R177" i="1" s="1"/>
  <c r="N178" i="1"/>
  <c r="P178" i="1" s="1"/>
  <c r="Q178" i="1" s="1"/>
  <c r="R178" i="1" s="1"/>
  <c r="N179" i="1"/>
  <c r="P179" i="1" s="1"/>
  <c r="N180" i="1"/>
  <c r="P180" i="1" s="1"/>
  <c r="N181" i="1"/>
  <c r="P181" i="1" s="1"/>
  <c r="N182" i="1"/>
  <c r="P182" i="1" s="1"/>
  <c r="Q182" i="1" s="1"/>
  <c r="R182" i="1" s="1"/>
  <c r="N183" i="1"/>
  <c r="P183" i="1" s="1"/>
  <c r="T183" i="1" s="1"/>
  <c r="N184" i="1"/>
  <c r="P184" i="1" s="1"/>
  <c r="T184" i="1" s="1"/>
  <c r="N185" i="1"/>
  <c r="P185" i="1" s="1"/>
  <c r="Q185" i="1" s="1"/>
  <c r="R185" i="1" s="1"/>
  <c r="N186" i="1"/>
  <c r="P186" i="1" s="1"/>
  <c r="N187" i="1"/>
  <c r="P187" i="1" s="1"/>
  <c r="T187" i="1" s="1"/>
  <c r="N188" i="1"/>
  <c r="P188" i="1" s="1"/>
  <c r="Q188" i="1" s="1"/>
  <c r="R188" i="1" s="1"/>
  <c r="N189" i="1"/>
  <c r="P189" i="1" s="1"/>
  <c r="Q189" i="1" s="1"/>
  <c r="R189" i="1" s="1"/>
  <c r="N190" i="1"/>
  <c r="P190" i="1" s="1"/>
  <c r="T190" i="1" s="1"/>
  <c r="N191" i="1"/>
  <c r="P191" i="1" s="1"/>
  <c r="N192" i="1"/>
  <c r="P192" i="1" s="1"/>
  <c r="N193" i="1"/>
  <c r="N194" i="1"/>
  <c r="P194" i="1" s="1"/>
  <c r="N195" i="1"/>
  <c r="N196" i="1"/>
  <c r="P196" i="1" s="1"/>
  <c r="T196" i="1" s="1"/>
  <c r="N197" i="1"/>
  <c r="P197" i="1" s="1"/>
  <c r="Q197" i="1" s="1"/>
  <c r="R197" i="1" s="1"/>
  <c r="N198" i="1"/>
  <c r="P198" i="1" s="1"/>
  <c r="N199" i="1"/>
  <c r="P199" i="1" s="1"/>
  <c r="N200" i="1"/>
  <c r="P200" i="1" s="1"/>
  <c r="Q200" i="1" s="1"/>
  <c r="R200" i="1" s="1"/>
  <c r="N201" i="1"/>
  <c r="P201" i="1" s="1"/>
  <c r="Q201" i="1" s="1"/>
  <c r="R201" i="1" s="1"/>
  <c r="N202" i="1"/>
  <c r="P202" i="1" s="1"/>
  <c r="Q202" i="1" s="1"/>
  <c r="R202" i="1" s="1"/>
  <c r="N203" i="1"/>
  <c r="P203" i="1" s="1"/>
  <c r="Q203" i="1" s="1"/>
  <c r="R203" i="1" s="1"/>
  <c r="N204" i="1"/>
  <c r="P204" i="1" s="1"/>
  <c r="N205" i="1"/>
  <c r="P205" i="1" s="1"/>
  <c r="N206" i="1"/>
  <c r="P206" i="1" s="1"/>
  <c r="N207" i="1"/>
  <c r="P207" i="1" s="1"/>
  <c r="T207" i="1" s="1"/>
  <c r="N208" i="1"/>
  <c r="N209" i="1"/>
  <c r="P209" i="1" s="1"/>
  <c r="T209" i="1" s="1"/>
  <c r="N210" i="1"/>
  <c r="P210" i="1" s="1"/>
  <c r="N211" i="1"/>
  <c r="P211" i="1" s="1"/>
  <c r="T211" i="1" s="1"/>
  <c r="N212" i="1"/>
  <c r="P212" i="1" s="1"/>
  <c r="Q212" i="1" s="1"/>
  <c r="R212" i="1" s="1"/>
  <c r="N213" i="1"/>
  <c r="P213" i="1" s="1"/>
  <c r="T213" i="1" s="1"/>
  <c r="N214" i="1"/>
  <c r="P214" i="1" s="1"/>
  <c r="N215" i="1"/>
  <c r="P215" i="1" s="1"/>
  <c r="T215" i="1" s="1"/>
  <c r="N216" i="1"/>
  <c r="P216" i="1" s="1"/>
  <c r="N217" i="1"/>
  <c r="P217" i="1" s="1"/>
  <c r="N218" i="1"/>
  <c r="P218" i="1" s="1"/>
  <c r="N219" i="1"/>
  <c r="P219" i="1" s="1"/>
  <c r="T219" i="1" s="1"/>
  <c r="N220" i="1"/>
  <c r="P220" i="1" s="1"/>
  <c r="N221" i="1"/>
  <c r="P221" i="1" s="1"/>
  <c r="N222" i="1"/>
  <c r="P222" i="1" s="1"/>
  <c r="N223" i="1"/>
  <c r="P223" i="1" s="1"/>
  <c r="N224" i="1"/>
  <c r="P224" i="1" s="1"/>
  <c r="T224" i="1" s="1"/>
  <c r="N225" i="1"/>
  <c r="P225" i="1" s="1"/>
  <c r="N226" i="1"/>
  <c r="P226" i="1" s="1"/>
  <c r="N227" i="1"/>
  <c r="N228" i="1"/>
  <c r="P228" i="1" s="1"/>
  <c r="T228" i="1" s="1"/>
  <c r="N229" i="1"/>
  <c r="N230" i="1"/>
  <c r="P230" i="1" s="1"/>
  <c r="N231" i="1"/>
  <c r="P231" i="1" s="1"/>
  <c r="T231" i="1" s="1"/>
  <c r="N232" i="1"/>
  <c r="P232" i="1" s="1"/>
  <c r="N233" i="1"/>
  <c r="P233" i="1" s="1"/>
  <c r="T233" i="1" s="1"/>
  <c r="N234" i="1"/>
  <c r="P234" i="1" s="1"/>
  <c r="N235" i="1"/>
  <c r="P235" i="1" s="1"/>
  <c r="T235" i="1" s="1"/>
  <c r="N236" i="1"/>
  <c r="P236" i="1" s="1"/>
  <c r="T236" i="1" s="1"/>
  <c r="N237" i="1"/>
  <c r="P237" i="1" s="1"/>
  <c r="T237" i="1" s="1"/>
  <c r="N238" i="1"/>
  <c r="P238" i="1" s="1"/>
  <c r="N239" i="1"/>
  <c r="P239" i="1" s="1"/>
  <c r="Q239" i="1" s="1"/>
  <c r="R239" i="1" s="1"/>
  <c r="N240" i="1"/>
  <c r="P240" i="1" s="1"/>
  <c r="N241" i="1"/>
  <c r="P241" i="1" s="1"/>
  <c r="Q241" i="1" s="1"/>
  <c r="R241" i="1" s="1"/>
  <c r="N242" i="1"/>
  <c r="P242" i="1" s="1"/>
  <c r="N243" i="1"/>
  <c r="P243" i="1" s="1"/>
  <c r="T243" i="1" s="1"/>
  <c r="N244" i="1"/>
  <c r="P244" i="1" s="1"/>
  <c r="Q244" i="1" s="1"/>
  <c r="R244" i="1" s="1"/>
  <c r="N245" i="1"/>
  <c r="P245" i="1" s="1"/>
  <c r="N246" i="1"/>
  <c r="P246" i="1" s="1"/>
  <c r="N247" i="1"/>
  <c r="N248" i="1"/>
  <c r="P248" i="1" s="1"/>
  <c r="Q248" i="1" s="1"/>
  <c r="R248" i="1" s="1"/>
  <c r="N249" i="1"/>
  <c r="P249" i="1" s="1"/>
  <c r="T249" i="1" s="1"/>
  <c r="N250" i="1"/>
  <c r="P250" i="1" s="1"/>
  <c r="T250" i="1" s="1"/>
  <c r="N251" i="1"/>
  <c r="P251" i="1" s="1"/>
  <c r="Q251" i="1" s="1"/>
  <c r="R251" i="1" s="1"/>
  <c r="N252" i="1"/>
  <c r="P252" i="1" s="1"/>
  <c r="T252" i="1" s="1"/>
  <c r="N253" i="1"/>
  <c r="P253" i="1" s="1"/>
  <c r="N254" i="1"/>
  <c r="P254" i="1" s="1"/>
  <c r="N255" i="1"/>
  <c r="P255" i="1" s="1"/>
  <c r="Q255" i="1" s="1"/>
  <c r="R255" i="1" s="1"/>
  <c r="N256" i="1"/>
  <c r="P256" i="1" s="1"/>
  <c r="T256" i="1" s="1"/>
  <c r="N257" i="1"/>
  <c r="P257" i="1" s="1"/>
  <c r="T257" i="1" s="1"/>
  <c r="N258" i="1"/>
  <c r="P258" i="1" s="1"/>
  <c r="N259" i="1"/>
  <c r="P259" i="1" s="1"/>
  <c r="N260" i="1"/>
  <c r="P260" i="1" s="1"/>
  <c r="T260" i="1" s="1"/>
  <c r="N261" i="1"/>
  <c r="P261" i="1" s="1"/>
  <c r="T261" i="1" s="1"/>
  <c r="N262" i="1"/>
  <c r="P262" i="1" s="1"/>
  <c r="N263" i="1"/>
  <c r="P263" i="1" s="1"/>
  <c r="Q263" i="1" s="1"/>
  <c r="R263" i="1" s="1"/>
  <c r="N264" i="1"/>
  <c r="P264" i="1" s="1"/>
  <c r="N265" i="1"/>
  <c r="N266" i="1"/>
  <c r="P266" i="1" s="1"/>
  <c r="N267" i="1"/>
  <c r="P267" i="1" s="1"/>
  <c r="T267" i="1" s="1"/>
  <c r="N268" i="1"/>
  <c r="P268" i="1" s="1"/>
  <c r="N269" i="1"/>
  <c r="P269" i="1" s="1"/>
  <c r="N270" i="1"/>
  <c r="P270" i="1" s="1"/>
  <c r="N271" i="1"/>
  <c r="P271" i="1" s="1"/>
  <c r="T271" i="1" s="1"/>
  <c r="N272" i="1"/>
  <c r="P272" i="1" s="1"/>
  <c r="T272" i="1" s="1"/>
  <c r="N273" i="1"/>
  <c r="P273" i="1" s="1"/>
  <c r="Q273" i="1" s="1"/>
  <c r="R273" i="1" s="1"/>
  <c r="N274" i="1"/>
  <c r="P274" i="1" s="1"/>
  <c r="N275" i="1"/>
  <c r="P275" i="1" s="1"/>
  <c r="T275" i="1" s="1"/>
  <c r="N276" i="1"/>
  <c r="P276" i="1" s="1"/>
  <c r="N277" i="1"/>
  <c r="P277" i="1" s="1"/>
  <c r="N278" i="1"/>
  <c r="P278" i="1" s="1"/>
  <c r="N279" i="1"/>
  <c r="P279" i="1" s="1"/>
  <c r="Q279" i="1" s="1"/>
  <c r="R279" i="1" s="1"/>
  <c r="N280" i="1"/>
  <c r="P280" i="1" s="1"/>
  <c r="T280" i="1" s="1"/>
  <c r="N281" i="1"/>
  <c r="P281" i="1" s="1"/>
  <c r="T281" i="1" s="1"/>
  <c r="N282" i="1"/>
  <c r="P282" i="1" s="1"/>
  <c r="T282" i="1" s="1"/>
  <c r="N283" i="1"/>
  <c r="P283" i="1" s="1"/>
  <c r="T283" i="1" s="1"/>
  <c r="N284" i="1"/>
  <c r="P284" i="1" s="1"/>
  <c r="N285" i="1"/>
  <c r="P285" i="1" s="1"/>
  <c r="T285" i="1" s="1"/>
  <c r="N286" i="1"/>
  <c r="P286" i="1" s="1"/>
  <c r="N287" i="1"/>
  <c r="P287" i="1" s="1"/>
  <c r="T287" i="1" s="1"/>
  <c r="N288" i="1"/>
  <c r="P288" i="1" s="1"/>
  <c r="T288" i="1" s="1"/>
  <c r="N289" i="1"/>
  <c r="P289" i="1" s="1"/>
  <c r="Q289" i="1" s="1"/>
  <c r="R289" i="1" s="1"/>
  <c r="N290" i="1"/>
  <c r="P290" i="1" s="1"/>
  <c r="N291" i="1"/>
  <c r="P291" i="1" s="1"/>
  <c r="T291" i="1" s="1"/>
  <c r="N292" i="1"/>
  <c r="N293" i="1"/>
  <c r="P293" i="1" s="1"/>
  <c r="N294" i="1"/>
  <c r="P294" i="1" s="1"/>
  <c r="T294" i="1" s="1"/>
  <c r="N295" i="1"/>
  <c r="P295" i="1" s="1"/>
  <c r="T295" i="1" s="1"/>
  <c r="N296" i="1"/>
  <c r="P296" i="1" s="1"/>
  <c r="T296" i="1" s="1"/>
  <c r="N297" i="1"/>
  <c r="P297" i="1" s="1"/>
  <c r="Q297" i="1" s="1"/>
  <c r="R297" i="1" s="1"/>
  <c r="N298" i="1"/>
  <c r="P298" i="1" s="1"/>
  <c r="N299" i="1"/>
  <c r="P299" i="1" s="1"/>
  <c r="Q299" i="1" s="1"/>
  <c r="R299" i="1" s="1"/>
  <c r="N300" i="1"/>
  <c r="P300" i="1" s="1"/>
  <c r="T300" i="1" s="1"/>
  <c r="N301" i="1"/>
  <c r="P301" i="1" s="1"/>
  <c r="N302" i="1"/>
  <c r="P302" i="1" s="1"/>
  <c r="T302" i="1" s="1"/>
  <c r="N303" i="1"/>
  <c r="P303" i="1" s="1"/>
  <c r="T303" i="1" s="1"/>
  <c r="N304" i="1"/>
  <c r="P304" i="1" s="1"/>
  <c r="T304" i="1" s="1"/>
  <c r="N305" i="1"/>
  <c r="N306" i="1"/>
  <c r="P306" i="1" s="1"/>
  <c r="T306" i="1" s="1"/>
  <c r="N307" i="1"/>
  <c r="P307" i="1" s="1"/>
  <c r="Q307" i="1" s="1"/>
  <c r="R307" i="1" s="1"/>
  <c r="N308" i="1"/>
  <c r="P308" i="1" s="1"/>
  <c r="Q308" i="1" s="1"/>
  <c r="R308" i="1" s="1"/>
  <c r="N309" i="1"/>
  <c r="P309" i="1" s="1"/>
  <c r="T309" i="1" s="1"/>
  <c r="N310" i="1"/>
  <c r="P310" i="1" s="1"/>
  <c r="Q310" i="1" s="1"/>
  <c r="R310" i="1" s="1"/>
  <c r="N311" i="1"/>
  <c r="P311" i="1" s="1"/>
  <c r="T311" i="1" s="1"/>
  <c r="N312" i="1"/>
  <c r="P312" i="1" s="1"/>
  <c r="N313" i="1"/>
  <c r="P313" i="1" s="1"/>
  <c r="N314" i="1"/>
  <c r="P314" i="1" s="1"/>
  <c r="N315" i="1"/>
  <c r="P315" i="1" s="1"/>
  <c r="N316" i="1"/>
  <c r="P316" i="1" s="1"/>
  <c r="T316" i="1" s="1"/>
  <c r="N317" i="1"/>
  <c r="N318" i="1"/>
  <c r="N319" i="1"/>
  <c r="P319" i="1" s="1"/>
  <c r="T319" i="1" s="1"/>
  <c r="N320" i="1"/>
  <c r="P320" i="1" s="1"/>
  <c r="T320" i="1" s="1"/>
  <c r="N321" i="1"/>
  <c r="P321" i="1" s="1"/>
  <c r="Q321" i="1" s="1"/>
  <c r="R321" i="1" s="1"/>
  <c r="N322" i="1"/>
  <c r="P322" i="1" s="1"/>
  <c r="T322" i="1" s="1"/>
  <c r="N323" i="1"/>
  <c r="P323" i="1" s="1"/>
  <c r="T323" i="1" s="1"/>
  <c r="N324" i="1"/>
  <c r="P324" i="1" s="1"/>
  <c r="N325" i="1"/>
  <c r="P325" i="1" s="1"/>
  <c r="N326" i="1"/>
  <c r="P326" i="1" s="1"/>
  <c r="N327" i="1"/>
  <c r="P327" i="1" s="1"/>
  <c r="T327" i="1" s="1"/>
  <c r="N328" i="1"/>
  <c r="P328" i="1" s="1"/>
  <c r="N329" i="1"/>
  <c r="P329" i="1" s="1"/>
  <c r="T329" i="1" s="1"/>
  <c r="N330" i="1"/>
  <c r="P330" i="1" s="1"/>
  <c r="N331" i="1"/>
  <c r="P331" i="1" s="1"/>
  <c r="T331" i="1" s="1"/>
  <c r="N332" i="1"/>
  <c r="P332" i="1" s="1"/>
  <c r="T332" i="1" s="1"/>
  <c r="N333" i="1"/>
  <c r="P333" i="1" s="1"/>
  <c r="T333" i="1" s="1"/>
  <c r="N334" i="1"/>
  <c r="P334" i="1" s="1"/>
  <c r="T334" i="1" s="1"/>
  <c r="N335" i="1"/>
  <c r="P335" i="1" s="1"/>
  <c r="T335" i="1" s="1"/>
  <c r="N336" i="1"/>
  <c r="P336" i="1" s="1"/>
  <c r="Q336" i="1" s="1"/>
  <c r="R336" i="1" s="1"/>
  <c r="N337" i="1"/>
  <c r="P337" i="1" s="1"/>
  <c r="N338" i="1"/>
  <c r="P338" i="1" s="1"/>
  <c r="T338" i="1" s="1"/>
  <c r="N339" i="1"/>
  <c r="P339" i="1" s="1"/>
  <c r="Q339" i="1" s="1"/>
  <c r="R339" i="1" s="1"/>
  <c r="N340" i="1"/>
  <c r="P340" i="1" s="1"/>
  <c r="T340" i="1" s="1"/>
  <c r="N341" i="1"/>
  <c r="P341" i="1" s="1"/>
  <c r="T341" i="1" s="1"/>
  <c r="N342" i="1"/>
  <c r="P342" i="1" s="1"/>
  <c r="T342" i="1" s="1"/>
  <c r="N343" i="1"/>
  <c r="P343" i="1" s="1"/>
  <c r="T343" i="1" s="1"/>
  <c r="N344" i="1"/>
  <c r="P344" i="1" s="1"/>
  <c r="T344" i="1" s="1"/>
  <c r="N345" i="1"/>
  <c r="P345" i="1" s="1"/>
  <c r="T345" i="1" s="1"/>
  <c r="N346" i="1"/>
  <c r="P346" i="1" s="1"/>
  <c r="N347" i="1"/>
  <c r="P347" i="1" s="1"/>
  <c r="T347" i="1" s="1"/>
  <c r="N348" i="1"/>
  <c r="P348" i="1" s="1"/>
  <c r="N349" i="1"/>
  <c r="P349" i="1" s="1"/>
  <c r="N350" i="1"/>
  <c r="P350" i="1" s="1"/>
  <c r="N351" i="1"/>
  <c r="P351" i="1" s="1"/>
  <c r="T351" i="1" s="1"/>
  <c r="N352" i="1"/>
  <c r="P352" i="1" s="1"/>
  <c r="N353" i="1"/>
  <c r="P353" i="1" s="1"/>
  <c r="T353" i="1" s="1"/>
  <c r="N354" i="1"/>
  <c r="P354" i="1" s="1"/>
  <c r="N355" i="1"/>
  <c r="P355" i="1" s="1"/>
  <c r="Q355" i="1" s="1"/>
  <c r="R355" i="1" s="1"/>
  <c r="N356" i="1"/>
  <c r="P356" i="1" s="1"/>
  <c r="Q356" i="1" s="1"/>
  <c r="R356" i="1" s="1"/>
  <c r="N357" i="1"/>
  <c r="P357" i="1" s="1"/>
  <c r="Q357" i="1" s="1"/>
  <c r="R357" i="1" s="1"/>
  <c r="N358" i="1"/>
  <c r="P358" i="1" s="1"/>
  <c r="Q358" i="1" s="1"/>
  <c r="R358" i="1" s="1"/>
  <c r="N359" i="1"/>
  <c r="P359" i="1" s="1"/>
  <c r="N360" i="1"/>
  <c r="P360" i="1" s="1"/>
  <c r="Q360" i="1" s="1"/>
  <c r="R360" i="1" s="1"/>
  <c r="N361" i="1"/>
  <c r="P361" i="1" s="1"/>
  <c r="N362" i="1"/>
  <c r="P362" i="1" s="1"/>
  <c r="N363" i="1"/>
  <c r="P363" i="1" s="1"/>
  <c r="T363" i="1" s="1"/>
  <c r="N364" i="1"/>
  <c r="P364" i="1" s="1"/>
  <c r="Q364" i="1" s="1"/>
  <c r="R364" i="1" s="1"/>
  <c r="N365" i="1"/>
  <c r="P365" i="1" s="1"/>
  <c r="N366" i="1"/>
  <c r="P366" i="1" s="1"/>
  <c r="T366" i="1" s="1"/>
  <c r="N367" i="1"/>
  <c r="N368" i="1"/>
  <c r="N369" i="1"/>
  <c r="P369" i="1" s="1"/>
  <c r="T369" i="1" s="1"/>
  <c r="N370" i="1"/>
  <c r="P370" i="1" s="1"/>
  <c r="N371" i="1"/>
  <c r="P371" i="1" s="1"/>
  <c r="N372" i="1"/>
  <c r="P372" i="1" s="1"/>
  <c r="T372" i="1" s="1"/>
  <c r="N373" i="1"/>
  <c r="P373" i="1" s="1"/>
  <c r="N2" i="1"/>
  <c r="P2" i="1" s="1"/>
  <c r="Q2" i="1" s="1"/>
  <c r="R2" i="1" s="1"/>
  <c r="AQ20" i="4" l="1"/>
  <c r="AQ17" i="4"/>
  <c r="AQ18" i="4" s="1"/>
  <c r="AT20" i="4"/>
  <c r="AT17" i="4"/>
  <c r="AT18" i="4" s="1"/>
  <c r="ID20" i="4"/>
  <c r="ID17" i="4"/>
  <c r="ID18" i="4" s="1"/>
  <c r="DO17" i="4"/>
  <c r="DO18" i="4" s="1"/>
  <c r="AI16" i="4"/>
  <c r="AI20" i="4" s="1"/>
  <c r="W16" i="4"/>
  <c r="W20" i="4" s="1"/>
  <c r="EE17" i="4"/>
  <c r="EE18" i="4" s="1"/>
  <c r="K16" i="4"/>
  <c r="K20" i="4" s="1"/>
  <c r="EM16" i="4"/>
  <c r="EM20" i="4" s="1"/>
  <c r="BX20" i="4"/>
  <c r="BX17" i="4"/>
  <c r="BX18" i="4" s="1"/>
  <c r="KC17" i="4"/>
  <c r="KC18" i="4" s="1"/>
  <c r="FK16" i="4"/>
  <c r="FK20" i="4" s="1"/>
  <c r="C20" i="4"/>
  <c r="C17" i="4"/>
  <c r="C18" i="4" s="1"/>
  <c r="EQ20" i="4"/>
  <c r="EQ17" i="4"/>
  <c r="EQ18" i="4" s="1"/>
  <c r="AB20" i="4"/>
  <c r="AB17" i="4"/>
  <c r="AB18" i="4" s="1"/>
  <c r="JS20" i="4"/>
  <c r="JS17" i="4"/>
  <c r="JS18" i="4" s="1"/>
  <c r="LR20" i="4"/>
  <c r="LR17" i="4"/>
  <c r="LR18" i="4" s="1"/>
  <c r="AC17" i="4"/>
  <c r="AC18" i="4" s="1"/>
  <c r="CI17" i="4"/>
  <c r="CI18" i="4" s="1"/>
  <c r="IE16" i="4"/>
  <c r="IE20" i="4" s="1"/>
  <c r="LW16" i="4"/>
  <c r="LW20" i="4" s="1"/>
  <c r="AW20" i="4"/>
  <c r="AW17" i="4"/>
  <c r="AW18" i="4" s="1"/>
  <c r="GK20" i="4"/>
  <c r="GK17" i="4"/>
  <c r="GK18" i="4" s="1"/>
  <c r="MK17" i="4"/>
  <c r="MK18" i="4" s="1"/>
  <c r="MW20" i="4"/>
  <c r="MW17" i="4"/>
  <c r="MW18" i="4" s="1"/>
  <c r="EF20" i="4"/>
  <c r="EF17" i="4"/>
  <c r="EF18" i="4" s="1"/>
  <c r="CG17" i="4"/>
  <c r="CG18" i="4" s="1"/>
  <c r="HW17" i="4"/>
  <c r="HW18" i="4" s="1"/>
  <c r="LK17" i="4"/>
  <c r="LK18" i="4" s="1"/>
  <c r="CU20" i="4"/>
  <c r="CU17" i="4"/>
  <c r="CU18" i="4" s="1"/>
  <c r="II20" i="4"/>
  <c r="II17" i="4"/>
  <c r="II18" i="4" s="1"/>
  <c r="D20" i="4"/>
  <c r="D17" i="4"/>
  <c r="D18" i="4" s="1"/>
  <c r="AN17" i="4"/>
  <c r="AN18" i="4" s="1"/>
  <c r="FP17" i="4"/>
  <c r="FP18" i="4" s="1"/>
  <c r="JT17" i="4"/>
  <c r="JT18" i="4" s="1"/>
  <c r="JT20" i="4"/>
  <c r="LU20" i="4"/>
  <c r="LU17" i="4"/>
  <c r="LU18" i="4" s="1"/>
  <c r="AO17" i="4"/>
  <c r="AO18" i="4" s="1"/>
  <c r="CK17" i="4"/>
  <c r="CK18" i="4" s="1"/>
  <c r="FE17" i="4"/>
  <c r="FE18" i="4" s="1"/>
  <c r="GU16" i="4"/>
  <c r="GU20" i="4" s="1"/>
  <c r="IQ16" i="4"/>
  <c r="IQ20" i="4" s="1"/>
  <c r="KY17" i="4"/>
  <c r="KY18" i="4" s="1"/>
  <c r="E20" i="4"/>
  <c r="E17" i="4"/>
  <c r="E18" i="4" s="1"/>
  <c r="GO20" i="4"/>
  <c r="GO17" i="4"/>
  <c r="GO18" i="4" s="1"/>
  <c r="DO16" i="4"/>
  <c r="DO20" i="4" s="1"/>
  <c r="CQ17" i="4"/>
  <c r="CQ18" i="4" s="1"/>
  <c r="R20" i="4"/>
  <c r="R17" i="4"/>
  <c r="R18" i="4" s="1"/>
  <c r="AD20" i="4"/>
  <c r="AD17" i="4"/>
  <c r="AD18" i="4" s="1"/>
  <c r="BB20" i="4"/>
  <c r="BB17" i="4"/>
  <c r="BB18" i="4" s="1"/>
  <c r="HB20" i="4"/>
  <c r="HB17" i="4"/>
  <c r="HB18" i="4" s="1"/>
  <c r="JJ20" i="4"/>
  <c r="JJ17" i="4"/>
  <c r="JJ18" i="4" s="1"/>
  <c r="KT20" i="4"/>
  <c r="KT17" i="4"/>
  <c r="KT18" i="4" s="1"/>
  <c r="DC17" i="4"/>
  <c r="DC18" i="4" s="1"/>
  <c r="CM17" i="4"/>
  <c r="CM18" i="4" s="1"/>
  <c r="DW17" i="4"/>
  <c r="DW18" i="4" s="1"/>
  <c r="EU17" i="4"/>
  <c r="EU18" i="4" s="1"/>
  <c r="FS17" i="4"/>
  <c r="FS18" i="4" s="1"/>
  <c r="GQ17" i="4"/>
  <c r="GQ18" i="4" s="1"/>
  <c r="HO17" i="4"/>
  <c r="HO18" i="4" s="1"/>
  <c r="IM17" i="4"/>
  <c r="IM18" i="4" s="1"/>
  <c r="JK17" i="4"/>
  <c r="JK18" i="4" s="1"/>
  <c r="JW17" i="4"/>
  <c r="JW18" i="4" s="1"/>
  <c r="KI17" i="4"/>
  <c r="KI18" i="4" s="1"/>
  <c r="LG16" i="4"/>
  <c r="LG20" i="4" s="1"/>
  <c r="LS16" i="4"/>
  <c r="LS20" i="4" s="1"/>
  <c r="ME17" i="4"/>
  <c r="ME18" i="4" s="1"/>
  <c r="ME16" i="4"/>
  <c r="ME20" i="4" s="1"/>
  <c r="MQ16" i="4"/>
  <c r="MQ20" i="4" s="1"/>
  <c r="FS16" i="4"/>
  <c r="FS20" i="4" s="1"/>
  <c r="BG16" i="4"/>
  <c r="BG20" i="4" s="1"/>
  <c r="CE16" i="4"/>
  <c r="CE20" i="4" s="1"/>
  <c r="EY16" i="4"/>
  <c r="EY20" i="4" s="1"/>
  <c r="HS16" i="4"/>
  <c r="HS20" i="4" s="1"/>
  <c r="KA17" i="4"/>
  <c r="KA18" i="4" s="1"/>
  <c r="KA16" i="4"/>
  <c r="KA20" i="4" s="1"/>
  <c r="MU17" i="4"/>
  <c r="MU18" i="4" s="1"/>
  <c r="DI20" i="4"/>
  <c r="DI17" i="4"/>
  <c r="DI18" i="4" s="1"/>
  <c r="EG20" i="4"/>
  <c r="EG17" i="4"/>
  <c r="EG18" i="4" s="1"/>
  <c r="KY16" i="4"/>
  <c r="KY20" i="4" s="1"/>
  <c r="ET20" i="4"/>
  <c r="ET17" i="4"/>
  <c r="ET18" i="4" s="1"/>
  <c r="GD20" i="4"/>
  <c r="GD17" i="4"/>
  <c r="GD18" i="4" s="1"/>
  <c r="HN20" i="4"/>
  <c r="HN17" i="4"/>
  <c r="HN18" i="4" s="1"/>
  <c r="JC17" i="4"/>
  <c r="JC18" i="4" s="1"/>
  <c r="S17" i="4"/>
  <c r="S18" i="4" s="1"/>
  <c r="S16" i="4"/>
  <c r="S20" i="4" s="1"/>
  <c r="AE17" i="4"/>
  <c r="AE18" i="4" s="1"/>
  <c r="BC17" i="4"/>
  <c r="BC18" i="4" s="1"/>
  <c r="CA17" i="4"/>
  <c r="CA18" i="4" s="1"/>
  <c r="CY17" i="4"/>
  <c r="CY18" i="4" s="1"/>
  <c r="DK16" i="4"/>
  <c r="DK20" i="4" s="1"/>
  <c r="EI17" i="4"/>
  <c r="EI18" i="4" s="1"/>
  <c r="FG16" i="4"/>
  <c r="FG20" i="4" s="1"/>
  <c r="FG17" i="4"/>
  <c r="FG18" i="4" s="1"/>
  <c r="GE17" i="4"/>
  <c r="GE18" i="4" s="1"/>
  <c r="HC17" i="4"/>
  <c r="HC18" i="4" s="1"/>
  <c r="HC16" i="4"/>
  <c r="HC20" i="4" s="1"/>
  <c r="IA17" i="4"/>
  <c r="IA18" i="4" s="1"/>
  <c r="IY16" i="4"/>
  <c r="IY20" i="4" s="1"/>
  <c r="NC17" i="4"/>
  <c r="NC18" i="4" s="1"/>
  <c r="CN16" i="4"/>
  <c r="CN20" i="4" s="1"/>
  <c r="DL16" i="4"/>
  <c r="DL20" i="4" s="1"/>
  <c r="EV17" i="4"/>
  <c r="EV18" i="4" s="1"/>
  <c r="FT16" i="4"/>
  <c r="FT20" i="4" s="1"/>
  <c r="GF16" i="4"/>
  <c r="GF20" i="4" s="1"/>
  <c r="HP16" i="4"/>
  <c r="HP20" i="4" s="1"/>
  <c r="IN17" i="4"/>
  <c r="IN18" i="4" s="1"/>
  <c r="JL17" i="4"/>
  <c r="JL18" i="4" s="1"/>
  <c r="JL16" i="4"/>
  <c r="JL20" i="4" s="1"/>
  <c r="JX16" i="4"/>
  <c r="JX20" i="4" s="1"/>
  <c r="KV16" i="4"/>
  <c r="KV20" i="4" s="1"/>
  <c r="LT17" i="4"/>
  <c r="LT18" i="4" s="1"/>
  <c r="LT16" i="4"/>
  <c r="LT20" i="4" s="1"/>
  <c r="MR16" i="4"/>
  <c r="MR20" i="4" s="1"/>
  <c r="CY16" i="4"/>
  <c r="CY20" i="4" s="1"/>
  <c r="CC17" i="4"/>
  <c r="CC18" i="4" s="1"/>
  <c r="CO17" i="4"/>
  <c r="CO18" i="4" s="1"/>
  <c r="EW17" i="4"/>
  <c r="EW18" i="4" s="1"/>
  <c r="GG17" i="4"/>
  <c r="GG18" i="4" s="1"/>
  <c r="KW20" i="4"/>
  <c r="KW17" i="4"/>
  <c r="KW18" i="4" s="1"/>
  <c r="MI16" i="4"/>
  <c r="MI20" i="4" s="1"/>
  <c r="GI17" i="4"/>
  <c r="GI18" i="4" s="1"/>
  <c r="JO17" i="4"/>
  <c r="JO18" i="4" s="1"/>
  <c r="JM20" i="4"/>
  <c r="AU16" i="4"/>
  <c r="AU20" i="4" s="1"/>
  <c r="AU17" i="4"/>
  <c r="AU18" i="4" s="1"/>
  <c r="FW17" i="4"/>
  <c r="FW18" i="4" s="1"/>
  <c r="FW16" i="4"/>
  <c r="FW20" i="4" s="1"/>
  <c r="KM16" i="4"/>
  <c r="KM20" i="4" s="1"/>
  <c r="NG16" i="4"/>
  <c r="NG20" i="4" s="1"/>
  <c r="NG17" i="4"/>
  <c r="NG18" i="4" s="1"/>
  <c r="HG16" i="4"/>
  <c r="HG20" i="4" s="1"/>
  <c r="BM20" i="4"/>
  <c r="BM17" i="4"/>
  <c r="BM18" i="4" s="1"/>
  <c r="CW20" i="4"/>
  <c r="CW17" i="4"/>
  <c r="CW18" i="4" s="1"/>
  <c r="DU20" i="4"/>
  <c r="DU17" i="4"/>
  <c r="DU18" i="4" s="1"/>
  <c r="ES20" i="4"/>
  <c r="ES17" i="4"/>
  <c r="ES18" i="4" s="1"/>
  <c r="GC20" i="4"/>
  <c r="GC17" i="4"/>
  <c r="GC18" i="4" s="1"/>
  <c r="CX20" i="4"/>
  <c r="CX17" i="4"/>
  <c r="CX18" i="4" s="1"/>
  <c r="DV20" i="4"/>
  <c r="DV17" i="4"/>
  <c r="DV18" i="4" s="1"/>
  <c r="FF20" i="4"/>
  <c r="FF17" i="4"/>
  <c r="FF18" i="4" s="1"/>
  <c r="GP20" i="4"/>
  <c r="GP17" i="4"/>
  <c r="GP18" i="4" s="1"/>
  <c r="IX20" i="4"/>
  <c r="IX17" i="4"/>
  <c r="IX18" i="4" s="1"/>
  <c r="KH20" i="4"/>
  <c r="KH17" i="4"/>
  <c r="KH18" i="4" s="1"/>
  <c r="LF20" i="4"/>
  <c r="LF17" i="4"/>
  <c r="LF18" i="4" s="1"/>
  <c r="LX17" i="4"/>
  <c r="LX18" i="4" s="1"/>
  <c r="H17" i="4"/>
  <c r="H18" i="4" s="1"/>
  <c r="AF16" i="4"/>
  <c r="AF20" i="4" s="1"/>
  <c r="AR17" i="4"/>
  <c r="AR18" i="4" s="1"/>
  <c r="AR16" i="4"/>
  <c r="AR20" i="4" s="1"/>
  <c r="BD17" i="4"/>
  <c r="BD18" i="4" s="1"/>
  <c r="CB16" i="4"/>
  <c r="CB20" i="4" s="1"/>
  <c r="CZ17" i="4"/>
  <c r="CZ18" i="4" s="1"/>
  <c r="DX17" i="4"/>
  <c r="DX18" i="4" s="1"/>
  <c r="DX16" i="4"/>
  <c r="DX20" i="4" s="1"/>
  <c r="EJ16" i="4"/>
  <c r="EJ20" i="4" s="1"/>
  <c r="FH16" i="4"/>
  <c r="FH20" i="4" s="1"/>
  <c r="FH17" i="4"/>
  <c r="FH18" i="4" s="1"/>
  <c r="GR17" i="4"/>
  <c r="GR18" i="4" s="1"/>
  <c r="HD16" i="4"/>
  <c r="HD20" i="4" s="1"/>
  <c r="IB16" i="4"/>
  <c r="IB20" i="4" s="1"/>
  <c r="IZ16" i="4"/>
  <c r="IZ20" i="4" s="1"/>
  <c r="KJ17" i="4"/>
  <c r="KJ18" i="4" s="1"/>
  <c r="MF16" i="4"/>
  <c r="MF20" i="4" s="1"/>
  <c r="ND16" i="4"/>
  <c r="ND20" i="4" s="1"/>
  <c r="BS16" i="4"/>
  <c r="BS20" i="4" s="1"/>
  <c r="IA16" i="4"/>
  <c r="IA20" i="4" s="1"/>
  <c r="KI16" i="4"/>
  <c r="KI20" i="4" s="1"/>
  <c r="BA17" i="4"/>
  <c r="BA18" i="4" s="1"/>
  <c r="J17" i="4"/>
  <c r="J18" i="4" s="1"/>
  <c r="V17" i="4"/>
  <c r="V18" i="4" s="1"/>
  <c r="AH16" i="4"/>
  <c r="AH20" i="4" s="1"/>
  <c r="BF17" i="4"/>
  <c r="BF18" i="4" s="1"/>
  <c r="BR17" i="4"/>
  <c r="BR18" i="4" s="1"/>
  <c r="CD16" i="4"/>
  <c r="CD20" i="4" s="1"/>
  <c r="CP17" i="4"/>
  <c r="CP18" i="4" s="1"/>
  <c r="DB17" i="4"/>
  <c r="DB18" i="4" s="1"/>
  <c r="DN17" i="4"/>
  <c r="DN18" i="4" s="1"/>
  <c r="DZ16" i="4"/>
  <c r="DZ20" i="4" s="1"/>
  <c r="FJ17" i="4"/>
  <c r="FJ18" i="4" s="1"/>
  <c r="GH17" i="4"/>
  <c r="GH18" i="4" s="1"/>
  <c r="GT17" i="4"/>
  <c r="GT18" i="4" s="1"/>
  <c r="HF17" i="4"/>
  <c r="HF18" i="4" s="1"/>
  <c r="HR16" i="4"/>
  <c r="HR20" i="4" s="1"/>
  <c r="IP17" i="4"/>
  <c r="IP18" i="4" s="1"/>
  <c r="JB17" i="4"/>
  <c r="JB18" i="4" s="1"/>
  <c r="JN16" i="4"/>
  <c r="JN20" i="4" s="1"/>
  <c r="JZ17" i="4"/>
  <c r="JZ18" i="4" s="1"/>
  <c r="KL17" i="4"/>
  <c r="KL18" i="4" s="1"/>
  <c r="KX17" i="4"/>
  <c r="KX18" i="4" s="1"/>
  <c r="LJ16" i="4"/>
  <c r="LJ20" i="4" s="1"/>
  <c r="LV16" i="4"/>
  <c r="LV20" i="4" s="1"/>
  <c r="MH16" i="4"/>
  <c r="MH20" i="4" s="1"/>
  <c r="MT16" i="4"/>
  <c r="MT20" i="4" s="1"/>
  <c r="NF16" i="4"/>
  <c r="NF20" i="4" s="1"/>
  <c r="NF17" i="4"/>
  <c r="NF18" i="4" s="1"/>
  <c r="V16" i="4"/>
  <c r="V20" i="4" s="1"/>
  <c r="DW16" i="4"/>
  <c r="DW20" i="4" s="1"/>
  <c r="HF16" i="4"/>
  <c r="HF20" i="4" s="1"/>
  <c r="LH16" i="4"/>
  <c r="LH20" i="4" s="1"/>
  <c r="BN17" i="4"/>
  <c r="BN18" i="4" s="1"/>
  <c r="EA17" i="4"/>
  <c r="EA18" i="4" s="1"/>
  <c r="GW17" i="4"/>
  <c r="GW18" i="4" s="1"/>
  <c r="KE17" i="4"/>
  <c r="KE18" i="4" s="1"/>
  <c r="I17" i="4"/>
  <c r="I18" i="4" s="1"/>
  <c r="AS17" i="4"/>
  <c r="AS18" i="4" s="1"/>
  <c r="BE17" i="4"/>
  <c r="BE18" i="4" s="1"/>
  <c r="DY17" i="4"/>
  <c r="DY18" i="4" s="1"/>
  <c r="EK17" i="4"/>
  <c r="EK18" i="4" s="1"/>
  <c r="GS17" i="4"/>
  <c r="GS18" i="4" s="1"/>
  <c r="HQ17" i="4"/>
  <c r="HQ18" i="4" s="1"/>
  <c r="IO17" i="4"/>
  <c r="IO18" i="4" s="1"/>
  <c r="JA17" i="4"/>
  <c r="JA18" i="4" s="1"/>
  <c r="JY17" i="4"/>
  <c r="JY18" i="4" s="1"/>
  <c r="LI17" i="4"/>
  <c r="LI18" i="4" s="1"/>
  <c r="MG16" i="4"/>
  <c r="MG20" i="4" s="1"/>
  <c r="MG17" i="4"/>
  <c r="MG18" i="4" s="1"/>
  <c r="NE17" i="4"/>
  <c r="NE18" i="4" s="1"/>
  <c r="AA17" i="4"/>
  <c r="AA18" i="4" s="1"/>
  <c r="BQ17" i="4"/>
  <c r="BQ18" i="4" s="1"/>
  <c r="HE17" i="4"/>
  <c r="HE18" i="4" s="1"/>
  <c r="IF17" i="4"/>
  <c r="IF18" i="4" s="1"/>
  <c r="KN17" i="4"/>
  <c r="KN18" i="4" s="1"/>
  <c r="BT17" i="4"/>
  <c r="BT18" i="4" s="1"/>
  <c r="L17" i="4"/>
  <c r="L18" i="4" s="1"/>
  <c r="X17" i="4"/>
  <c r="X18" i="4" s="1"/>
  <c r="CR20" i="4"/>
  <c r="CR17" i="4"/>
  <c r="CR18" i="4" s="1"/>
  <c r="NH17" i="4"/>
  <c r="NH18" i="4" s="1"/>
  <c r="DP17" i="4"/>
  <c r="DP18" i="4" s="1"/>
  <c r="Y17" i="4"/>
  <c r="Y18" i="4" s="1"/>
  <c r="BI17" i="4"/>
  <c r="BI18" i="4" s="1"/>
  <c r="CS17" i="4"/>
  <c r="CS18" i="4" s="1"/>
  <c r="DE17" i="4"/>
  <c r="DE18" i="4" s="1"/>
  <c r="FY17" i="4"/>
  <c r="FY18" i="4" s="1"/>
  <c r="HI17" i="4"/>
  <c r="HI18" i="4" s="1"/>
  <c r="HU17" i="4"/>
  <c r="HU18" i="4" s="1"/>
  <c r="IG17" i="4"/>
  <c r="IG18" i="4" s="1"/>
  <c r="JE17" i="4"/>
  <c r="JE18" i="4" s="1"/>
  <c r="KO17" i="4"/>
  <c r="KO18" i="4" s="1"/>
  <c r="LY16" i="4"/>
  <c r="LY20" i="4" s="1"/>
  <c r="AG16" i="4"/>
  <c r="AG20" i="4" s="1"/>
  <c r="CC16" i="4"/>
  <c r="CC20" i="4" s="1"/>
  <c r="CS16" i="4"/>
  <c r="CS20" i="4" s="1"/>
  <c r="DY16" i="4"/>
  <c r="DY20" i="4" s="1"/>
  <c r="EO16" i="4"/>
  <c r="EO20" i="4" s="1"/>
  <c r="FU16" i="4"/>
  <c r="FU20" i="4" s="1"/>
  <c r="HQ16" i="4"/>
  <c r="HQ20" i="4" s="1"/>
  <c r="IG16" i="4"/>
  <c r="IG20" i="4" s="1"/>
  <c r="KC16" i="4"/>
  <c r="KC20" i="4" s="1"/>
  <c r="CV17" i="4"/>
  <c r="CV18" i="4" s="1"/>
  <c r="ER17" i="4"/>
  <c r="ER18" i="4" s="1"/>
  <c r="MB17" i="4"/>
  <c r="MB18" i="4" s="1"/>
  <c r="B17" i="4"/>
  <c r="B18" i="4" s="1"/>
  <c r="N17" i="4"/>
  <c r="N18" i="4" s="1"/>
  <c r="Z17" i="4"/>
  <c r="Z18" i="4" s="1"/>
  <c r="AL17" i="4"/>
  <c r="AL18" i="4" s="1"/>
  <c r="BJ17" i="4"/>
  <c r="BJ18" i="4" s="1"/>
  <c r="BV17" i="4"/>
  <c r="BV18" i="4" s="1"/>
  <c r="CH17" i="4"/>
  <c r="CH18" i="4" s="1"/>
  <c r="DF17" i="4"/>
  <c r="DF18" i="4" s="1"/>
  <c r="DR17" i="4"/>
  <c r="DR18" i="4" s="1"/>
  <c r="ED17" i="4"/>
  <c r="ED18" i="4" s="1"/>
  <c r="EP17" i="4"/>
  <c r="EP18" i="4" s="1"/>
  <c r="FB17" i="4"/>
  <c r="FB18" i="4" s="1"/>
  <c r="FN17" i="4"/>
  <c r="FN18" i="4" s="1"/>
  <c r="FZ17" i="4"/>
  <c r="FZ18" i="4" s="1"/>
  <c r="GX17" i="4"/>
  <c r="GX18" i="4" s="1"/>
  <c r="HJ17" i="4"/>
  <c r="HJ18" i="4" s="1"/>
  <c r="HV17" i="4"/>
  <c r="HV18" i="4" s="1"/>
  <c r="JR17" i="4"/>
  <c r="JR18" i="4" s="1"/>
  <c r="KP17" i="4"/>
  <c r="KP18" i="4" s="1"/>
  <c r="LZ16" i="4"/>
  <c r="LZ20" i="4" s="1"/>
  <c r="MX16" i="4"/>
  <c r="MX20" i="4" s="1"/>
  <c r="B16" i="4"/>
  <c r="B20" i="4" s="1"/>
  <c r="AX16" i="4"/>
  <c r="AX20" i="4" s="1"/>
  <c r="CT16" i="4"/>
  <c r="CT20" i="4" s="1"/>
  <c r="EP16" i="4"/>
  <c r="EP20" i="4" s="1"/>
  <c r="GL16" i="4"/>
  <c r="GL20" i="4" s="1"/>
  <c r="IH16" i="4"/>
  <c r="IH20" i="4" s="1"/>
  <c r="KD16" i="4"/>
  <c r="KD20" i="4" s="1"/>
  <c r="AK17" i="4"/>
  <c r="AK18" i="4" s="1"/>
  <c r="AM17" i="4"/>
  <c r="AM18" i="4" s="1"/>
  <c r="AY17" i="4"/>
  <c r="AY18" i="4" s="1"/>
  <c r="BW17" i="4"/>
  <c r="BW18" i="4" s="1"/>
  <c r="DG17" i="4"/>
  <c r="DG18" i="4" s="1"/>
  <c r="DS17" i="4"/>
  <c r="DS18" i="4" s="1"/>
  <c r="FC17" i="4"/>
  <c r="FC18" i="4" s="1"/>
  <c r="FO17" i="4"/>
  <c r="FO18" i="4" s="1"/>
  <c r="GM17" i="4"/>
  <c r="GM18" i="4" s="1"/>
  <c r="HK17" i="4"/>
  <c r="HK18" i="4" s="1"/>
  <c r="JG17" i="4"/>
  <c r="JG18" i="4" s="1"/>
  <c r="KQ17" i="4"/>
  <c r="KQ18" i="4" s="1"/>
  <c r="LC17" i="4"/>
  <c r="LC18" i="4" s="1"/>
  <c r="LO17" i="4"/>
  <c r="LO18" i="4" s="1"/>
  <c r="MM17" i="4"/>
  <c r="MM18" i="4" s="1"/>
  <c r="MM16" i="4"/>
  <c r="MM20" i="4" s="1"/>
  <c r="MY17" i="4"/>
  <c r="MY18" i="4" s="1"/>
  <c r="AY16" i="4"/>
  <c r="AY20" i="4" s="1"/>
  <c r="GM16" i="4"/>
  <c r="GM20" i="4" s="1"/>
  <c r="AJ17" i="4"/>
  <c r="AJ18" i="4" s="1"/>
  <c r="LB17" i="4"/>
  <c r="LB18" i="4" s="1"/>
  <c r="BL17" i="4"/>
  <c r="BL18" i="4" s="1"/>
  <c r="CJ17" i="4"/>
  <c r="CJ18" i="4" s="1"/>
  <c r="DT17" i="4"/>
  <c r="DT18" i="4" s="1"/>
  <c r="FD17" i="4"/>
  <c r="FD18" i="4" s="1"/>
  <c r="GN17" i="4"/>
  <c r="GN18" i="4" s="1"/>
  <c r="HX17" i="4"/>
  <c r="HX18" i="4" s="1"/>
  <c r="JH17" i="4"/>
  <c r="JH18" i="4" s="1"/>
  <c r="KR17" i="4"/>
  <c r="KR18" i="4" s="1"/>
  <c r="LD17" i="4"/>
  <c r="LD18" i="4" s="1"/>
  <c r="LP17" i="4"/>
  <c r="LP18" i="4" s="1"/>
  <c r="MZ16" i="4"/>
  <c r="MZ20" i="4" s="1"/>
  <c r="AK16" i="4"/>
  <c r="AK20" i="4" s="1"/>
  <c r="AZ16" i="4"/>
  <c r="AZ20" i="4" s="1"/>
  <c r="DM16" i="4"/>
  <c r="DM20" i="4" s="1"/>
  <c r="FI16" i="4"/>
  <c r="FI20" i="4" s="1"/>
  <c r="FY16" i="4"/>
  <c r="FY20" i="4" s="1"/>
  <c r="GN16" i="4"/>
  <c r="GN20" i="4" s="1"/>
  <c r="HU16" i="4"/>
  <c r="HU20" i="4" s="1"/>
  <c r="IJ16" i="4"/>
  <c r="IJ20" i="4" s="1"/>
  <c r="JA16" i="4"/>
  <c r="JA20" i="4" s="1"/>
  <c r="JQ16" i="4"/>
  <c r="JQ20" i="4" s="1"/>
  <c r="LO16" i="4"/>
  <c r="LO20" i="4" s="1"/>
  <c r="BH17" i="4"/>
  <c r="BH18" i="4" s="1"/>
  <c r="HT17" i="4"/>
  <c r="HT18" i="4" s="1"/>
  <c r="EB17" i="4"/>
  <c r="EB18" i="4" s="1"/>
  <c r="EN17" i="4"/>
  <c r="EN18" i="4" s="1"/>
  <c r="EZ17" i="4"/>
  <c r="EZ18" i="4" s="1"/>
  <c r="MJ17" i="4"/>
  <c r="MJ18" i="4" s="1"/>
  <c r="MV17" i="4"/>
  <c r="MV18" i="4" s="1"/>
  <c r="L16" i="4"/>
  <c r="L20" i="4" s="1"/>
  <c r="X16" i="4"/>
  <c r="X20" i="4" s="1"/>
  <c r="AV16" i="4"/>
  <c r="AV20" i="4" s="1"/>
  <c r="CF16" i="4"/>
  <c r="CF20" i="4" s="1"/>
  <c r="EB16" i="4"/>
  <c r="EB20" i="4" s="1"/>
  <c r="EN16" i="4"/>
  <c r="EN20" i="4" s="1"/>
  <c r="EZ16" i="4"/>
  <c r="EZ20" i="4" s="1"/>
  <c r="FL16" i="4"/>
  <c r="FL20" i="4" s="1"/>
  <c r="FX16" i="4"/>
  <c r="FX20" i="4" s="1"/>
  <c r="GJ16" i="4"/>
  <c r="GJ20" i="4" s="1"/>
  <c r="GV16" i="4"/>
  <c r="GV20" i="4" s="1"/>
  <c r="HH16" i="4"/>
  <c r="HH20" i="4" s="1"/>
  <c r="IR16" i="4"/>
  <c r="IR20" i="4" s="1"/>
  <c r="JP16" i="4"/>
  <c r="JP20" i="4" s="1"/>
  <c r="KB16" i="4"/>
  <c r="KB20" i="4" s="1"/>
  <c r="KZ16" i="4"/>
  <c r="KZ20" i="4" s="1"/>
  <c r="F17" i="4"/>
  <c r="F18" i="4" s="1"/>
  <c r="EH17" i="4"/>
  <c r="EH18" i="4" s="1"/>
  <c r="DJ17" i="4"/>
  <c r="DJ18" i="4" s="1"/>
  <c r="JV17" i="4"/>
  <c r="JV18" i="4" s="1"/>
  <c r="IK17" i="4"/>
  <c r="IK18" i="4" s="1"/>
  <c r="IW17" i="4"/>
  <c r="IW18" i="4" s="1"/>
  <c r="JI17" i="4"/>
  <c r="JI18" i="4" s="1"/>
  <c r="JU17" i="4"/>
  <c r="JU18" i="4" s="1"/>
  <c r="KG17" i="4"/>
  <c r="KG18" i="4" s="1"/>
  <c r="LE17" i="4"/>
  <c r="LE18" i="4" s="1"/>
  <c r="LQ17" i="4"/>
  <c r="LQ18" i="4" s="1"/>
  <c r="MC17" i="4"/>
  <c r="MC18" i="4" s="1"/>
  <c r="MO17" i="4"/>
  <c r="MO18" i="4" s="1"/>
  <c r="NA17" i="4"/>
  <c r="NA18" i="4" s="1"/>
  <c r="BY16" i="4"/>
  <c r="BY20" i="4" s="1"/>
  <c r="FQ16" i="4"/>
  <c r="FQ20" i="4" s="1"/>
  <c r="HA16" i="4"/>
  <c r="HA20" i="4" s="1"/>
  <c r="HM16" i="4"/>
  <c r="HM20" i="4" s="1"/>
  <c r="HY16" i="4"/>
  <c r="HY20" i="4" s="1"/>
  <c r="IK16" i="4"/>
  <c r="IK20" i="4" s="1"/>
  <c r="IW16" i="4"/>
  <c r="IW20" i="4" s="1"/>
  <c r="JI16" i="4"/>
  <c r="JI20" i="4" s="1"/>
  <c r="JU16" i="4"/>
  <c r="JU20" i="4" s="1"/>
  <c r="KG16" i="4"/>
  <c r="KG20" i="4" s="1"/>
  <c r="KS16" i="4"/>
  <c r="KS20" i="4" s="1"/>
  <c r="CL17" i="4"/>
  <c r="CL18" i="4" s="1"/>
  <c r="HZ17" i="4"/>
  <c r="HZ18" i="4" s="1"/>
  <c r="BZ16" i="4"/>
  <c r="BZ20" i="4" s="1"/>
  <c r="FR16" i="4"/>
  <c r="FR20" i="4" s="1"/>
  <c r="Q344" i="1"/>
  <c r="R344" i="1" s="1"/>
  <c r="Q366" i="1"/>
  <c r="R366" i="1" s="1"/>
  <c r="Q152" i="1"/>
  <c r="R152" i="1" s="1"/>
  <c r="T354" i="1"/>
  <c r="Q354" i="1"/>
  <c r="R354" i="1" s="1"/>
  <c r="T191" i="1"/>
  <c r="Q191" i="1"/>
  <c r="R191" i="1" s="1"/>
  <c r="P23" i="1"/>
  <c r="T23" i="1" s="1"/>
  <c r="P71" i="1"/>
  <c r="T71" i="1" s="1"/>
  <c r="Q371" i="1"/>
  <c r="R371" i="1" s="1"/>
  <c r="T371" i="1"/>
  <c r="Q359" i="1"/>
  <c r="R359" i="1" s="1"/>
  <c r="T359" i="1"/>
  <c r="Q179" i="1"/>
  <c r="R179" i="1" s="1"/>
  <c r="T179" i="1"/>
  <c r="Q155" i="1"/>
  <c r="R155" i="1" s="1"/>
  <c r="T155" i="1"/>
  <c r="Q313" i="1"/>
  <c r="R313" i="1" s="1"/>
  <c r="T313" i="1"/>
  <c r="T330" i="1"/>
  <c r="Q330" i="1"/>
  <c r="R330" i="1" s="1"/>
  <c r="Q220" i="1"/>
  <c r="R220" i="1" s="1"/>
  <c r="T220" i="1"/>
  <c r="Q315" i="1"/>
  <c r="R315" i="1" s="1"/>
  <c r="T315" i="1"/>
  <c r="Q99" i="1"/>
  <c r="R99" i="1" s="1"/>
  <c r="T99" i="1"/>
  <c r="Q171" i="1"/>
  <c r="R171" i="1" s="1"/>
  <c r="Q139" i="1"/>
  <c r="R139" i="1" s="1"/>
  <c r="T139" i="1"/>
  <c r="Q145" i="1"/>
  <c r="R145" i="1" s="1"/>
  <c r="Q228" i="1"/>
  <c r="R228" i="1" s="1"/>
  <c r="Q24" i="1"/>
  <c r="R24" i="1" s="1"/>
  <c r="Q319" i="1"/>
  <c r="R319" i="1" s="1"/>
  <c r="Q131" i="1"/>
  <c r="R131" i="1" s="1"/>
  <c r="Q268" i="1"/>
  <c r="R268" i="1" s="1"/>
  <c r="T268" i="1"/>
  <c r="T27" i="1"/>
  <c r="Q27" i="1"/>
  <c r="R27" i="1" s="1"/>
  <c r="Q91" i="1"/>
  <c r="R91" i="1" s="1"/>
  <c r="T91" i="1"/>
  <c r="Q43" i="1"/>
  <c r="R43" i="1" s="1"/>
  <c r="T43" i="1"/>
  <c r="P229" i="1"/>
  <c r="T229" i="1" s="1"/>
  <c r="P109" i="1"/>
  <c r="T109" i="1" s="1"/>
  <c r="Q291" i="1"/>
  <c r="R291" i="1" s="1"/>
  <c r="Q83" i="1"/>
  <c r="R83" i="1" s="1"/>
  <c r="Q40" i="1"/>
  <c r="R40" i="1" s="1"/>
  <c r="T40" i="1"/>
  <c r="Q143" i="1"/>
  <c r="R143" i="1" s="1"/>
  <c r="T143" i="1"/>
  <c r="T266" i="1"/>
  <c r="Q266" i="1"/>
  <c r="R266" i="1" s="1"/>
  <c r="Q288" i="1"/>
  <c r="R288" i="1" s="1"/>
  <c r="Q75" i="1"/>
  <c r="R75" i="1" s="1"/>
  <c r="T2" i="1"/>
  <c r="Q225" i="1"/>
  <c r="R225" i="1" s="1"/>
  <c r="T225" i="1"/>
  <c r="P367" i="1"/>
  <c r="T367" i="1" s="1"/>
  <c r="P227" i="1"/>
  <c r="T227" i="1" s="1"/>
  <c r="P11" i="1"/>
  <c r="T11" i="1" s="1"/>
  <c r="Q281" i="1"/>
  <c r="R281" i="1" s="1"/>
  <c r="Q64" i="1"/>
  <c r="R64" i="1" s="1"/>
  <c r="T64" i="1"/>
  <c r="Q39" i="1"/>
  <c r="R39" i="1" s="1"/>
  <c r="Q343" i="1"/>
  <c r="R343" i="1" s="1"/>
  <c r="Q115" i="1"/>
  <c r="R115" i="1" s="1"/>
  <c r="P247" i="1"/>
  <c r="T247" i="1" s="1"/>
  <c r="P151" i="1"/>
  <c r="T151" i="1" s="1"/>
  <c r="T197" i="1"/>
  <c r="Q267" i="1"/>
  <c r="R267" i="1" s="1"/>
  <c r="P318" i="1"/>
  <c r="T318" i="1" s="1"/>
  <c r="Q269" i="1"/>
  <c r="R269" i="1" s="1"/>
  <c r="T269" i="1"/>
  <c r="Q245" i="1"/>
  <c r="R245" i="1" s="1"/>
  <c r="T245" i="1"/>
  <c r="Q221" i="1"/>
  <c r="R221" i="1" s="1"/>
  <c r="T221" i="1"/>
  <c r="Q41" i="1"/>
  <c r="R41" i="1" s="1"/>
  <c r="T41" i="1"/>
  <c r="P265" i="1"/>
  <c r="T265" i="1" s="1"/>
  <c r="P193" i="1"/>
  <c r="T193" i="1" s="1"/>
  <c r="T172" i="1"/>
  <c r="P368" i="1"/>
  <c r="T368" i="1" s="1"/>
  <c r="Q340" i="1"/>
  <c r="R340" i="1" s="1"/>
  <c r="Q148" i="1"/>
  <c r="R148" i="1" s="1"/>
  <c r="P317" i="1"/>
  <c r="T317" i="1" s="1"/>
  <c r="P305" i="1"/>
  <c r="T305" i="1" s="1"/>
  <c r="Q123" i="1"/>
  <c r="R123" i="1" s="1"/>
  <c r="P292" i="1"/>
  <c r="T292" i="1" s="1"/>
  <c r="P208" i="1"/>
  <c r="T208" i="1" s="1"/>
  <c r="P100" i="1"/>
  <c r="T100" i="1" s="1"/>
  <c r="P195" i="1"/>
  <c r="T195" i="1" s="1"/>
  <c r="T135" i="1"/>
  <c r="Q363" i="1"/>
  <c r="R363" i="1" s="1"/>
  <c r="Q334" i="1"/>
  <c r="R334" i="1" s="1"/>
  <c r="Q316" i="1"/>
  <c r="R316" i="1" s="1"/>
  <c r="Q287" i="1"/>
  <c r="R287" i="1" s="1"/>
  <c r="Q257" i="1"/>
  <c r="R257" i="1" s="1"/>
  <c r="Q219" i="1"/>
  <c r="R219" i="1" s="1"/>
  <c r="Q187" i="1"/>
  <c r="R187" i="1" s="1"/>
  <c r="Q67" i="1"/>
  <c r="R67" i="1" s="1"/>
  <c r="T357" i="1"/>
  <c r="T308" i="1"/>
  <c r="T263" i="1"/>
  <c r="T132" i="1"/>
  <c r="T35" i="1"/>
  <c r="T358" i="1"/>
  <c r="T310" i="1"/>
  <c r="Q333" i="1"/>
  <c r="R333" i="1" s="1"/>
  <c r="Q285" i="1"/>
  <c r="R285" i="1" s="1"/>
  <c r="Q256" i="1"/>
  <c r="R256" i="1" s="1"/>
  <c r="Q213" i="1"/>
  <c r="R213" i="1" s="1"/>
  <c r="Q184" i="1"/>
  <c r="R184" i="1" s="1"/>
  <c r="Q108" i="1"/>
  <c r="R108" i="1" s="1"/>
  <c r="Q65" i="1"/>
  <c r="R65" i="1" s="1"/>
  <c r="Q22" i="1"/>
  <c r="R22" i="1" s="1"/>
  <c r="T356" i="1"/>
  <c r="T307" i="1"/>
  <c r="T255" i="1"/>
  <c r="T203" i="1"/>
  <c r="T167" i="1"/>
  <c r="T128" i="1"/>
  <c r="T76" i="1"/>
  <c r="T31" i="1"/>
  <c r="T93" i="1"/>
  <c r="Q332" i="1"/>
  <c r="R332" i="1" s="1"/>
  <c r="Q311" i="1"/>
  <c r="R311" i="1" s="1"/>
  <c r="Q283" i="1"/>
  <c r="R283" i="1" s="1"/>
  <c r="Q211" i="1"/>
  <c r="R211" i="1" s="1"/>
  <c r="Q183" i="1"/>
  <c r="R183" i="1" s="1"/>
  <c r="Q105" i="1"/>
  <c r="R105" i="1" s="1"/>
  <c r="Q20" i="1"/>
  <c r="R20" i="1" s="1"/>
  <c r="T355" i="1"/>
  <c r="T299" i="1"/>
  <c r="T251" i="1"/>
  <c r="T201" i="1"/>
  <c r="T163" i="1"/>
  <c r="T127" i="1"/>
  <c r="T69" i="1"/>
  <c r="T177" i="1"/>
  <c r="Q331" i="1"/>
  <c r="R331" i="1" s="1"/>
  <c r="Q306" i="1"/>
  <c r="R306" i="1" s="1"/>
  <c r="Q282" i="1"/>
  <c r="R282" i="1" s="1"/>
  <c r="Q249" i="1"/>
  <c r="R249" i="1" s="1"/>
  <c r="Q209" i="1"/>
  <c r="R209" i="1" s="1"/>
  <c r="Q136" i="1"/>
  <c r="R136" i="1" s="1"/>
  <c r="Q104" i="1"/>
  <c r="R104" i="1" s="1"/>
  <c r="Q62" i="1"/>
  <c r="R62" i="1" s="1"/>
  <c r="Q19" i="1"/>
  <c r="R19" i="1" s="1"/>
  <c r="T248" i="1"/>
  <c r="T200" i="1"/>
  <c r="T159" i="1"/>
  <c r="T113" i="1"/>
  <c r="T68" i="1"/>
  <c r="T16" i="1"/>
  <c r="Q353" i="1"/>
  <c r="R353" i="1" s="1"/>
  <c r="Q329" i="1"/>
  <c r="R329" i="1" s="1"/>
  <c r="Q304" i="1"/>
  <c r="R304" i="1" s="1"/>
  <c r="Q280" i="1"/>
  <c r="R280" i="1" s="1"/>
  <c r="Q207" i="1"/>
  <c r="R207" i="1" s="1"/>
  <c r="Q48" i="1"/>
  <c r="R48" i="1" s="1"/>
  <c r="Q8" i="1"/>
  <c r="R8" i="1" s="1"/>
  <c r="T336" i="1"/>
  <c r="T244" i="1"/>
  <c r="T154" i="1"/>
  <c r="T110" i="1"/>
  <c r="T63" i="1"/>
  <c r="Q117" i="1"/>
  <c r="R117" i="1" s="1"/>
  <c r="Q56" i="1"/>
  <c r="R56" i="1" s="1"/>
  <c r="T339" i="1"/>
  <c r="T15" i="1"/>
  <c r="Q372" i="1"/>
  <c r="R372" i="1" s="1"/>
  <c r="Q351" i="1"/>
  <c r="R351" i="1" s="1"/>
  <c r="Q327" i="1"/>
  <c r="R327" i="1" s="1"/>
  <c r="Q303" i="1"/>
  <c r="R303" i="1" s="1"/>
  <c r="Q275" i="1"/>
  <c r="R275" i="1" s="1"/>
  <c r="Q243" i="1"/>
  <c r="R243" i="1" s="1"/>
  <c r="Q166" i="1"/>
  <c r="R166" i="1" s="1"/>
  <c r="Q95" i="1"/>
  <c r="R95" i="1" s="1"/>
  <c r="Q47" i="1"/>
  <c r="R47" i="1" s="1"/>
  <c r="Q5" i="1"/>
  <c r="R5" i="1" s="1"/>
  <c r="T239" i="1"/>
  <c r="T188" i="1"/>
  <c r="T153" i="1"/>
  <c r="T59" i="1"/>
  <c r="T111" i="1"/>
  <c r="Q347" i="1"/>
  <c r="R347" i="1" s="1"/>
  <c r="Q323" i="1"/>
  <c r="R323" i="1" s="1"/>
  <c r="Q300" i="1"/>
  <c r="R300" i="1" s="1"/>
  <c r="Q271" i="1"/>
  <c r="R271" i="1" s="1"/>
  <c r="Q233" i="1"/>
  <c r="R233" i="1" s="1"/>
  <c r="Q125" i="1"/>
  <c r="R125" i="1" s="1"/>
  <c r="Q89" i="1"/>
  <c r="R89" i="1" s="1"/>
  <c r="Q4" i="1"/>
  <c r="R4" i="1" s="1"/>
  <c r="T279" i="1"/>
  <c r="T107" i="1"/>
  <c r="T53" i="1"/>
  <c r="Q369" i="1"/>
  <c r="R369" i="1" s="1"/>
  <c r="Q345" i="1"/>
  <c r="R345" i="1" s="1"/>
  <c r="Q320" i="1"/>
  <c r="R320" i="1" s="1"/>
  <c r="Q294" i="1"/>
  <c r="R294" i="1" s="1"/>
  <c r="Q231" i="1"/>
  <c r="R231" i="1" s="1"/>
  <c r="Q196" i="1"/>
  <c r="R196" i="1" s="1"/>
  <c r="Q124" i="1"/>
  <c r="R124" i="1" s="1"/>
  <c r="Q88" i="1"/>
  <c r="R88" i="1" s="1"/>
  <c r="Q3" i="1"/>
  <c r="R3" i="1" s="1"/>
  <c r="T182" i="1"/>
  <c r="T149" i="1"/>
  <c r="T103" i="1"/>
  <c r="T45" i="1"/>
  <c r="T370" i="1"/>
  <c r="Q370" i="1"/>
  <c r="R370" i="1" s="1"/>
  <c r="T346" i="1"/>
  <c r="Q346" i="1"/>
  <c r="R346" i="1" s="1"/>
  <c r="Q298" i="1"/>
  <c r="R298" i="1" s="1"/>
  <c r="T298" i="1"/>
  <c r="Q286" i="1"/>
  <c r="R286" i="1" s="1"/>
  <c r="T286" i="1"/>
  <c r="Q274" i="1"/>
  <c r="R274" i="1" s="1"/>
  <c r="T274" i="1"/>
  <c r="T262" i="1"/>
  <c r="Q262" i="1"/>
  <c r="R262" i="1" s="1"/>
  <c r="Q238" i="1"/>
  <c r="R238" i="1" s="1"/>
  <c r="T238" i="1"/>
  <c r="T226" i="1"/>
  <c r="Q226" i="1"/>
  <c r="R226" i="1" s="1"/>
  <c r="T214" i="1"/>
  <c r="Q214" i="1"/>
  <c r="R214" i="1" s="1"/>
  <c r="Q142" i="1"/>
  <c r="R142" i="1" s="1"/>
  <c r="T142" i="1"/>
  <c r="T118" i="1"/>
  <c r="Q118" i="1"/>
  <c r="R118" i="1" s="1"/>
  <c r="Q106" i="1"/>
  <c r="R106" i="1" s="1"/>
  <c r="T106" i="1"/>
  <c r="Q94" i="1"/>
  <c r="R94" i="1" s="1"/>
  <c r="T94" i="1"/>
  <c r="T82" i="1"/>
  <c r="Q82" i="1"/>
  <c r="R82" i="1" s="1"/>
  <c r="T58" i="1"/>
  <c r="Q58" i="1"/>
  <c r="R58" i="1" s="1"/>
  <c r="Q34" i="1"/>
  <c r="R34" i="1" s="1"/>
  <c r="T34" i="1"/>
  <c r="Q10" i="1"/>
  <c r="R10" i="1" s="1"/>
  <c r="T10" i="1"/>
  <c r="T202" i="1"/>
  <c r="T134" i="1"/>
  <c r="T46" i="1"/>
  <c r="Q322" i="1"/>
  <c r="R322" i="1" s="1"/>
  <c r="Q302" i="1"/>
  <c r="R302" i="1" s="1"/>
  <c r="T289" i="1"/>
  <c r="T130" i="1"/>
  <c r="T86" i="1"/>
  <c r="Q338" i="1"/>
  <c r="R338" i="1" s="1"/>
  <c r="Q169" i="1"/>
  <c r="R169" i="1" s="1"/>
  <c r="Q70" i="1"/>
  <c r="R70" i="1" s="1"/>
  <c r="T360" i="1"/>
  <c r="T241" i="1"/>
  <c r="T85" i="1"/>
  <c r="Q168" i="1"/>
  <c r="R168" i="1" s="1"/>
  <c r="Q25" i="1"/>
  <c r="R25" i="1" s="1"/>
  <c r="T362" i="1"/>
  <c r="Q362" i="1"/>
  <c r="R362" i="1" s="1"/>
  <c r="Q350" i="1"/>
  <c r="R350" i="1" s="1"/>
  <c r="T350" i="1"/>
  <c r="Q326" i="1"/>
  <c r="R326" i="1" s="1"/>
  <c r="T326" i="1"/>
  <c r="T314" i="1"/>
  <c r="Q314" i="1"/>
  <c r="R314" i="1" s="1"/>
  <c r="T290" i="1"/>
  <c r="Q290" i="1"/>
  <c r="R290" i="1" s="1"/>
  <c r="T278" i="1"/>
  <c r="Q278" i="1"/>
  <c r="R278" i="1" s="1"/>
  <c r="Q254" i="1"/>
  <c r="R254" i="1" s="1"/>
  <c r="T254" i="1"/>
  <c r="T242" i="1"/>
  <c r="Q242" i="1"/>
  <c r="R242" i="1" s="1"/>
  <c r="Q230" i="1"/>
  <c r="R230" i="1" s="1"/>
  <c r="T230" i="1"/>
  <c r="T218" i="1"/>
  <c r="Q218" i="1"/>
  <c r="R218" i="1" s="1"/>
  <c r="Q206" i="1"/>
  <c r="R206" i="1" s="1"/>
  <c r="T206" i="1"/>
  <c r="T194" i="1"/>
  <c r="Q194" i="1"/>
  <c r="R194" i="1" s="1"/>
  <c r="T170" i="1"/>
  <c r="Q170" i="1"/>
  <c r="R170" i="1" s="1"/>
  <c r="Q158" i="1"/>
  <c r="R158" i="1" s="1"/>
  <c r="T158" i="1"/>
  <c r="Q146" i="1"/>
  <c r="R146" i="1" s="1"/>
  <c r="T146" i="1"/>
  <c r="T122" i="1"/>
  <c r="Q122" i="1"/>
  <c r="R122" i="1" s="1"/>
  <c r="Q98" i="1"/>
  <c r="R98" i="1" s="1"/>
  <c r="T98" i="1"/>
  <c r="T74" i="1"/>
  <c r="Q74" i="1"/>
  <c r="R74" i="1" s="1"/>
  <c r="Q50" i="1"/>
  <c r="R50" i="1" s="1"/>
  <c r="T50" i="1"/>
  <c r="T38" i="1"/>
  <c r="Q38" i="1"/>
  <c r="R38" i="1" s="1"/>
  <c r="T26" i="1"/>
  <c r="Q26" i="1"/>
  <c r="R26" i="1" s="1"/>
  <c r="Q14" i="1"/>
  <c r="R14" i="1" s="1"/>
  <c r="T14" i="1"/>
  <c r="Q373" i="1"/>
  <c r="R373" i="1" s="1"/>
  <c r="T373" i="1"/>
  <c r="Q361" i="1"/>
  <c r="R361" i="1" s="1"/>
  <c r="T361" i="1"/>
  <c r="Q349" i="1"/>
  <c r="R349" i="1" s="1"/>
  <c r="T349" i="1"/>
  <c r="Q337" i="1"/>
  <c r="R337" i="1" s="1"/>
  <c r="T337" i="1"/>
  <c r="Q325" i="1"/>
  <c r="R325" i="1" s="1"/>
  <c r="T325" i="1"/>
  <c r="T301" i="1"/>
  <c r="Q301" i="1"/>
  <c r="R301" i="1" s="1"/>
  <c r="Q277" i="1"/>
  <c r="R277" i="1" s="1"/>
  <c r="T277" i="1"/>
  <c r="Q253" i="1"/>
  <c r="R253" i="1" s="1"/>
  <c r="T253" i="1"/>
  <c r="T217" i="1"/>
  <c r="Q217" i="1"/>
  <c r="R217" i="1" s="1"/>
  <c r="Q205" i="1"/>
  <c r="R205" i="1" s="1"/>
  <c r="T205" i="1"/>
  <c r="T181" i="1"/>
  <c r="Q181" i="1"/>
  <c r="R181" i="1" s="1"/>
  <c r="T157" i="1"/>
  <c r="Q157" i="1"/>
  <c r="R157" i="1" s="1"/>
  <c r="Q133" i="1"/>
  <c r="R133" i="1" s="1"/>
  <c r="T133" i="1"/>
  <c r="Q121" i="1"/>
  <c r="R121" i="1" s="1"/>
  <c r="T121" i="1"/>
  <c r="T97" i="1"/>
  <c r="Q97" i="1"/>
  <c r="R97" i="1" s="1"/>
  <c r="Q73" i="1"/>
  <c r="R73" i="1" s="1"/>
  <c r="T73" i="1"/>
  <c r="T61" i="1"/>
  <c r="Q61" i="1"/>
  <c r="R61" i="1" s="1"/>
  <c r="Q49" i="1"/>
  <c r="R49" i="1" s="1"/>
  <c r="T49" i="1"/>
  <c r="T37" i="1"/>
  <c r="Q37" i="1"/>
  <c r="R37" i="1" s="1"/>
  <c r="T13" i="1"/>
  <c r="Q13" i="1"/>
  <c r="R13" i="1" s="1"/>
  <c r="Q190" i="1"/>
  <c r="R190" i="1" s="1"/>
  <c r="T178" i="1"/>
  <c r="Q348" i="1"/>
  <c r="R348" i="1" s="1"/>
  <c r="T348" i="1"/>
  <c r="Q324" i="1"/>
  <c r="R324" i="1" s="1"/>
  <c r="T324" i="1"/>
  <c r="Q312" i="1"/>
  <c r="R312" i="1" s="1"/>
  <c r="T312" i="1"/>
  <c r="T276" i="1"/>
  <c r="Q276" i="1"/>
  <c r="R276" i="1" s="1"/>
  <c r="Q264" i="1"/>
  <c r="R264" i="1" s="1"/>
  <c r="T264" i="1"/>
  <c r="T240" i="1"/>
  <c r="Q240" i="1"/>
  <c r="R240" i="1" s="1"/>
  <c r="Q216" i="1"/>
  <c r="R216" i="1" s="1"/>
  <c r="T216" i="1"/>
  <c r="T204" i="1"/>
  <c r="Q204" i="1"/>
  <c r="R204" i="1" s="1"/>
  <c r="Q192" i="1"/>
  <c r="R192" i="1" s="1"/>
  <c r="T192" i="1"/>
  <c r="T180" i="1"/>
  <c r="Q180" i="1"/>
  <c r="R180" i="1" s="1"/>
  <c r="T156" i="1"/>
  <c r="Q156" i="1"/>
  <c r="R156" i="1" s="1"/>
  <c r="T144" i="1"/>
  <c r="Q144" i="1"/>
  <c r="R144" i="1" s="1"/>
  <c r="Q120" i="1"/>
  <c r="R120" i="1" s="1"/>
  <c r="T120" i="1"/>
  <c r="T96" i="1"/>
  <c r="Q96" i="1"/>
  <c r="R96" i="1" s="1"/>
  <c r="T72" i="1"/>
  <c r="Q72" i="1"/>
  <c r="R72" i="1" s="1"/>
  <c r="T60" i="1"/>
  <c r="Q60" i="1"/>
  <c r="R60" i="1" s="1"/>
  <c r="T36" i="1"/>
  <c r="Q36" i="1"/>
  <c r="R36" i="1" s="1"/>
  <c r="T12" i="1"/>
  <c r="Q12" i="1"/>
  <c r="R12" i="1" s="1"/>
  <c r="Q252" i="1"/>
  <c r="R252" i="1" s="1"/>
  <c r="Q250" i="1"/>
  <c r="R250" i="1" s="1"/>
  <c r="Q84" i="1"/>
  <c r="R84" i="1" s="1"/>
  <c r="T365" i="1"/>
  <c r="Q365" i="1"/>
  <c r="R365" i="1" s="1"/>
  <c r="T293" i="1"/>
  <c r="Q293" i="1"/>
  <c r="R293" i="1" s="1"/>
  <c r="Q173" i="1"/>
  <c r="R173" i="1" s="1"/>
  <c r="T173" i="1"/>
  <c r="T137" i="1"/>
  <c r="Q137" i="1"/>
  <c r="R137" i="1" s="1"/>
  <c r="Q77" i="1"/>
  <c r="R77" i="1" s="1"/>
  <c r="T77" i="1"/>
  <c r="T17" i="1"/>
  <c r="Q17" i="1"/>
  <c r="R17" i="1" s="1"/>
  <c r="Q309" i="1"/>
  <c r="R309" i="1" s="1"/>
  <c r="Q237" i="1"/>
  <c r="R237" i="1" s="1"/>
  <c r="Q33" i="1"/>
  <c r="R33" i="1" s="1"/>
  <c r="T212" i="1"/>
  <c r="T165" i="1"/>
  <c r="T29" i="1"/>
  <c r="Q352" i="1"/>
  <c r="R352" i="1" s="1"/>
  <c r="T352" i="1"/>
  <c r="Q328" i="1"/>
  <c r="R328" i="1" s="1"/>
  <c r="T328" i="1"/>
  <c r="T232" i="1"/>
  <c r="Q232" i="1"/>
  <c r="R232" i="1" s="1"/>
  <c r="T112" i="1"/>
  <c r="Q112" i="1"/>
  <c r="R112" i="1" s="1"/>
  <c r="Q236" i="1"/>
  <c r="R236" i="1" s="1"/>
  <c r="Q176" i="1"/>
  <c r="R176" i="1" s="1"/>
  <c r="Q52" i="1"/>
  <c r="R52" i="1" s="1"/>
  <c r="Q32" i="1"/>
  <c r="R32" i="1" s="1"/>
  <c r="T321" i="1"/>
  <c r="T273" i="1"/>
  <c r="T185" i="1"/>
  <c r="T116" i="1"/>
  <c r="T28" i="1"/>
  <c r="T147" i="1"/>
  <c r="Q147" i="1"/>
  <c r="R147" i="1" s="1"/>
  <c r="Q87" i="1"/>
  <c r="R87" i="1" s="1"/>
  <c r="T87" i="1"/>
  <c r="T51" i="1"/>
  <c r="Q51" i="1"/>
  <c r="R51" i="1" s="1"/>
  <c r="Q341" i="1"/>
  <c r="R341" i="1" s="1"/>
  <c r="Q272" i="1"/>
  <c r="R272" i="1" s="1"/>
  <c r="Q235" i="1"/>
  <c r="R235" i="1" s="1"/>
  <c r="Q175" i="1"/>
  <c r="R175" i="1" s="1"/>
  <c r="Q9" i="1"/>
  <c r="R9" i="1" s="1"/>
  <c r="T364" i="1"/>
  <c r="T297" i="1"/>
  <c r="T160" i="1"/>
  <c r="T129" i="1"/>
  <c r="Q129" i="1"/>
  <c r="R129" i="1" s="1"/>
  <c r="Q81" i="1"/>
  <c r="R81" i="1" s="1"/>
  <c r="T81" i="1"/>
  <c r="Q21" i="1"/>
  <c r="R21" i="1" s="1"/>
  <c r="T21" i="1"/>
  <c r="T284" i="1"/>
  <c r="Q284" i="1"/>
  <c r="R284" i="1" s="1"/>
  <c r="Q164" i="1"/>
  <c r="R164" i="1" s="1"/>
  <c r="T164" i="1"/>
  <c r="T92" i="1"/>
  <c r="Q92" i="1"/>
  <c r="R92" i="1" s="1"/>
  <c r="T44" i="1"/>
  <c r="Q44" i="1"/>
  <c r="R44" i="1" s="1"/>
  <c r="Q296" i="1"/>
  <c r="R296" i="1" s="1"/>
  <c r="Q261" i="1"/>
  <c r="R261" i="1" s="1"/>
  <c r="Q224" i="1"/>
  <c r="R224" i="1" s="1"/>
  <c r="Q161" i="1"/>
  <c r="R161" i="1" s="1"/>
  <c r="Q141" i="1"/>
  <c r="R141" i="1" s="1"/>
  <c r="Q80" i="1"/>
  <c r="R80" i="1" s="1"/>
  <c r="T101" i="1"/>
  <c r="Q259" i="1"/>
  <c r="R259" i="1" s="1"/>
  <c r="T259" i="1"/>
  <c r="T223" i="1"/>
  <c r="Q223" i="1"/>
  <c r="R223" i="1" s="1"/>
  <c r="Q199" i="1"/>
  <c r="R199" i="1" s="1"/>
  <c r="T199" i="1"/>
  <c r="T79" i="1"/>
  <c r="Q79" i="1"/>
  <c r="R79" i="1" s="1"/>
  <c r="Q55" i="1"/>
  <c r="R55" i="1" s="1"/>
  <c r="T55" i="1"/>
  <c r="T7" i="1"/>
  <c r="Q7" i="1"/>
  <c r="R7" i="1" s="1"/>
  <c r="Q295" i="1"/>
  <c r="R295" i="1" s="1"/>
  <c r="Q260" i="1"/>
  <c r="R260" i="1" s="1"/>
  <c r="Q140" i="1"/>
  <c r="R140" i="1" s="1"/>
  <c r="Q57" i="1"/>
  <c r="R57" i="1" s="1"/>
  <c r="T189" i="1"/>
  <c r="Q335" i="1"/>
  <c r="R335" i="1" s="1"/>
  <c r="Q215" i="1"/>
  <c r="R215" i="1" s="1"/>
  <c r="Q342" i="1"/>
  <c r="R342" i="1" s="1"/>
  <c r="Q119" i="1"/>
  <c r="R119" i="1" s="1"/>
  <c r="T270" i="1"/>
  <c r="Q270" i="1"/>
  <c r="R270" i="1" s="1"/>
  <c r="T258" i="1"/>
  <c r="Q258" i="1"/>
  <c r="R258" i="1" s="1"/>
  <c r="T246" i="1"/>
  <c r="Q246" i="1"/>
  <c r="R246" i="1" s="1"/>
  <c r="T234" i="1"/>
  <c r="Q234" i="1"/>
  <c r="R234" i="1" s="1"/>
  <c r="T222" i="1"/>
  <c r="Q222" i="1"/>
  <c r="R222" i="1" s="1"/>
  <c r="T210" i="1"/>
  <c r="Q210" i="1"/>
  <c r="R210" i="1" s="1"/>
  <c r="T198" i="1"/>
  <c r="Q198" i="1"/>
  <c r="R198" i="1" s="1"/>
  <c r="T186" i="1"/>
  <c r="Q186" i="1"/>
  <c r="R186" i="1" s="1"/>
  <c r="T174" i="1"/>
  <c r="Q174" i="1"/>
  <c r="R174" i="1" s="1"/>
  <c r="T162" i="1"/>
  <c r="Q162" i="1"/>
  <c r="R162" i="1" s="1"/>
  <c r="T150" i="1"/>
  <c r="Q150" i="1"/>
  <c r="R150" i="1" s="1"/>
  <c r="T138" i="1"/>
  <c r="Q138" i="1"/>
  <c r="R138" i="1" s="1"/>
  <c r="T126" i="1"/>
  <c r="Q126" i="1"/>
  <c r="R126" i="1" s="1"/>
  <c r="T114" i="1"/>
  <c r="Q114" i="1"/>
  <c r="R114" i="1" s="1"/>
  <c r="T102" i="1"/>
  <c r="Q102" i="1"/>
  <c r="R102" i="1" s="1"/>
  <c r="T90" i="1"/>
  <c r="Q90" i="1"/>
  <c r="R90" i="1" s="1"/>
  <c r="T78" i="1"/>
  <c r="Q78" i="1"/>
  <c r="R78" i="1" s="1"/>
  <c r="T66" i="1"/>
  <c r="Q66" i="1"/>
  <c r="R66" i="1" s="1"/>
  <c r="T54" i="1"/>
  <c r="Q54" i="1"/>
  <c r="R54" i="1" s="1"/>
  <c r="T42" i="1"/>
  <c r="Q42" i="1"/>
  <c r="R42" i="1" s="1"/>
  <c r="T30" i="1"/>
  <c r="Q30" i="1"/>
  <c r="R30" i="1" s="1"/>
  <c r="T18" i="1"/>
  <c r="Q18" i="1"/>
  <c r="R18" i="1" s="1"/>
  <c r="T6" i="1"/>
  <c r="Q6" i="1"/>
  <c r="R6" i="1" s="1"/>
  <c r="AI17" i="4" l="1"/>
  <c r="AI18" i="4" s="1"/>
  <c r="LV17" i="4"/>
  <c r="LV18" i="4" s="1"/>
  <c r="HY17" i="4"/>
  <c r="HY18" i="4" s="1"/>
  <c r="MZ17" i="4"/>
  <c r="MZ18" i="4" s="1"/>
  <c r="AZ17" i="4"/>
  <c r="AZ18" i="4" s="1"/>
  <c r="IH17" i="4"/>
  <c r="IH18" i="4" s="1"/>
  <c r="CT17" i="4"/>
  <c r="CT18" i="4" s="1"/>
  <c r="JQ17" i="4"/>
  <c r="JQ18" i="4" s="1"/>
  <c r="LH17" i="4"/>
  <c r="LH18" i="4" s="1"/>
  <c r="EJ17" i="4"/>
  <c r="EJ18" i="4" s="1"/>
  <c r="MR17" i="4"/>
  <c r="MR18" i="4" s="1"/>
  <c r="LG17" i="4"/>
  <c r="LG18" i="4" s="1"/>
  <c r="GU17" i="4"/>
  <c r="GU18" i="4" s="1"/>
  <c r="MI17" i="4"/>
  <c r="MI18" i="4" s="1"/>
  <c r="MH17" i="4"/>
  <c r="MH18" i="4" s="1"/>
  <c r="AG17" i="4"/>
  <c r="AG18" i="4" s="1"/>
  <c r="KD17" i="4"/>
  <c r="KD18" i="4" s="1"/>
  <c r="AF17" i="4"/>
  <c r="AF18" i="4" s="1"/>
  <c r="IQ17" i="4"/>
  <c r="IQ18" i="4" s="1"/>
  <c r="HP17" i="4"/>
  <c r="HP18" i="4" s="1"/>
  <c r="IY17" i="4"/>
  <c r="IY18" i="4" s="1"/>
  <c r="EY17" i="4"/>
  <c r="EY18" i="4" s="1"/>
  <c r="HM17" i="4"/>
  <c r="HM18" i="4" s="1"/>
  <c r="KB17" i="4"/>
  <c r="KB18" i="4" s="1"/>
  <c r="KZ17" i="4"/>
  <c r="KZ18" i="4" s="1"/>
  <c r="FI17" i="4"/>
  <c r="FI18" i="4" s="1"/>
  <c r="LJ17" i="4"/>
  <c r="LJ18" i="4" s="1"/>
  <c r="AH17" i="4"/>
  <c r="AH18" i="4" s="1"/>
  <c r="GF17" i="4"/>
  <c r="GF18" i="4" s="1"/>
  <c r="CE17" i="4"/>
  <c r="CE18" i="4" s="1"/>
  <c r="HG17" i="4"/>
  <c r="HG18" i="4" s="1"/>
  <c r="W17" i="4"/>
  <c r="W18" i="4" s="1"/>
  <c r="HS17" i="4"/>
  <c r="HS18" i="4" s="1"/>
  <c r="LY17" i="4"/>
  <c r="LY18" i="4" s="1"/>
  <c r="MF17" i="4"/>
  <c r="MF18" i="4" s="1"/>
  <c r="FQ17" i="4"/>
  <c r="FQ18" i="4" s="1"/>
  <c r="FK17" i="4"/>
  <c r="FK18" i="4" s="1"/>
  <c r="HA17" i="4"/>
  <c r="HA18" i="4" s="1"/>
  <c r="IR17" i="4"/>
  <c r="IR18" i="4" s="1"/>
  <c r="GV17" i="4"/>
  <c r="GV18" i="4" s="1"/>
  <c r="HH17" i="4"/>
  <c r="HH18" i="4" s="1"/>
  <c r="IZ17" i="4"/>
  <c r="IZ18" i="4" s="1"/>
  <c r="FT17" i="4"/>
  <c r="FT18" i="4" s="1"/>
  <c r="EM17" i="4"/>
  <c r="EM18" i="4" s="1"/>
  <c r="GJ17" i="4"/>
  <c r="GJ18" i="4" s="1"/>
  <c r="GL17" i="4"/>
  <c r="GL18" i="4" s="1"/>
  <c r="AX17" i="4"/>
  <c r="AX18" i="4" s="1"/>
  <c r="DM17" i="4"/>
  <c r="DM18" i="4" s="1"/>
  <c r="DZ17" i="4"/>
  <c r="DZ18" i="4" s="1"/>
  <c r="KV17" i="4"/>
  <c r="KV18" i="4" s="1"/>
  <c r="BY17" i="4"/>
  <c r="BY18" i="4" s="1"/>
  <c r="BS17" i="4"/>
  <c r="BS18" i="4" s="1"/>
  <c r="FX17" i="4"/>
  <c r="FX18" i="4" s="1"/>
  <c r="IJ17" i="4"/>
  <c r="IJ18" i="4" s="1"/>
  <c r="IB17" i="4"/>
  <c r="IB18" i="4" s="1"/>
  <c r="CB17" i="4"/>
  <c r="CB18" i="4" s="1"/>
  <c r="KM17" i="4"/>
  <c r="KM18" i="4" s="1"/>
  <c r="FU17" i="4"/>
  <c r="FU18" i="4" s="1"/>
  <c r="LW17" i="4"/>
  <c r="LW18" i="4" s="1"/>
  <c r="CD17" i="4"/>
  <c r="CD18" i="4" s="1"/>
  <c r="LS17" i="4"/>
  <c r="LS18" i="4" s="1"/>
  <c r="JP17" i="4"/>
  <c r="JP18" i="4" s="1"/>
  <c r="BG17" i="4"/>
  <c r="BG18" i="4" s="1"/>
  <c r="KS17" i="4"/>
  <c r="KS18" i="4" s="1"/>
  <c r="FL17" i="4"/>
  <c r="FL18" i="4" s="1"/>
  <c r="MX17" i="4"/>
  <c r="MX18" i="4" s="1"/>
  <c r="EO17" i="4"/>
  <c r="EO18" i="4" s="1"/>
  <c r="CF17" i="4"/>
  <c r="CF18" i="4" s="1"/>
  <c r="MT17" i="4"/>
  <c r="MT18" i="4" s="1"/>
  <c r="JN17" i="4"/>
  <c r="JN18" i="4" s="1"/>
  <c r="HD17" i="4"/>
  <c r="HD18" i="4" s="1"/>
  <c r="JX17" i="4"/>
  <c r="JX18" i="4" s="1"/>
  <c r="DL17" i="4"/>
  <c r="DL18" i="4" s="1"/>
  <c r="MQ17" i="4"/>
  <c r="MQ18" i="4" s="1"/>
  <c r="FR17" i="4"/>
  <c r="FR18" i="4" s="1"/>
  <c r="IE17" i="4"/>
  <c r="IE18" i="4" s="1"/>
  <c r="K17" i="4"/>
  <c r="K18" i="4" s="1"/>
  <c r="ND17" i="4"/>
  <c r="ND18" i="4" s="1"/>
  <c r="HR17" i="4"/>
  <c r="HR18" i="4" s="1"/>
  <c r="LZ17" i="4"/>
  <c r="LZ18" i="4" s="1"/>
  <c r="AV17" i="4"/>
  <c r="AV18" i="4" s="1"/>
  <c r="CN17" i="4"/>
  <c r="CN18" i="4" s="1"/>
  <c r="DK17" i="4"/>
  <c r="DK18" i="4" s="1"/>
  <c r="BZ17" i="4"/>
  <c r="BZ18" i="4" s="1"/>
  <c r="Q227" i="1"/>
  <c r="R227" i="1" s="1"/>
  <c r="Q23" i="1"/>
  <c r="R23" i="1" s="1"/>
  <c r="Q71" i="1"/>
  <c r="R71" i="1" s="1"/>
  <c r="Q229" i="1"/>
  <c r="R229" i="1" s="1"/>
  <c r="Q247" i="1"/>
  <c r="R247" i="1" s="1"/>
  <c r="Q368" i="1"/>
  <c r="R368" i="1" s="1"/>
  <c r="Q11" i="1"/>
  <c r="R11" i="1" s="1"/>
  <c r="Q208" i="1"/>
  <c r="R208" i="1" s="1"/>
  <c r="Q305" i="1"/>
  <c r="R305" i="1" s="1"/>
  <c r="Q151" i="1"/>
  <c r="R151" i="1" s="1"/>
  <c r="Q317" i="1"/>
  <c r="R317" i="1" s="1"/>
  <c r="Q367" i="1"/>
  <c r="R367" i="1" s="1"/>
  <c r="Q318" i="1"/>
  <c r="R318" i="1" s="1"/>
  <c r="Q100" i="1"/>
  <c r="R100" i="1" s="1"/>
  <c r="Q195" i="1"/>
  <c r="R195" i="1" s="1"/>
  <c r="Q193" i="1"/>
  <c r="R193" i="1" s="1"/>
  <c r="Q292" i="1"/>
  <c r="R292" i="1" s="1"/>
  <c r="Q109" i="1"/>
  <c r="R109" i="1" s="1"/>
  <c r="Q265" i="1"/>
  <c r="R2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<sst xmlns="http://schemas.openxmlformats.org/spreadsheetml/2006/main" count="17925" uniqueCount="153">
  <si>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</si>
  <si>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</si>
  <si>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</si>
  <si>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</si>
  <si>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</si>
  <si>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</si>
  <si>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</si>
  <si>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</si>
  <si>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</si>
  <si>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</si>
  <si>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</si>
  <si>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</si>
  <si>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</si>
  <si>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</si>
  <si>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</si>
  <si>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</si>
  <si>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</si>
  <si>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</si>
  <si>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</si>
  <si>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</si>
  <si>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</si>
  <si>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</si>
  <si>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</si>
  <si>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</si>
  <si>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</si>
  <si>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</si>
  <si>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</si>
  <si>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</si>
  <si>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</si>
  <si>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</si>
  <si>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</si>
  <si>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</si>
  <si>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</si>
  <si>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</si>
  <si>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</si>
  <si>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</si>
  <si>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</si>
  <si>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</si>
  <si>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</si>
  <si>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</si>
  <si>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</si>
  <si>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</si>
  <si>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</si>
  <si>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</si>
  <si>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</si>
  <si>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</si>
  <si>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</si>
  <si>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</si>
  <si>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</si>
  <si>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</si>
  <si>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</si>
  <si>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</si>
  <si>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</si>
  <si>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</si>
  <si>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</si>
  <si>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</si>
  <si>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</si>
  <si>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</si>
  <si>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</si>
  <si>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</si>
  <si>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</si>
  <si>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</si>
  <si>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</si>
  <si>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</si>
  <si>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</si>
  <si>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</si>
  <si>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</si>
  <si>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</si>
  <si>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</si>
  <si>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</si>
  <si>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</si>
  <si>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</si>
  <si>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</si>
  <si>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Discount amount</t>
  </si>
  <si>
    <t>Price after discount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</si>
  <si>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</si>
  <si>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</si>
  <si>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</si>
  <si>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</si>
  <si>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</si>
  <si>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</si>
  <si>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</si>
  <si>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</si>
  <si>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</si>
  <si>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&gt;=70</t>
  </si>
  <si>
    <t>B</t>
  </si>
  <si>
    <t>&gt;=50</t>
  </si>
  <si>
    <t>C</t>
  </si>
  <si>
    <t>&gt;=40</t>
  </si>
  <si>
    <t>Pass</t>
  </si>
  <si>
    <t>&lt;40</t>
  </si>
  <si>
    <t>Fail</t>
  </si>
  <si>
    <t>Use Nested IF</t>
  </si>
  <si>
    <t>Brand Name</t>
  </si>
  <si>
    <t>Average Units Sold</t>
  </si>
  <si>
    <t>Tandra</t>
  </si>
  <si>
    <t>Total selling amount</t>
  </si>
  <si>
    <t>Count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</si>
  <si>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</si>
  <si>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</si>
  <si>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</si>
  <si>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</si>
  <si>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</si>
  <si>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</si>
  <si>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</si>
  <si>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</si>
  <si>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</si>
  <si>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</si>
  <si>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</si>
  <si>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</si>
  <si>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</si>
  <si>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</si>
  <si>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</si>
  <si>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</si>
  <si>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Mango</t>
  </si>
  <si>
    <t>PineApple</t>
  </si>
  <si>
    <t>Orange</t>
  </si>
  <si>
    <t>Apple</t>
  </si>
  <si>
    <t>Grape</t>
  </si>
  <si>
    <t>Rose</t>
  </si>
  <si>
    <t>Hibiscus</t>
  </si>
  <si>
    <t>Mogra</t>
  </si>
  <si>
    <t>Marigold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</si>
  <si>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</si>
  <si>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</si>
  <si>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</si>
  <si>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</si>
  <si>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</si>
  <si>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</si>
  <si>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</si>
  <si>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</si>
  <si>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</si>
  <si>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</si>
  <si>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</si>
  <si>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AND($A2="Product B",$B2="North")</t>
  </si>
  <si>
    <t>&gt;1000</t>
  </si>
  <si>
    <t>Batch Code</t>
  </si>
  <si>
    <t>ILT Hours</t>
  </si>
  <si>
    <t>ILT %</t>
  </si>
  <si>
    <t>ANP-D2475</t>
  </si>
  <si>
    <t>ANP-D3870</t>
  </si>
  <si>
    <t>ANP-D4972</t>
  </si>
  <si>
    <t>ANP-D2474</t>
  </si>
  <si>
    <t>ANP-D4971</t>
  </si>
  <si>
    <t>ANP-D3872</t>
  </si>
  <si>
    <t>Soham</t>
  </si>
  <si>
    <t>Amiya</t>
  </si>
  <si>
    <t>Ajay</t>
  </si>
  <si>
    <t>Nisha</t>
  </si>
  <si>
    <t>Sahil</t>
  </si>
  <si>
    <t>Riya</t>
  </si>
  <si>
    <t>Nilay</t>
  </si>
  <si>
    <t>Anp-D4972_Class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</si>
</sst>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2" xfId="0" applyFont="1" applyBorder="1"/>
    <xf numFmtId="0" fontId="0" fillId="0" borderId="1" xfId="1" applyNumberFormat="1" applyFont="1" applyBorder="1"/>
    <xf numFmtId="2" fontId="0" fillId="0" borderId="1" xfId="0" applyNumberFormat="1" applyBorder="1"/>
    <xf numFmtId="0" fontId="2" fillId="0" borderId="0" xfId="0" applyFont="1"/>
    <xf numFmtId="1" fontId="2" fillId="0" borderId="1" xfId="0" applyNumberFormat="1" applyFont="1" applyBorder="1"/>
    <xf numFmtId="1" fontId="0" fillId="0" borderId="0" xfId="0" applyNumberFormat="1"/>
    <xf numFmtId="0" fontId="4" fillId="2" borderId="1" xfId="0" applyFont="1" applyFill="1" applyBorder="1"/>
    <xf numFmtId="0" fontId="2" fillId="0" borderId="3" xfId="0" applyFont="1" applyBorder="1"/>
    <xf numFmtId="0" fontId="0" fillId="0" borderId="3" xfId="0" applyBorder="1"/>
    <xf numFmtId="0" fontId="0" fillId="3" borderId="1" xfId="0" applyFill="1" applyBorder="1"/>
    <xf numFmtId="0" fontId="5" fillId="0" borderId="1" xfId="0" applyFont="1" applyBorder="1"/>
    <xf numFmtId="10" fontId="5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A08-C290-4B61-A263-BF87134FC435}">
  <dimension ref="A1:Y373"/>
  <sheetViews>
    <sheetView workbookViewId="0">
      <selection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9.77734375" bestFit="1" customWidth="1"/>
    <col min="15" max="15" width="10.21875" bestFit="1" customWidth="1"/>
    <col min="16" max="16" width="15.5546875" bestFit="1" customWidth="1"/>
    <col min="17" max="17" width="17.44140625" bestFit="1" customWidth="1"/>
    <col min="18" max="18" width="13.21875" bestFit="1" customWidth="1"/>
    <col min="19" max="19" width="12.5546875" bestFit="1" customWidth="1"/>
    <col min="20" max="20" width="16.44140625" bestFit="1" customWidth="1"/>
    <col min="22" max="22" width="17.6640625" bestFit="1" customWidth="1"/>
    <col min="23" max="25" width="16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14</v>
      </c>
      <c r="O1" s="1" t="s">
        <v>13</v>
      </c>
      <c r="P1" s="4" t="s">
        <v>73</v>
      </c>
      <c r="Q1" s="1" t="s">
        <v>74</v>
      </c>
      <c r="R1" s="4" t="s">
        <v>15</v>
      </c>
      <c r="S1" s="4" t="s">
        <v>17</v>
      </c>
      <c r="T1" s="4" t="s">
        <v>16</v>
      </c>
    </row>
    <row r="2" spans="1:2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f>L2*M2</f>
        <v>19907.09</v>
      </c>
      <c r="O2" s="5">
        <v>0</v>
      </c>
      <c r="P2" s="6">
        <f t="shared" ref="P2:P65" si="0">N2*O2/100</f>
        <v>0</v>
      </c>
      <c r="Q2" s="6">
        <f t="shared" ref="Q2:Q65" si="1">N2-P2</f>
        <v>19907.09</v>
      </c>
      <c r="R2" s="2" t="str">
        <f>IF(Q2&gt;=10000,"High","Low")</f>
        <v>High</v>
      </c>
      <c r="S2" s="2" t="str" cm="1">
        <f t="array" ref="S2">_xlfn.IFS(L2&gt;=8,"High",L2&gt;=5,"Medium",L2&lt;5,"Low")</f>
        <v>Medium</v>
      </c>
      <c r="T2" s="2" t="str">
        <f>IF(P2&gt;=3000,"High",IF(P2&gt;=1500,"Medium","Low"))</f>
        <v>Low</v>
      </c>
      <c r="V2" s="1" t="s">
        <v>93</v>
      </c>
      <c r="W2" s="1" t="s">
        <v>11</v>
      </c>
      <c r="Y2" s="1" t="s">
        <v>94</v>
      </c>
    </row>
    <row r="3" spans="1:25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f t="shared" ref="N3:N66" si="2">L3*M3</f>
        <v>22727.07</v>
      </c>
      <c r="O3" s="5">
        <v>5</v>
      </c>
      <c r="P3" s="6">
        <f t="shared" si="0"/>
        <v>1136.3535000000002</v>
      </c>
      <c r="Q3" s="6">
        <f t="shared" si="1"/>
        <v>21590.716499999999</v>
      </c>
      <c r="R3" s="2" t="str">
        <f t="shared" ref="R3:R66" si="3">IF(Q3&gt;=10000,"High","Low")</f>
        <v>High</v>
      </c>
      <c r="S3" s="2" t="str" cm="1">
        <f t="array" ref="S3">_xlfn.IFS(L3&gt;=8,"High",L3&gt;=5,"Medium",L3&lt;5,"Low")</f>
        <v>High</v>
      </c>
      <c r="T3" s="2" t="str">
        <f t="shared" ref="T3:T66" si="4">IF(P3&gt;=3000,"High",IF(P3&gt;=1500,"Medium","Low"))</f>
        <v>Low</v>
      </c>
      <c r="V3" s="2" t="s">
        <v>50</v>
      </c>
      <c r="W3" s="1">
        <f>SUMIF(K2:K373,V3,L2:L373)</f>
        <v>354</v>
      </c>
      <c r="Y3" s="8">
        <f>AVERAGE(L2:L373)</f>
        <v>4.938172043010753</v>
      </c>
    </row>
    <row r="4" spans="1:25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f t="shared" si="2"/>
        <v>20846.04</v>
      </c>
      <c r="O4" s="5">
        <v>15</v>
      </c>
      <c r="P4" s="6">
        <f t="shared" si="0"/>
        <v>3126.9060000000004</v>
      </c>
      <c r="Q4" s="6">
        <f t="shared" si="1"/>
        <v>17719.134000000002</v>
      </c>
      <c r="R4" s="2" t="str">
        <f t="shared" si="3"/>
        <v>High</v>
      </c>
      <c r="S4" s="2" t="str" cm="1">
        <f t="array" ref="S4">_xlfn.IFS(L4&gt;=8,"High",L4&gt;=5,"Medium",L4&lt;5,"Low")</f>
        <v>Medium</v>
      </c>
      <c r="T4" s="2" t="str">
        <f t="shared" si="4"/>
        <v>High</v>
      </c>
    </row>
    <row r="5" spans="1:25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f t="shared" si="2"/>
        <v>1008.79</v>
      </c>
      <c r="O5" s="5">
        <v>15</v>
      </c>
      <c r="P5" s="6">
        <f t="shared" si="0"/>
        <v>151.31849999999997</v>
      </c>
      <c r="Q5" s="6">
        <f t="shared" si="1"/>
        <v>857.47149999999999</v>
      </c>
      <c r="R5" s="2" t="str">
        <f t="shared" si="3"/>
        <v>Low</v>
      </c>
      <c r="S5" s="2" t="str" cm="1">
        <f t="array" ref="S5">_xlfn.IFS(L5&gt;=8,"High",L5&gt;=5,"Medium",L5&lt;5,"Low")</f>
        <v>Low</v>
      </c>
      <c r="T5" s="2" t="str">
        <f t="shared" si="4"/>
        <v>Low</v>
      </c>
      <c r="Y5" s="9"/>
    </row>
    <row r="6" spans="1:25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f t="shared" si="2"/>
        <v>24580.289999999997</v>
      </c>
      <c r="O6" s="5">
        <v>20</v>
      </c>
      <c r="P6" s="6">
        <f t="shared" si="0"/>
        <v>4916.0579999999991</v>
      </c>
      <c r="Q6" s="6">
        <f t="shared" si="1"/>
        <v>19664.231999999996</v>
      </c>
      <c r="R6" s="2" t="str">
        <f t="shared" si="3"/>
        <v>High</v>
      </c>
      <c r="S6" s="2" t="str" cm="1">
        <f t="array" ref="S6">_xlfn.IFS(L6&gt;=8,"High",L6&gt;=5,"Medium",L6&lt;5,"Low")</f>
        <v>Medium</v>
      </c>
      <c r="T6" s="2" t="str">
        <f t="shared" si="4"/>
        <v>High</v>
      </c>
      <c r="V6" s="1" t="s">
        <v>8</v>
      </c>
      <c r="W6" s="1" t="s">
        <v>93</v>
      </c>
      <c r="X6" s="1" t="s">
        <v>11</v>
      </c>
    </row>
    <row r="7" spans="1:25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f t="shared" si="2"/>
        <v>9568.6500000000015</v>
      </c>
      <c r="O7" s="5">
        <v>10</v>
      </c>
      <c r="P7" s="6">
        <f t="shared" si="0"/>
        <v>956.86500000000012</v>
      </c>
      <c r="Q7" s="6">
        <f t="shared" si="1"/>
        <v>8611.7850000000017</v>
      </c>
      <c r="R7" s="2" t="str">
        <f t="shared" si="3"/>
        <v>Low</v>
      </c>
      <c r="S7" s="2" t="str" cm="1">
        <f t="array" ref="S7">_xlfn.IFS(L7&gt;=8,"High",L7&gt;=5,"Medium",L7&lt;5,"Low")</f>
        <v>Low</v>
      </c>
      <c r="T7" s="2" t="str">
        <f t="shared" si="4"/>
        <v>Low</v>
      </c>
      <c r="V7" s="2" t="s">
        <v>55</v>
      </c>
      <c r="W7" s="2" t="s">
        <v>36</v>
      </c>
      <c r="X7" s="2">
        <f>SUMIFS(L2:L373,I2:I373,V7,K2:K373,W7)</f>
        <v>89</v>
      </c>
    </row>
    <row r="8" spans="1:25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f t="shared" si="2"/>
        <v>15152.1</v>
      </c>
      <c r="O8" s="5">
        <v>10</v>
      </c>
      <c r="P8" s="6">
        <f t="shared" si="0"/>
        <v>1515.21</v>
      </c>
      <c r="Q8" s="6">
        <f t="shared" si="1"/>
        <v>13636.89</v>
      </c>
      <c r="R8" s="2" t="str">
        <f t="shared" si="3"/>
        <v>High</v>
      </c>
      <c r="S8" s="2" t="str" cm="1">
        <f t="array" ref="S8">_xlfn.IFS(L8&gt;=8,"High",L8&gt;=5,"Medium",L8&lt;5,"Low")</f>
        <v>Medium</v>
      </c>
      <c r="T8" s="2" t="str">
        <f t="shared" si="4"/>
        <v>Medium</v>
      </c>
    </row>
    <row r="9" spans="1:25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f t="shared" si="2"/>
        <v>9243.32</v>
      </c>
      <c r="O9" s="5">
        <v>10</v>
      </c>
      <c r="P9" s="6">
        <f t="shared" si="0"/>
        <v>924.33199999999999</v>
      </c>
      <c r="Q9" s="6">
        <f t="shared" si="1"/>
        <v>8318.9879999999994</v>
      </c>
      <c r="R9" s="2" t="str">
        <f t="shared" si="3"/>
        <v>Low</v>
      </c>
      <c r="S9" s="2" t="str" cm="1">
        <f t="array" ref="S9">_xlfn.IFS(L9&gt;=8,"High",L9&gt;=5,"Medium",L9&lt;5,"Low")</f>
        <v>Low</v>
      </c>
      <c r="T9" s="2" t="str">
        <f t="shared" si="4"/>
        <v>Low</v>
      </c>
    </row>
    <row r="10" spans="1:25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f t="shared" si="2"/>
        <v>5490.2</v>
      </c>
      <c r="O10" s="5">
        <v>15</v>
      </c>
      <c r="P10" s="6">
        <f t="shared" si="0"/>
        <v>823.53</v>
      </c>
      <c r="Q10" s="6">
        <f t="shared" si="1"/>
        <v>4666.67</v>
      </c>
      <c r="R10" s="2" t="str">
        <f t="shared" si="3"/>
        <v>Low</v>
      </c>
      <c r="S10" s="2" t="str" cm="1">
        <f t="array" ref="S10">_xlfn.IFS(L10&gt;=8,"High",L10&gt;=5,"Medium",L10&lt;5,"Low")</f>
        <v>Medium</v>
      </c>
      <c r="T10" s="2" t="str">
        <f t="shared" si="4"/>
        <v>Low</v>
      </c>
      <c r="V10" s="1" t="s">
        <v>93</v>
      </c>
      <c r="W10" s="1" t="s">
        <v>94</v>
      </c>
    </row>
    <row r="11" spans="1:25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f t="shared" si="2"/>
        <v>8903.3000000000011</v>
      </c>
      <c r="O11" s="5">
        <v>20</v>
      </c>
      <c r="P11" s="6">
        <f t="shared" si="0"/>
        <v>1780.6600000000003</v>
      </c>
      <c r="Q11" s="6">
        <f t="shared" si="1"/>
        <v>7122.6400000000012</v>
      </c>
      <c r="R11" s="2" t="str">
        <f t="shared" si="3"/>
        <v>Low</v>
      </c>
      <c r="S11" s="2" t="str" cm="1">
        <f t="array" ref="S11">_xlfn.IFS(L11&gt;=8,"High",L11&gt;=5,"Medium",L11&lt;5,"Low")</f>
        <v>Medium</v>
      </c>
      <c r="T11" s="2" t="str">
        <f t="shared" si="4"/>
        <v>Medium</v>
      </c>
      <c r="V11" s="1" t="s">
        <v>50</v>
      </c>
      <c r="W11" s="1">
        <f>AVERAGEIF(K2:K373,V11,L2:L373)</f>
        <v>4.7837837837837842</v>
      </c>
      <c r="X11">
        <f>AVERAGEIF(K2:K373,V11,L2:L373)</f>
        <v>4.7837837837837842</v>
      </c>
    </row>
    <row r="12" spans="1:25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f t="shared" si="2"/>
        <v>19231.5</v>
      </c>
      <c r="O12" s="5">
        <v>0</v>
      </c>
      <c r="P12" s="6">
        <f t="shared" si="0"/>
        <v>0</v>
      </c>
      <c r="Q12" s="6">
        <f t="shared" si="1"/>
        <v>19231.5</v>
      </c>
      <c r="R12" s="2" t="str">
        <f t="shared" si="3"/>
        <v>High</v>
      </c>
      <c r="S12" s="2" t="str" cm="1">
        <f t="array" ref="S12">_xlfn.IFS(L12&gt;=8,"High",L12&gt;=5,"Medium",L12&lt;5,"Low")</f>
        <v>Medium</v>
      </c>
      <c r="T12" s="2" t="str">
        <f t="shared" si="4"/>
        <v>Low</v>
      </c>
    </row>
    <row r="13" spans="1:25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f t="shared" si="2"/>
        <v>1634.1000000000001</v>
      </c>
      <c r="O13" s="5">
        <v>5</v>
      </c>
      <c r="P13" s="6">
        <f t="shared" si="0"/>
        <v>81.705000000000013</v>
      </c>
      <c r="Q13" s="6">
        <f t="shared" si="1"/>
        <v>1552.3950000000002</v>
      </c>
      <c r="R13" s="2" t="str">
        <f t="shared" si="3"/>
        <v>Low</v>
      </c>
      <c r="S13" s="2" t="str" cm="1">
        <f t="array" ref="S13">_xlfn.IFS(L13&gt;=8,"High",L13&gt;=5,"Medium",L13&lt;5,"Low")</f>
        <v>Medium</v>
      </c>
      <c r="T13" s="2" t="str">
        <f t="shared" si="4"/>
        <v>Low</v>
      </c>
      <c r="V13" s="1" t="s">
        <v>8</v>
      </c>
      <c r="W13" s="1" t="s">
        <v>93</v>
      </c>
      <c r="X13" s="1" t="s">
        <v>94</v>
      </c>
    </row>
    <row r="14" spans="1:25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f t="shared" si="2"/>
        <v>25287.200000000001</v>
      </c>
      <c r="O14" s="5">
        <v>0</v>
      </c>
      <c r="P14" s="6">
        <f t="shared" si="0"/>
        <v>0</v>
      </c>
      <c r="Q14" s="6">
        <f t="shared" si="1"/>
        <v>25287.200000000001</v>
      </c>
      <c r="R14" s="2" t="str">
        <f t="shared" si="3"/>
        <v>High</v>
      </c>
      <c r="S14" s="2" t="str" cm="1">
        <f t="array" ref="S14">_xlfn.IFS(L14&gt;=8,"High",L14&gt;=5,"Medium",L14&lt;5,"Low")</f>
        <v>High</v>
      </c>
      <c r="T14" s="2" t="str">
        <f t="shared" si="4"/>
        <v>Low</v>
      </c>
      <c r="V14" s="2" t="s">
        <v>55</v>
      </c>
      <c r="W14" s="2" t="s">
        <v>36</v>
      </c>
      <c r="X14" s="2">
        <f>AVERAGEIFS(L2:L373,I2:I373,V14,K2:K373,W14)</f>
        <v>5.2352941176470589</v>
      </c>
      <c r="Y14">
        <f>AVERAGEIFS(L2:L373,I2:I373,V14,K2:K373,W14)</f>
        <v>5.2352941176470589</v>
      </c>
    </row>
    <row r="15" spans="1:25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f t="shared" si="2"/>
        <v>8594.16</v>
      </c>
      <c r="O15" s="5">
        <v>15</v>
      </c>
      <c r="P15" s="6">
        <f t="shared" si="0"/>
        <v>1289.124</v>
      </c>
      <c r="Q15" s="6">
        <f t="shared" si="1"/>
        <v>7305.0360000000001</v>
      </c>
      <c r="R15" s="2" t="str">
        <f t="shared" si="3"/>
        <v>Low</v>
      </c>
      <c r="S15" s="2" t="str" cm="1">
        <f t="array" ref="S15">_xlfn.IFS(L15&gt;=8,"High",L15&gt;=5,"Medium",L15&lt;5,"Low")</f>
        <v>High</v>
      </c>
      <c r="T15" s="2" t="str">
        <f t="shared" si="4"/>
        <v>Low</v>
      </c>
    </row>
    <row r="16" spans="1:25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f t="shared" si="2"/>
        <v>6350.31</v>
      </c>
      <c r="O16" s="5">
        <v>10</v>
      </c>
      <c r="P16" s="6">
        <f t="shared" si="0"/>
        <v>635.03100000000006</v>
      </c>
      <c r="Q16" s="6">
        <f t="shared" si="1"/>
        <v>5715.2790000000005</v>
      </c>
      <c r="R16" s="2" t="str">
        <f t="shared" si="3"/>
        <v>Low</v>
      </c>
      <c r="S16" s="2" t="str" cm="1">
        <f t="array" ref="S16">_xlfn.IFS(L16&gt;=8,"High",L16&gt;=5,"Medium",L16&lt;5,"Low")</f>
        <v>High</v>
      </c>
      <c r="T16" s="2" t="str">
        <f t="shared" si="4"/>
        <v>Low</v>
      </c>
    </row>
    <row r="17" spans="1:25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f t="shared" si="2"/>
        <v>4763.6000000000004</v>
      </c>
      <c r="O17" s="5">
        <v>5</v>
      </c>
      <c r="P17" s="6">
        <f t="shared" si="0"/>
        <v>238.18</v>
      </c>
      <c r="Q17" s="6">
        <f t="shared" si="1"/>
        <v>4525.42</v>
      </c>
      <c r="R17" s="2" t="str">
        <f t="shared" si="3"/>
        <v>Low</v>
      </c>
      <c r="S17" s="2" t="str" cm="1">
        <f t="array" ref="S17">_xlfn.IFS(L17&gt;=8,"High",L17&gt;=5,"Medium",L17&lt;5,"Low")</f>
        <v>High</v>
      </c>
      <c r="T17" s="2" t="str">
        <f t="shared" si="4"/>
        <v>Low</v>
      </c>
      <c r="V17" s="2" t="s">
        <v>95</v>
      </c>
    </row>
    <row r="18" spans="1:25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f t="shared" si="2"/>
        <v>509.82</v>
      </c>
      <c r="O18" s="5">
        <v>15</v>
      </c>
      <c r="P18" s="6">
        <f t="shared" si="0"/>
        <v>76.472999999999999</v>
      </c>
      <c r="Q18" s="6">
        <f t="shared" si="1"/>
        <v>433.34699999999998</v>
      </c>
      <c r="R18" s="2" t="str">
        <f t="shared" si="3"/>
        <v>Low</v>
      </c>
      <c r="S18" s="2" t="str" cm="1">
        <f t="array" ref="S18">_xlfn.IFS(L18&gt;=8,"High",L18&gt;=5,"Medium",L18&lt;5,"Low")</f>
        <v>Low</v>
      </c>
      <c r="T18" s="2" t="str">
        <f t="shared" si="4"/>
        <v>Low</v>
      </c>
      <c r="V18" s="2">
        <v>45</v>
      </c>
      <c r="W18">
        <f>AVERAGEA(V17:V21)</f>
        <v>17.2</v>
      </c>
    </row>
    <row r="19" spans="1:25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f t="shared" si="2"/>
        <v>2165.81</v>
      </c>
      <c r="O19" s="5">
        <v>15</v>
      </c>
      <c r="P19" s="6">
        <f t="shared" si="0"/>
        <v>324.87149999999997</v>
      </c>
      <c r="Q19" s="6">
        <f t="shared" si="1"/>
        <v>1840.9385</v>
      </c>
      <c r="R19" s="2" t="str">
        <f t="shared" si="3"/>
        <v>Low</v>
      </c>
      <c r="S19" s="2" t="str" cm="1">
        <f t="array" ref="S19">_xlfn.IFS(L19&gt;=8,"High",L19&gt;=5,"Medium",L19&lt;5,"Low")</f>
        <v>Low</v>
      </c>
      <c r="T19" s="2" t="str">
        <f t="shared" si="4"/>
        <v>Low</v>
      </c>
      <c r="V19" s="2">
        <v>40</v>
      </c>
    </row>
    <row r="20" spans="1:25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f t="shared" si="2"/>
        <v>1980.6</v>
      </c>
      <c r="O20" s="5">
        <v>15</v>
      </c>
      <c r="P20" s="6">
        <f t="shared" si="0"/>
        <v>297.08999999999997</v>
      </c>
      <c r="Q20" s="6">
        <f t="shared" si="1"/>
        <v>1683.51</v>
      </c>
      <c r="R20" s="2" t="str">
        <f t="shared" si="3"/>
        <v>Low</v>
      </c>
      <c r="S20" s="2" t="str" cm="1">
        <f t="array" ref="S20">_xlfn.IFS(L20&gt;=8,"High",L20&gt;=5,"Medium",L20&lt;5,"Low")</f>
        <v>Low</v>
      </c>
      <c r="T20" s="2" t="str">
        <f t="shared" si="4"/>
        <v>Low</v>
      </c>
      <c r="V20" s="2" t="b">
        <v>1</v>
      </c>
    </row>
    <row r="21" spans="1:25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f t="shared" si="2"/>
        <v>7918.62</v>
      </c>
      <c r="O21" s="5">
        <v>5</v>
      </c>
      <c r="P21" s="6">
        <f t="shared" si="0"/>
        <v>395.93099999999998</v>
      </c>
      <c r="Q21" s="6">
        <f t="shared" si="1"/>
        <v>7522.6890000000003</v>
      </c>
      <c r="R21" s="2" t="str">
        <f t="shared" si="3"/>
        <v>Low</v>
      </c>
      <c r="S21" s="2" t="str" cm="1">
        <f t="array" ref="S21">_xlfn.IFS(L21&gt;=8,"High",L21&gt;=5,"Medium",L21&lt;5,"Low")</f>
        <v>Low</v>
      </c>
      <c r="T21" s="2" t="str">
        <f t="shared" si="4"/>
        <v>Low</v>
      </c>
      <c r="V21" s="2" t="b">
        <v>0</v>
      </c>
    </row>
    <row r="22" spans="1:25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f t="shared" si="2"/>
        <v>7084.74</v>
      </c>
      <c r="O22" s="5">
        <v>5</v>
      </c>
      <c r="P22" s="6">
        <f t="shared" si="0"/>
        <v>354.23699999999997</v>
      </c>
      <c r="Q22" s="6">
        <f t="shared" si="1"/>
        <v>6730.5029999999997</v>
      </c>
      <c r="R22" s="2" t="str">
        <f t="shared" si="3"/>
        <v>Low</v>
      </c>
      <c r="S22" s="2" t="str" cm="1">
        <f t="array" ref="S22">_xlfn.IFS(L22&gt;=8,"High",L22&gt;=5,"Medium",L22&lt;5,"Low")</f>
        <v>Low</v>
      </c>
      <c r="T22" s="2" t="str">
        <f t="shared" si="4"/>
        <v>Low</v>
      </c>
    </row>
    <row r="23" spans="1:25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f t="shared" si="2"/>
        <v>4766.0200000000004</v>
      </c>
      <c r="O23" s="5">
        <v>20</v>
      </c>
      <c r="P23" s="6">
        <f t="shared" si="0"/>
        <v>953.20400000000006</v>
      </c>
      <c r="Q23" s="6">
        <f t="shared" si="1"/>
        <v>3812.8160000000003</v>
      </c>
      <c r="R23" s="2" t="str">
        <f t="shared" si="3"/>
        <v>Low</v>
      </c>
      <c r="S23" s="2" t="str" cm="1">
        <f t="array" ref="S23">_xlfn.IFS(L23&gt;=8,"High",L23&gt;=5,"Medium",L23&lt;5,"Low")</f>
        <v>Medium</v>
      </c>
      <c r="T23" s="2" t="str">
        <f t="shared" si="4"/>
        <v>Low</v>
      </c>
      <c r="V23" s="1" t="s">
        <v>96</v>
      </c>
      <c r="W23" s="1">
        <f>SUM(N2:N373)</f>
        <v>3664518.5400000005</v>
      </c>
    </row>
    <row r="24" spans="1:25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f t="shared" si="2"/>
        <v>5603.48</v>
      </c>
      <c r="O24" s="5">
        <v>20</v>
      </c>
      <c r="P24" s="6">
        <f t="shared" si="0"/>
        <v>1120.6959999999999</v>
      </c>
      <c r="Q24" s="6">
        <f t="shared" si="1"/>
        <v>4482.7839999999997</v>
      </c>
      <c r="R24" s="2" t="str">
        <f t="shared" si="3"/>
        <v>Low</v>
      </c>
      <c r="S24" s="2" t="str" cm="1">
        <f t="array" ref="S24">_xlfn.IFS(L24&gt;=8,"High",L24&gt;=5,"Medium",L24&lt;5,"Low")</f>
        <v>Low</v>
      </c>
      <c r="T24" s="2" t="str">
        <f t="shared" si="4"/>
        <v>Low</v>
      </c>
    </row>
    <row r="25" spans="1:25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f t="shared" si="2"/>
        <v>3606.31</v>
      </c>
      <c r="O25" s="5">
        <v>0</v>
      </c>
      <c r="P25" s="6">
        <f t="shared" si="0"/>
        <v>0</v>
      </c>
      <c r="Q25" s="6">
        <f t="shared" si="1"/>
        <v>3606.31</v>
      </c>
      <c r="R25" s="2" t="str">
        <f t="shared" si="3"/>
        <v>Low</v>
      </c>
      <c r="S25" s="2" t="str" cm="1">
        <f t="array" ref="S25">_xlfn.IFS(L25&gt;=8,"High",L25&gt;=5,"Medium",L25&lt;5,"Low")</f>
        <v>Low</v>
      </c>
      <c r="T25" s="2" t="str">
        <f t="shared" si="4"/>
        <v>Low</v>
      </c>
      <c r="V25" s="1" t="s">
        <v>96</v>
      </c>
      <c r="W25" s="2">
        <f>SUMPRODUCT(L2:L373,M2:M373)</f>
        <v>3664518.5400000005</v>
      </c>
    </row>
    <row r="26" spans="1:25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f t="shared" si="2"/>
        <v>18113.64</v>
      </c>
      <c r="O26" s="5">
        <v>5</v>
      </c>
      <c r="P26" s="6">
        <f t="shared" si="0"/>
        <v>905.68200000000002</v>
      </c>
      <c r="Q26" s="6">
        <f t="shared" si="1"/>
        <v>17207.957999999999</v>
      </c>
      <c r="R26" s="2" t="str">
        <f t="shared" si="3"/>
        <v>High</v>
      </c>
      <c r="S26" s="2" t="str" cm="1">
        <f t="array" ref="S26">_xlfn.IFS(L26&gt;=8,"High",L26&gt;=5,"Medium",L26&lt;5,"Low")</f>
        <v>Medium</v>
      </c>
      <c r="T26" s="2" t="str">
        <f t="shared" si="4"/>
        <v>Low</v>
      </c>
    </row>
    <row r="27" spans="1:25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f t="shared" si="2"/>
        <v>3998.61</v>
      </c>
      <c r="O27" s="5">
        <v>5</v>
      </c>
      <c r="P27" s="6">
        <f t="shared" si="0"/>
        <v>199.93049999999999</v>
      </c>
      <c r="Q27" s="6">
        <f t="shared" si="1"/>
        <v>3798.6795000000002</v>
      </c>
      <c r="R27" s="2" t="str">
        <f t="shared" si="3"/>
        <v>Low</v>
      </c>
      <c r="S27" s="2" t="str" cm="1">
        <f t="array" ref="S27">_xlfn.IFS(L27&gt;=8,"High",L27&gt;=5,"Medium",L27&lt;5,"Low")</f>
        <v>High</v>
      </c>
      <c r="T27" s="2" t="str">
        <f t="shared" si="4"/>
        <v>Low</v>
      </c>
    </row>
    <row r="28" spans="1:25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f t="shared" si="2"/>
        <v>10797.45</v>
      </c>
      <c r="O28" s="5">
        <v>5</v>
      </c>
      <c r="P28" s="6">
        <f t="shared" si="0"/>
        <v>539.87249999999995</v>
      </c>
      <c r="Q28" s="6">
        <f t="shared" si="1"/>
        <v>10257.577500000001</v>
      </c>
      <c r="R28" s="2" t="str">
        <f t="shared" si="3"/>
        <v>High</v>
      </c>
      <c r="S28" s="2" t="str" cm="1">
        <f t="array" ref="S28">_xlfn.IFS(L28&gt;=8,"High",L28&gt;=5,"Medium",L28&lt;5,"Low")</f>
        <v>Low</v>
      </c>
      <c r="T28" s="2" t="str">
        <f t="shared" si="4"/>
        <v>Low</v>
      </c>
      <c r="V28" s="1" t="s">
        <v>96</v>
      </c>
      <c r="W28" s="1" t="s">
        <v>24</v>
      </c>
      <c r="X28" s="1" cm="1">
        <f t="array" ref="X28">SUMPRODUCT(L2:L373,M2:M373,--(K2:K373=W28))</f>
        <v>737855.54000000015</v>
      </c>
    </row>
    <row r="29" spans="1:25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f t="shared" si="2"/>
        <v>19239.78</v>
      </c>
      <c r="O29" s="5">
        <v>20</v>
      </c>
      <c r="P29" s="6">
        <f t="shared" si="0"/>
        <v>3847.9559999999997</v>
      </c>
      <c r="Q29" s="6">
        <f t="shared" si="1"/>
        <v>15391.823999999999</v>
      </c>
      <c r="R29" s="2" t="str">
        <f t="shared" si="3"/>
        <v>High</v>
      </c>
      <c r="S29" s="2" t="str" cm="1">
        <f t="array" ref="S29">_xlfn.IFS(L29&gt;=8,"High",L29&gt;=5,"Medium",L29&lt;5,"Low")</f>
        <v>Medium</v>
      </c>
      <c r="T29" s="2" t="str">
        <f t="shared" si="4"/>
        <v>High</v>
      </c>
    </row>
    <row r="30" spans="1:25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f t="shared" si="2"/>
        <v>2278.41</v>
      </c>
      <c r="O30" s="5">
        <v>15</v>
      </c>
      <c r="P30" s="6">
        <f t="shared" si="0"/>
        <v>341.76149999999996</v>
      </c>
      <c r="Q30" s="6">
        <f t="shared" si="1"/>
        <v>1936.6484999999998</v>
      </c>
      <c r="R30" s="2" t="str">
        <f t="shared" si="3"/>
        <v>Low</v>
      </c>
      <c r="S30" s="2" t="str" cm="1">
        <f t="array" ref="S30">_xlfn.IFS(L30&gt;=8,"High",L30&gt;=5,"Medium",L30&lt;5,"Low")</f>
        <v>Low</v>
      </c>
      <c r="T30" s="2" t="str">
        <f t="shared" si="4"/>
        <v>Low</v>
      </c>
    </row>
    <row r="31" spans="1:25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f t="shared" si="2"/>
        <v>349.38</v>
      </c>
      <c r="O31" s="5">
        <v>10</v>
      </c>
      <c r="P31" s="6">
        <f t="shared" si="0"/>
        <v>34.938000000000002</v>
      </c>
      <c r="Q31" s="6">
        <f t="shared" si="1"/>
        <v>314.44200000000001</v>
      </c>
      <c r="R31" s="2" t="str">
        <f t="shared" si="3"/>
        <v>Low</v>
      </c>
      <c r="S31" s="2" t="str" cm="1">
        <f t="array" ref="S31">_xlfn.IFS(L31&gt;=8,"High",L31&gt;=5,"Medium",L31&lt;5,"Low")</f>
        <v>Low</v>
      </c>
      <c r="T31" s="2" t="str">
        <f t="shared" si="4"/>
        <v>Low</v>
      </c>
      <c r="V31" s="1" t="s">
        <v>9</v>
      </c>
      <c r="W31" s="1" t="s">
        <v>10</v>
      </c>
      <c r="X31" s="1" t="s">
        <v>11</v>
      </c>
      <c r="Y31" s="1" t="s">
        <v>12</v>
      </c>
    </row>
    <row r="32" spans="1:25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f t="shared" si="2"/>
        <v>11478.25</v>
      </c>
      <c r="O32" s="5">
        <v>20</v>
      </c>
      <c r="P32" s="6">
        <f t="shared" si="0"/>
        <v>2295.65</v>
      </c>
      <c r="Q32" s="6">
        <f t="shared" si="1"/>
        <v>9182.6</v>
      </c>
      <c r="R32" s="2" t="str">
        <f t="shared" si="3"/>
        <v>Low</v>
      </c>
      <c r="S32" s="2" t="str" cm="1">
        <f t="array" ref="S32">_xlfn.IFS(L32&gt;=8,"High",L32&gt;=5,"Medium",L32&lt;5,"Low")</f>
        <v>Medium</v>
      </c>
      <c r="T32" s="2" t="str">
        <f t="shared" si="4"/>
        <v>Medium</v>
      </c>
      <c r="V32" s="2" t="s">
        <v>23</v>
      </c>
      <c r="W32" s="2" t="s">
        <v>24</v>
      </c>
      <c r="X32" s="2">
        <v>7</v>
      </c>
      <c r="Y32" s="2">
        <v>2843.87</v>
      </c>
    </row>
    <row r="33" spans="1:2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f t="shared" si="2"/>
        <v>3002.96</v>
      </c>
      <c r="O33" s="5">
        <v>5</v>
      </c>
      <c r="P33" s="6">
        <f t="shared" si="0"/>
        <v>150.148</v>
      </c>
      <c r="Q33" s="6">
        <f t="shared" si="1"/>
        <v>2852.8119999999999</v>
      </c>
      <c r="R33" s="2" t="str">
        <f t="shared" si="3"/>
        <v>Low</v>
      </c>
      <c r="S33" s="2" t="str" cm="1">
        <f t="array" ref="S33">_xlfn.IFS(L33&gt;=8,"High",L33&gt;=5,"Medium",L33&lt;5,"Low")</f>
        <v>Low</v>
      </c>
      <c r="T33" s="2" t="str">
        <f t="shared" si="4"/>
        <v>Low</v>
      </c>
      <c r="V33" s="2" t="s">
        <v>30</v>
      </c>
      <c r="W33" s="2" t="s">
        <v>31</v>
      </c>
      <c r="X33" s="2">
        <v>9</v>
      </c>
      <c r="Y33" s="2">
        <v>2525.23</v>
      </c>
    </row>
    <row r="34" spans="1:2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f t="shared" si="2"/>
        <v>23542.26</v>
      </c>
      <c r="O34" s="5">
        <v>20</v>
      </c>
      <c r="P34" s="6">
        <f t="shared" si="0"/>
        <v>4708.4519999999993</v>
      </c>
      <c r="Q34" s="6">
        <f t="shared" si="1"/>
        <v>18833.807999999997</v>
      </c>
      <c r="R34" s="2" t="str">
        <f t="shared" si="3"/>
        <v>High</v>
      </c>
      <c r="S34" s="2" t="str" cm="1">
        <f t="array" ref="S34">_xlfn.IFS(L34&gt;=8,"High",L34&gt;=5,"Medium",L34&lt;5,"Low")</f>
        <v>Medium</v>
      </c>
      <c r="T34" s="2" t="str">
        <f t="shared" si="4"/>
        <v>High</v>
      </c>
      <c r="V34" s="2" t="s">
        <v>35</v>
      </c>
      <c r="W34" s="2" t="s">
        <v>36</v>
      </c>
      <c r="X34" s="2">
        <v>6</v>
      </c>
      <c r="Y34" s="2">
        <v>3474.34</v>
      </c>
    </row>
    <row r="35" spans="1:2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f t="shared" si="2"/>
        <v>9177.5399999999991</v>
      </c>
      <c r="O35" s="5">
        <v>0</v>
      </c>
      <c r="P35" s="6">
        <f t="shared" si="0"/>
        <v>0</v>
      </c>
      <c r="Q35" s="6">
        <f t="shared" si="1"/>
        <v>9177.5399999999991</v>
      </c>
      <c r="R35" s="2" t="str">
        <f t="shared" si="3"/>
        <v>Low</v>
      </c>
      <c r="S35" s="2" t="str" cm="1">
        <f t="array" ref="S35">_xlfn.IFS(L35&gt;=8,"High",L35&gt;=5,"Medium",L35&lt;5,"Low")</f>
        <v>Medium</v>
      </c>
      <c r="T35" s="2" t="str">
        <f t="shared" si="4"/>
        <v>Low</v>
      </c>
      <c r="V35" s="2" t="s">
        <v>39</v>
      </c>
      <c r="W35" s="2" t="s">
        <v>24</v>
      </c>
      <c r="X35" s="2"/>
      <c r="Y35" s="2">
        <v>1008.79</v>
      </c>
    </row>
    <row r="36" spans="1:25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f t="shared" si="2"/>
        <v>25652.48</v>
      </c>
      <c r="O36" s="5">
        <v>5</v>
      </c>
      <c r="P36" s="6">
        <f t="shared" si="0"/>
        <v>1282.624</v>
      </c>
      <c r="Q36" s="6">
        <f t="shared" si="1"/>
        <v>24369.856</v>
      </c>
      <c r="R36" s="2" t="str">
        <f t="shared" si="3"/>
        <v>High</v>
      </c>
      <c r="S36" s="2" t="str" cm="1">
        <f t="array" ref="S36">_xlfn.IFS(L36&gt;=8,"High",L36&gt;=5,"Medium",L36&lt;5,"Low")</f>
        <v>Medium</v>
      </c>
      <c r="T36" s="2" t="str">
        <f t="shared" si="4"/>
        <v>Low</v>
      </c>
      <c r="V36" s="2" t="s">
        <v>42</v>
      </c>
      <c r="W36" s="2" t="s">
        <v>24</v>
      </c>
      <c r="X36" s="2">
        <v>7</v>
      </c>
      <c r="Y36" s="2">
        <v>3511.47</v>
      </c>
    </row>
    <row r="37" spans="1:25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f t="shared" si="2"/>
        <v>11639.5</v>
      </c>
      <c r="O37" s="5">
        <v>0</v>
      </c>
      <c r="P37" s="6">
        <f t="shared" si="0"/>
        <v>0</v>
      </c>
      <c r="Q37" s="6">
        <f t="shared" si="1"/>
        <v>11639.5</v>
      </c>
      <c r="R37" s="2" t="str">
        <f t="shared" si="3"/>
        <v>High</v>
      </c>
      <c r="S37" s="2" t="str" cm="1">
        <f t="array" ref="S37">_xlfn.IFS(L37&gt;=8,"High",L37&gt;=5,"Medium",L37&lt;5,"Low")</f>
        <v>Medium</v>
      </c>
      <c r="T37" s="2" t="str">
        <f t="shared" si="4"/>
        <v>Low</v>
      </c>
      <c r="V37" s="2" t="s">
        <v>46</v>
      </c>
      <c r="W37" s="2" t="s">
        <v>36</v>
      </c>
      <c r="X37" s="2"/>
      <c r="Y37" s="2">
        <v>3189.55</v>
      </c>
    </row>
    <row r="38" spans="1:25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f t="shared" si="2"/>
        <v>3413.16</v>
      </c>
      <c r="O38" s="5">
        <v>5</v>
      </c>
      <c r="P38" s="6">
        <f t="shared" si="0"/>
        <v>170.65799999999999</v>
      </c>
      <c r="Q38" s="6">
        <f t="shared" si="1"/>
        <v>3242.502</v>
      </c>
      <c r="R38" s="2" t="str">
        <f t="shared" si="3"/>
        <v>Low</v>
      </c>
      <c r="S38" s="2" t="str" cm="1">
        <f t="array" ref="S38">_xlfn.IFS(L38&gt;=8,"High",L38&gt;=5,"Medium",L38&lt;5,"Low")</f>
        <v>Low</v>
      </c>
      <c r="T38" s="2" t="str">
        <f t="shared" si="4"/>
        <v>Low</v>
      </c>
      <c r="V38" s="2" t="s">
        <v>35</v>
      </c>
      <c r="W38" s="2" t="s">
        <v>48</v>
      </c>
      <c r="X38" s="2">
        <v>5</v>
      </c>
      <c r="Y38" s="2">
        <v>3030.42</v>
      </c>
    </row>
    <row r="39" spans="1:25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f t="shared" si="2"/>
        <v>4812.22</v>
      </c>
      <c r="O39" s="5">
        <v>20</v>
      </c>
      <c r="P39" s="6">
        <f t="shared" si="0"/>
        <v>962.44400000000007</v>
      </c>
      <c r="Q39" s="6">
        <f t="shared" si="1"/>
        <v>3849.7760000000003</v>
      </c>
      <c r="R39" s="2" t="str">
        <f t="shared" si="3"/>
        <v>Low</v>
      </c>
      <c r="S39" s="2" t="str" cm="1">
        <f t="array" ref="S39">_xlfn.IFS(L39&gt;=8,"High",L39&gt;=5,"Medium",L39&lt;5,"Low")</f>
        <v>Medium</v>
      </c>
      <c r="T39" s="2" t="str">
        <f t="shared" si="4"/>
        <v>Low</v>
      </c>
      <c r="V39" s="2" t="s">
        <v>35</v>
      </c>
      <c r="W39" s="2" t="s">
        <v>50</v>
      </c>
      <c r="X39" s="2">
        <v>4</v>
      </c>
      <c r="Y39" s="2">
        <v>2310.83</v>
      </c>
    </row>
    <row r="40" spans="1:25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f t="shared" si="2"/>
        <v>16585.940000000002</v>
      </c>
      <c r="O40" s="5">
        <v>15</v>
      </c>
      <c r="P40" s="6">
        <f t="shared" si="0"/>
        <v>2487.8910000000005</v>
      </c>
      <c r="Q40" s="6">
        <f t="shared" si="1"/>
        <v>14098.049000000003</v>
      </c>
      <c r="R40" s="2" t="str">
        <f t="shared" si="3"/>
        <v>High</v>
      </c>
      <c r="S40" s="2" t="str" cm="1">
        <f t="array" ref="S40">_xlfn.IFS(L40&gt;=8,"High",L40&gt;=5,"Medium",L40&lt;5,"Low")</f>
        <v>Medium</v>
      </c>
      <c r="T40" s="2" t="str">
        <f t="shared" si="4"/>
        <v>Medium</v>
      </c>
    </row>
    <row r="41" spans="1:25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f t="shared" si="2"/>
        <v>18499.5</v>
      </c>
      <c r="O41" s="5">
        <v>10</v>
      </c>
      <c r="P41" s="6">
        <f t="shared" si="0"/>
        <v>1849.95</v>
      </c>
      <c r="Q41" s="6">
        <f t="shared" si="1"/>
        <v>16649.55</v>
      </c>
      <c r="R41" s="2" t="str">
        <f t="shared" si="3"/>
        <v>High</v>
      </c>
      <c r="S41" s="2" t="str" cm="1">
        <f t="array" ref="S41">_xlfn.IFS(L41&gt;=8,"High",L41&gt;=5,"Medium",L41&lt;5,"Low")</f>
        <v>Medium</v>
      </c>
      <c r="T41" s="2" t="str">
        <f t="shared" si="4"/>
        <v>Medium</v>
      </c>
    </row>
    <row r="42" spans="1:25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f t="shared" si="2"/>
        <v>25270.400000000001</v>
      </c>
      <c r="O42" s="5">
        <v>0</v>
      </c>
      <c r="P42" s="6">
        <f t="shared" si="0"/>
        <v>0</v>
      </c>
      <c r="Q42" s="6">
        <f t="shared" si="1"/>
        <v>25270.400000000001</v>
      </c>
      <c r="R42" s="2" t="str">
        <f t="shared" si="3"/>
        <v>High</v>
      </c>
      <c r="S42" s="2" t="str" cm="1">
        <f t="array" ref="S42">_xlfn.IFS(L42&gt;=8,"High",L42&gt;=5,"Medium",L42&lt;5,"Low")</f>
        <v>High</v>
      </c>
      <c r="T42" s="2" t="str">
        <f t="shared" si="4"/>
        <v>Low</v>
      </c>
      <c r="V42">
        <f>COUNT(X32:X39)</f>
        <v>6</v>
      </c>
      <c r="W42">
        <f>COUNTA(W32:W39)</f>
        <v>8</v>
      </c>
    </row>
    <row r="43" spans="1:25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f t="shared" si="2"/>
        <v>4846.68</v>
      </c>
      <c r="O43" s="5">
        <v>20</v>
      </c>
      <c r="P43" s="6">
        <f t="shared" si="0"/>
        <v>969.33600000000001</v>
      </c>
      <c r="Q43" s="6">
        <f t="shared" si="1"/>
        <v>3877.3440000000001</v>
      </c>
      <c r="R43" s="2" t="str">
        <f t="shared" si="3"/>
        <v>Low</v>
      </c>
      <c r="S43" s="2" t="str" cm="1">
        <f t="array" ref="S43">_xlfn.IFS(L43&gt;=8,"High",L43&gt;=5,"Medium",L43&lt;5,"Low")</f>
        <v>Low</v>
      </c>
      <c r="T43" s="2" t="str">
        <f t="shared" si="4"/>
        <v>Low</v>
      </c>
      <c r="V43">
        <f>COUNTA(X32:X39)</f>
        <v>6</v>
      </c>
      <c r="W43">
        <f>COUNTBLANK(X32:X39)</f>
        <v>2</v>
      </c>
    </row>
    <row r="44" spans="1:25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f t="shared" si="2"/>
        <v>4681.75</v>
      </c>
      <c r="O44" s="5">
        <v>15</v>
      </c>
      <c r="P44" s="6">
        <f t="shared" si="0"/>
        <v>702.26250000000005</v>
      </c>
      <c r="Q44" s="6">
        <f t="shared" si="1"/>
        <v>3979.4875000000002</v>
      </c>
      <c r="R44" s="2" t="str">
        <f t="shared" si="3"/>
        <v>Low</v>
      </c>
      <c r="S44" s="2" t="str" cm="1">
        <f t="array" ref="S44">_xlfn.IFS(L44&gt;=8,"High",L44&gt;=5,"Medium",L44&lt;5,"Low")</f>
        <v>Medium</v>
      </c>
      <c r="T44" s="2" t="str">
        <f t="shared" si="4"/>
        <v>Low</v>
      </c>
    </row>
    <row r="45" spans="1:25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f t="shared" si="2"/>
        <v>858.04</v>
      </c>
      <c r="O45" s="5">
        <v>20</v>
      </c>
      <c r="P45" s="6">
        <f t="shared" si="0"/>
        <v>171.608</v>
      </c>
      <c r="Q45" s="6">
        <f t="shared" si="1"/>
        <v>686.43200000000002</v>
      </c>
      <c r="R45" s="2" t="str">
        <f t="shared" si="3"/>
        <v>Low</v>
      </c>
      <c r="S45" s="2" t="str" cm="1">
        <f t="array" ref="S45">_xlfn.IFS(L45&gt;=8,"High",L45&gt;=5,"Medium",L45&lt;5,"Low")</f>
        <v>Low</v>
      </c>
      <c r="T45" s="2" t="str">
        <f t="shared" si="4"/>
        <v>Low</v>
      </c>
      <c r="V45" s="1" t="s">
        <v>93</v>
      </c>
      <c r="W45" s="1" t="s">
        <v>97</v>
      </c>
    </row>
    <row r="46" spans="1:25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f t="shared" si="2"/>
        <v>2764.92</v>
      </c>
      <c r="O46" s="5">
        <v>0</v>
      </c>
      <c r="P46" s="6">
        <f t="shared" si="0"/>
        <v>0</v>
      </c>
      <c r="Q46" s="6">
        <f t="shared" si="1"/>
        <v>2764.92</v>
      </c>
      <c r="R46" s="2" t="str">
        <f t="shared" si="3"/>
        <v>Low</v>
      </c>
      <c r="S46" s="2" t="str" cm="1">
        <f t="array" ref="S46">_xlfn.IFS(L46&gt;=8,"High",L46&gt;=5,"Medium",L46&lt;5,"Low")</f>
        <v>Low</v>
      </c>
      <c r="T46" s="2" t="str">
        <f t="shared" si="4"/>
        <v>Low</v>
      </c>
      <c r="V46" s="2" t="s">
        <v>48</v>
      </c>
      <c r="W46" s="1">
        <f>COUNTIF(W32:W39,V46)</f>
        <v>1</v>
      </c>
    </row>
    <row r="47" spans="1:25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f t="shared" si="2"/>
        <v>3558.32</v>
      </c>
      <c r="O47" s="5">
        <v>10</v>
      </c>
      <c r="P47" s="6">
        <f t="shared" si="0"/>
        <v>355.83200000000005</v>
      </c>
      <c r="Q47" s="6">
        <f t="shared" si="1"/>
        <v>3202.4880000000003</v>
      </c>
      <c r="R47" s="2" t="str">
        <f t="shared" si="3"/>
        <v>Low</v>
      </c>
      <c r="S47" s="2" t="str" cm="1">
        <f t="array" ref="S47">_xlfn.IFS(L47&gt;=8,"High",L47&gt;=5,"Medium",L47&lt;5,"Low")</f>
        <v>High</v>
      </c>
      <c r="T47" s="2" t="str">
        <f t="shared" si="4"/>
        <v>Low</v>
      </c>
    </row>
    <row r="48" spans="1:25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f t="shared" si="2"/>
        <v>1769.93</v>
      </c>
      <c r="O48" s="5">
        <v>20</v>
      </c>
      <c r="P48" s="6">
        <f t="shared" si="0"/>
        <v>353.98599999999999</v>
      </c>
      <c r="Q48" s="6">
        <f t="shared" si="1"/>
        <v>1415.944</v>
      </c>
      <c r="R48" s="2" t="str">
        <f t="shared" si="3"/>
        <v>Low</v>
      </c>
      <c r="S48" s="2" t="str" cm="1">
        <f t="array" ref="S48">_xlfn.IFS(L48&gt;=8,"High",L48&gt;=5,"Medium",L48&lt;5,"Low")</f>
        <v>Low</v>
      </c>
      <c r="T48" s="2" t="str">
        <f t="shared" si="4"/>
        <v>Low</v>
      </c>
      <c r="V48" s="1" t="s">
        <v>8</v>
      </c>
      <c r="W48" s="1" t="s">
        <v>93</v>
      </c>
      <c r="X48" s="1" t="s">
        <v>97</v>
      </c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f t="shared" si="2"/>
        <v>12332.4</v>
      </c>
      <c r="O49" s="5">
        <v>5</v>
      </c>
      <c r="P49" s="6">
        <f t="shared" si="0"/>
        <v>616.62</v>
      </c>
      <c r="Q49" s="6">
        <f t="shared" si="1"/>
        <v>11715.779999999999</v>
      </c>
      <c r="R49" s="2" t="str">
        <f t="shared" si="3"/>
        <v>High</v>
      </c>
      <c r="S49" s="2" t="str" cm="1">
        <f t="array" ref="S49">_xlfn.IFS(L49&gt;=8,"High",L49&gt;=5,"Medium",L49&lt;5,"Low")</f>
        <v>Medium</v>
      </c>
      <c r="T49" s="2" t="str">
        <f t="shared" si="4"/>
        <v>Low</v>
      </c>
      <c r="V49" s="2" t="s">
        <v>46</v>
      </c>
      <c r="W49" s="2" t="s">
        <v>36</v>
      </c>
      <c r="X49" s="1">
        <f>COUNTIFS(V32:V39,V49,W32:W39,W49)</f>
        <v>1</v>
      </c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f t="shared" si="2"/>
        <v>22547.22</v>
      </c>
      <c r="O50" s="5">
        <v>15</v>
      </c>
      <c r="P50" s="6">
        <f t="shared" si="0"/>
        <v>3382.0830000000005</v>
      </c>
      <c r="Q50" s="6">
        <f t="shared" si="1"/>
        <v>19165.137000000002</v>
      </c>
      <c r="R50" s="2" t="str">
        <f t="shared" si="3"/>
        <v>High</v>
      </c>
      <c r="S50" s="2" t="str" cm="1">
        <f t="array" ref="S50">_xlfn.IFS(L50&gt;=8,"High",L50&gt;=5,"Medium",L50&lt;5,"Low")</f>
        <v>Medium</v>
      </c>
      <c r="T50" s="2" t="str">
        <f t="shared" si="4"/>
        <v>High</v>
      </c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f t="shared" si="2"/>
        <v>8102.64</v>
      </c>
      <c r="O51" s="5">
        <v>20</v>
      </c>
      <c r="P51" s="6">
        <f t="shared" si="0"/>
        <v>1620.5280000000002</v>
      </c>
      <c r="Q51" s="6">
        <f t="shared" si="1"/>
        <v>6482.1120000000001</v>
      </c>
      <c r="R51" s="2" t="str">
        <f t="shared" si="3"/>
        <v>Low</v>
      </c>
      <c r="S51" s="2" t="str" cm="1">
        <f t="array" ref="S51">_xlfn.IFS(L51&gt;=8,"High",L51&gt;=5,"Medium",L51&lt;5,"Low")</f>
        <v>Medium</v>
      </c>
      <c r="T51" s="2" t="str">
        <f t="shared" si="4"/>
        <v>Medium</v>
      </c>
    </row>
    <row r="52" spans="1:24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f t="shared" si="2"/>
        <v>8005.5599999999995</v>
      </c>
      <c r="O52" s="5">
        <v>5</v>
      </c>
      <c r="P52" s="6">
        <f t="shared" si="0"/>
        <v>400.27799999999996</v>
      </c>
      <c r="Q52" s="6">
        <f t="shared" si="1"/>
        <v>7605.2819999999992</v>
      </c>
      <c r="R52" s="2" t="str">
        <f t="shared" si="3"/>
        <v>Low</v>
      </c>
      <c r="S52" s="2" t="str" cm="1">
        <f t="array" ref="S52">_xlfn.IFS(L52&gt;=8,"High",L52&gt;=5,"Medium",L52&lt;5,"Low")</f>
        <v>Low</v>
      </c>
      <c r="T52" s="2" t="str">
        <f t="shared" si="4"/>
        <v>Low</v>
      </c>
    </row>
    <row r="53" spans="1:24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f t="shared" si="2"/>
        <v>12670.35</v>
      </c>
      <c r="O53" s="5">
        <v>10</v>
      </c>
      <c r="P53" s="6">
        <f t="shared" si="0"/>
        <v>1267.0350000000001</v>
      </c>
      <c r="Q53" s="6">
        <f t="shared" si="1"/>
        <v>11403.315000000001</v>
      </c>
      <c r="R53" s="2" t="str">
        <f t="shared" si="3"/>
        <v>High</v>
      </c>
      <c r="S53" s="2" t="str" cm="1">
        <f t="array" ref="S53">_xlfn.IFS(L53&gt;=8,"High",L53&gt;=5,"Medium",L53&lt;5,"Low")</f>
        <v>Medium</v>
      </c>
      <c r="T53" s="2" t="str">
        <f t="shared" si="4"/>
        <v>Low</v>
      </c>
    </row>
    <row r="54" spans="1:24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f t="shared" si="2"/>
        <v>11428.96</v>
      </c>
      <c r="O54" s="5">
        <v>10</v>
      </c>
      <c r="P54" s="6">
        <f t="shared" si="0"/>
        <v>1142.896</v>
      </c>
      <c r="Q54" s="6">
        <f t="shared" si="1"/>
        <v>10286.063999999998</v>
      </c>
      <c r="R54" s="2" t="str">
        <f t="shared" si="3"/>
        <v>High</v>
      </c>
      <c r="S54" s="2" t="str" cm="1">
        <f t="array" ref="S54">_xlfn.IFS(L54&gt;=8,"High",L54&gt;=5,"Medium",L54&lt;5,"Low")</f>
        <v>High</v>
      </c>
      <c r="T54" s="2" t="str">
        <f t="shared" si="4"/>
        <v>Low</v>
      </c>
    </row>
    <row r="55" spans="1:24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f t="shared" si="2"/>
        <v>7446.38</v>
      </c>
      <c r="O55" s="5">
        <v>5</v>
      </c>
      <c r="P55" s="6">
        <f t="shared" si="0"/>
        <v>372.31900000000002</v>
      </c>
      <c r="Q55" s="6">
        <f t="shared" si="1"/>
        <v>7074.0609999999997</v>
      </c>
      <c r="R55" s="2" t="str">
        <f t="shared" si="3"/>
        <v>Low</v>
      </c>
      <c r="S55" s="2" t="str" cm="1">
        <f t="array" ref="S55">_xlfn.IFS(L55&gt;=8,"High",L55&gt;=5,"Medium",L55&lt;5,"Low")</f>
        <v>Low</v>
      </c>
      <c r="T55" s="2" t="str">
        <f t="shared" si="4"/>
        <v>Low</v>
      </c>
    </row>
    <row r="56" spans="1:24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f t="shared" si="2"/>
        <v>20416.32</v>
      </c>
      <c r="O56" s="5">
        <v>15</v>
      </c>
      <c r="P56" s="6">
        <f t="shared" si="0"/>
        <v>3062.4479999999999</v>
      </c>
      <c r="Q56" s="6">
        <f t="shared" si="1"/>
        <v>17353.871999999999</v>
      </c>
      <c r="R56" s="2" t="str">
        <f t="shared" si="3"/>
        <v>High</v>
      </c>
      <c r="S56" s="2" t="str" cm="1">
        <f t="array" ref="S56">_xlfn.IFS(L56&gt;=8,"High",L56&gt;=5,"Medium",L56&lt;5,"Low")</f>
        <v>Medium</v>
      </c>
      <c r="T56" s="2" t="str">
        <f t="shared" si="4"/>
        <v>High</v>
      </c>
    </row>
    <row r="57" spans="1:24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f t="shared" si="2"/>
        <v>9110.9700000000012</v>
      </c>
      <c r="O57" s="5">
        <v>20</v>
      </c>
      <c r="P57" s="6">
        <f t="shared" si="0"/>
        <v>1822.1940000000002</v>
      </c>
      <c r="Q57" s="6">
        <f t="shared" si="1"/>
        <v>7288.7760000000007</v>
      </c>
      <c r="R57" s="2" t="str">
        <f t="shared" si="3"/>
        <v>Low</v>
      </c>
      <c r="S57" s="2" t="str" cm="1">
        <f t="array" ref="S57">_xlfn.IFS(L57&gt;=8,"High",L57&gt;=5,"Medium",L57&lt;5,"Low")</f>
        <v>High</v>
      </c>
      <c r="T57" s="2" t="str">
        <f t="shared" si="4"/>
        <v>Medium</v>
      </c>
    </row>
    <row r="58" spans="1:24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f t="shared" si="2"/>
        <v>16978.88</v>
      </c>
      <c r="O58" s="5">
        <v>0</v>
      </c>
      <c r="P58" s="6">
        <f t="shared" si="0"/>
        <v>0</v>
      </c>
      <c r="Q58" s="6">
        <f t="shared" si="1"/>
        <v>16978.88</v>
      </c>
      <c r="R58" s="2" t="str">
        <f t="shared" si="3"/>
        <v>High</v>
      </c>
      <c r="S58" s="2" t="str" cm="1">
        <f t="array" ref="S58">_xlfn.IFS(L58&gt;=8,"High",L58&gt;=5,"Medium",L58&lt;5,"Low")</f>
        <v>High</v>
      </c>
      <c r="T58" s="2" t="str">
        <f t="shared" si="4"/>
        <v>Low</v>
      </c>
    </row>
    <row r="59" spans="1:24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f t="shared" si="2"/>
        <v>25026</v>
      </c>
      <c r="O59" s="5">
        <v>15</v>
      </c>
      <c r="P59" s="6">
        <f t="shared" si="0"/>
        <v>3753.9</v>
      </c>
      <c r="Q59" s="6">
        <f t="shared" si="1"/>
        <v>21272.1</v>
      </c>
      <c r="R59" s="2" t="str">
        <f t="shared" si="3"/>
        <v>High</v>
      </c>
      <c r="S59" s="2" t="str" cm="1">
        <f t="array" ref="S59">_xlfn.IFS(L59&gt;=8,"High",L59&gt;=5,"Medium",L59&lt;5,"Low")</f>
        <v>High</v>
      </c>
      <c r="T59" s="2" t="str">
        <f t="shared" si="4"/>
        <v>High</v>
      </c>
    </row>
    <row r="60" spans="1:24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f t="shared" si="2"/>
        <v>2236.92</v>
      </c>
      <c r="O60" s="5">
        <v>10</v>
      </c>
      <c r="P60" s="6">
        <f t="shared" si="0"/>
        <v>223.69200000000001</v>
      </c>
      <c r="Q60" s="6">
        <f t="shared" si="1"/>
        <v>2013.2280000000001</v>
      </c>
      <c r="R60" s="2" t="str">
        <f t="shared" si="3"/>
        <v>Low</v>
      </c>
      <c r="S60" s="2" t="str" cm="1">
        <f t="array" ref="S60">_xlfn.IFS(L60&gt;=8,"High",L60&gt;=5,"Medium",L60&lt;5,"Low")</f>
        <v>Medium</v>
      </c>
      <c r="T60" s="2" t="str">
        <f t="shared" si="4"/>
        <v>Low</v>
      </c>
    </row>
    <row r="61" spans="1:24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f t="shared" si="2"/>
        <v>15874.26</v>
      </c>
      <c r="O61" s="5">
        <v>10</v>
      </c>
      <c r="P61" s="6">
        <f t="shared" si="0"/>
        <v>1587.4260000000002</v>
      </c>
      <c r="Q61" s="6">
        <f t="shared" si="1"/>
        <v>14286.834000000001</v>
      </c>
      <c r="R61" s="2" t="str">
        <f t="shared" si="3"/>
        <v>High</v>
      </c>
      <c r="S61" s="2" t="str" cm="1">
        <f t="array" ref="S61">_xlfn.IFS(L61&gt;=8,"High",L61&gt;=5,"Medium",L61&lt;5,"Low")</f>
        <v>Medium</v>
      </c>
      <c r="T61" s="2" t="str">
        <f t="shared" si="4"/>
        <v>Medium</v>
      </c>
    </row>
    <row r="62" spans="1:24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f t="shared" si="2"/>
        <v>2082.4</v>
      </c>
      <c r="O62" s="5">
        <v>15</v>
      </c>
      <c r="P62" s="6">
        <f t="shared" si="0"/>
        <v>312.36</v>
      </c>
      <c r="Q62" s="6">
        <f t="shared" si="1"/>
        <v>1770.04</v>
      </c>
      <c r="R62" s="2" t="str">
        <f t="shared" si="3"/>
        <v>Low</v>
      </c>
      <c r="S62" s="2" t="str" cm="1">
        <f t="array" ref="S62">_xlfn.IFS(L62&gt;=8,"High",L62&gt;=5,"Medium",L62&lt;5,"Low")</f>
        <v>Low</v>
      </c>
      <c r="T62" s="2" t="str">
        <f t="shared" si="4"/>
        <v>Low</v>
      </c>
    </row>
    <row r="63" spans="1:24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f t="shared" si="2"/>
        <v>5546.42</v>
      </c>
      <c r="O63" s="5">
        <v>10</v>
      </c>
      <c r="P63" s="6">
        <f t="shared" si="0"/>
        <v>554.64199999999994</v>
      </c>
      <c r="Q63" s="6">
        <f t="shared" si="1"/>
        <v>4991.7780000000002</v>
      </c>
      <c r="R63" s="2" t="str">
        <f t="shared" si="3"/>
        <v>Low</v>
      </c>
      <c r="S63" s="2" t="str" cm="1">
        <f t="array" ref="S63">_xlfn.IFS(L63&gt;=8,"High",L63&gt;=5,"Medium",L63&lt;5,"Low")</f>
        <v>Low</v>
      </c>
      <c r="T63" s="2" t="str">
        <f t="shared" si="4"/>
        <v>Low</v>
      </c>
    </row>
    <row r="64" spans="1:24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f t="shared" si="2"/>
        <v>30157.68</v>
      </c>
      <c r="O64" s="5">
        <v>5</v>
      </c>
      <c r="P64" s="6">
        <f t="shared" si="0"/>
        <v>1507.884</v>
      </c>
      <c r="Q64" s="6">
        <f t="shared" si="1"/>
        <v>28649.796000000002</v>
      </c>
      <c r="R64" s="2" t="str">
        <f t="shared" si="3"/>
        <v>High</v>
      </c>
      <c r="S64" s="2" t="str" cm="1">
        <f t="array" ref="S64">_xlfn.IFS(L64&gt;=8,"High",L64&gt;=5,"Medium",L64&lt;5,"Low")</f>
        <v>High</v>
      </c>
      <c r="T64" s="2" t="str">
        <f t="shared" si="4"/>
        <v>Medium</v>
      </c>
    </row>
    <row r="65" spans="1:20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f t="shared" si="2"/>
        <v>330.13</v>
      </c>
      <c r="O65" s="5">
        <v>15</v>
      </c>
      <c r="P65" s="6">
        <f t="shared" si="0"/>
        <v>49.519500000000001</v>
      </c>
      <c r="Q65" s="6">
        <f t="shared" si="1"/>
        <v>280.6105</v>
      </c>
      <c r="R65" s="2" t="str">
        <f t="shared" si="3"/>
        <v>Low</v>
      </c>
      <c r="S65" s="2" t="str" cm="1">
        <f t="array" ref="S65">_xlfn.IFS(L65&gt;=8,"High",L65&gt;=5,"Medium",L65&lt;5,"Low")</f>
        <v>Low</v>
      </c>
      <c r="T65" s="2" t="str">
        <f t="shared" si="4"/>
        <v>Low</v>
      </c>
    </row>
    <row r="66" spans="1:20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f t="shared" si="2"/>
        <v>8283.9600000000009</v>
      </c>
      <c r="O66" s="5">
        <v>0</v>
      </c>
      <c r="P66" s="6">
        <f t="shared" ref="P66:P129" si="5">N66*O66/100</f>
        <v>0</v>
      </c>
      <c r="Q66" s="6">
        <f t="shared" ref="Q66:Q129" si="6">N66-P66</f>
        <v>8283.9600000000009</v>
      </c>
      <c r="R66" s="2" t="str">
        <f t="shared" si="3"/>
        <v>Low</v>
      </c>
      <c r="S66" s="2" t="str" cm="1">
        <f t="array" ref="S66">_xlfn.IFS(L66&gt;=8,"High",L66&gt;=5,"Medium",L66&lt;5,"Low")</f>
        <v>Medium</v>
      </c>
      <c r="T66" s="2" t="str">
        <f t="shared" si="4"/>
        <v>Low</v>
      </c>
    </row>
    <row r="67" spans="1:20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f t="shared" ref="N67:N130" si="7">L67*M67</f>
        <v>11021.880000000001</v>
      </c>
      <c r="O67" s="5">
        <v>5</v>
      </c>
      <c r="P67" s="6">
        <f t="shared" si="5"/>
        <v>551.09400000000005</v>
      </c>
      <c r="Q67" s="6">
        <f t="shared" si="6"/>
        <v>10470.786</v>
      </c>
      <c r="R67" s="2" t="str">
        <f t="shared" ref="R67:R130" si="8">IF(Q67&gt;=10000,"High","Low")</f>
        <v>High</v>
      </c>
      <c r="S67" s="2" t="str" cm="1">
        <f t="array" ref="S67">_xlfn.IFS(L67&gt;=8,"High",L67&gt;=5,"Medium",L67&lt;5,"Low")</f>
        <v>Medium</v>
      </c>
      <c r="T67" s="2" t="str">
        <f t="shared" ref="T67:T130" si="9">IF(P67&gt;=3000,"High",IF(P67&gt;=1500,"Medium","Low"))</f>
        <v>Low</v>
      </c>
    </row>
    <row r="68" spans="1:20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f t="shared" si="7"/>
        <v>14448.6</v>
      </c>
      <c r="O68" s="5">
        <v>20</v>
      </c>
      <c r="P68" s="6">
        <f t="shared" si="5"/>
        <v>2889.72</v>
      </c>
      <c r="Q68" s="6">
        <f t="shared" si="6"/>
        <v>11558.880000000001</v>
      </c>
      <c r="R68" s="2" t="str">
        <f t="shared" si="8"/>
        <v>High</v>
      </c>
      <c r="S68" s="2" t="str" cm="1">
        <f t="array" ref="S68">_xlfn.IFS(L68&gt;=8,"High",L68&gt;=5,"Medium",L68&lt;5,"Low")</f>
        <v>Low</v>
      </c>
      <c r="T68" s="2" t="str">
        <f t="shared" si="9"/>
        <v>Medium</v>
      </c>
    </row>
    <row r="69" spans="1:20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f t="shared" si="7"/>
        <v>11564.130000000001</v>
      </c>
      <c r="O69" s="5">
        <v>5</v>
      </c>
      <c r="P69" s="6">
        <f t="shared" si="5"/>
        <v>578.20650000000012</v>
      </c>
      <c r="Q69" s="6">
        <f t="shared" si="6"/>
        <v>10985.923500000001</v>
      </c>
      <c r="R69" s="2" t="str">
        <f t="shared" si="8"/>
        <v>High</v>
      </c>
      <c r="S69" s="2" t="str" cm="1">
        <f t="array" ref="S69">_xlfn.IFS(L69&gt;=8,"High",L69&gt;=5,"Medium",L69&lt;5,"Low")</f>
        <v>Low</v>
      </c>
      <c r="T69" s="2" t="str">
        <f t="shared" si="9"/>
        <v>Low</v>
      </c>
    </row>
    <row r="70" spans="1:20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f t="shared" si="7"/>
        <v>5579.5199999999995</v>
      </c>
      <c r="O70" s="5">
        <v>15</v>
      </c>
      <c r="P70" s="6">
        <f t="shared" si="5"/>
        <v>836.92799999999988</v>
      </c>
      <c r="Q70" s="6">
        <f t="shared" si="6"/>
        <v>4742.5919999999996</v>
      </c>
      <c r="R70" s="2" t="str">
        <f t="shared" si="8"/>
        <v>Low</v>
      </c>
      <c r="S70" s="2" t="str" cm="1">
        <f t="array" ref="S70">_xlfn.IFS(L70&gt;=8,"High",L70&gt;=5,"Medium",L70&lt;5,"Low")</f>
        <v>Low</v>
      </c>
      <c r="T70" s="2" t="str">
        <f t="shared" si="9"/>
        <v>Low</v>
      </c>
    </row>
    <row r="71" spans="1:20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f t="shared" si="7"/>
        <v>3037.61</v>
      </c>
      <c r="O71" s="5">
        <v>5</v>
      </c>
      <c r="P71" s="6">
        <f t="shared" si="5"/>
        <v>151.88050000000001</v>
      </c>
      <c r="Q71" s="6">
        <f t="shared" si="6"/>
        <v>2885.7294999999999</v>
      </c>
      <c r="R71" s="2" t="str">
        <f t="shared" si="8"/>
        <v>Low</v>
      </c>
      <c r="S71" s="2" t="str" cm="1">
        <f t="array" ref="S71">_xlfn.IFS(L71&gt;=8,"High",L71&gt;=5,"Medium",L71&lt;5,"Low")</f>
        <v>Low</v>
      </c>
      <c r="T71" s="2" t="str">
        <f t="shared" si="9"/>
        <v>Low</v>
      </c>
    </row>
    <row r="72" spans="1:20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f t="shared" si="7"/>
        <v>6590.67</v>
      </c>
      <c r="O72" s="5">
        <v>0</v>
      </c>
      <c r="P72" s="6">
        <f t="shared" si="5"/>
        <v>0</v>
      </c>
      <c r="Q72" s="6">
        <f t="shared" si="6"/>
        <v>6590.67</v>
      </c>
      <c r="R72" s="2" t="str">
        <f t="shared" si="8"/>
        <v>Low</v>
      </c>
      <c r="S72" s="2" t="str" cm="1">
        <f t="array" ref="S72">_xlfn.IFS(L72&gt;=8,"High",L72&gt;=5,"Medium",L72&lt;5,"Low")</f>
        <v>Low</v>
      </c>
      <c r="T72" s="2" t="str">
        <f t="shared" si="9"/>
        <v>Low</v>
      </c>
    </row>
    <row r="73" spans="1:20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f t="shared" si="7"/>
        <v>8881.84</v>
      </c>
      <c r="O73" s="5">
        <v>0</v>
      </c>
      <c r="P73" s="6">
        <f t="shared" si="5"/>
        <v>0</v>
      </c>
      <c r="Q73" s="6">
        <f t="shared" si="6"/>
        <v>8881.84</v>
      </c>
      <c r="R73" s="2" t="str">
        <f t="shared" si="8"/>
        <v>Low</v>
      </c>
      <c r="S73" s="2" t="str" cm="1">
        <f t="array" ref="S73">_xlfn.IFS(L73&gt;=8,"High",L73&gt;=5,"Medium",L73&lt;5,"Low")</f>
        <v>Low</v>
      </c>
      <c r="T73" s="2" t="str">
        <f t="shared" si="9"/>
        <v>Low</v>
      </c>
    </row>
    <row r="74" spans="1:20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f t="shared" si="7"/>
        <v>6103.4000000000005</v>
      </c>
      <c r="O74" s="5">
        <v>20</v>
      </c>
      <c r="P74" s="6">
        <f t="shared" si="5"/>
        <v>1220.68</v>
      </c>
      <c r="Q74" s="6">
        <f t="shared" si="6"/>
        <v>4882.72</v>
      </c>
      <c r="R74" s="2" t="str">
        <f t="shared" si="8"/>
        <v>Low</v>
      </c>
      <c r="S74" s="2" t="str" cm="1">
        <f t="array" ref="S74">_xlfn.IFS(L74&gt;=8,"High",L74&gt;=5,"Medium",L74&lt;5,"Low")</f>
        <v>Medium</v>
      </c>
      <c r="T74" s="2" t="str">
        <f t="shared" si="9"/>
        <v>Low</v>
      </c>
    </row>
    <row r="75" spans="1:20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f t="shared" si="7"/>
        <v>2955.84</v>
      </c>
      <c r="O75" s="5">
        <v>10</v>
      </c>
      <c r="P75" s="6">
        <f t="shared" si="5"/>
        <v>295.584</v>
      </c>
      <c r="Q75" s="6">
        <f t="shared" si="6"/>
        <v>2660.2560000000003</v>
      </c>
      <c r="R75" s="2" t="str">
        <f t="shared" si="8"/>
        <v>Low</v>
      </c>
      <c r="S75" s="2" t="str" cm="1">
        <f t="array" ref="S75">_xlfn.IFS(L75&gt;=8,"High",L75&gt;=5,"Medium",L75&lt;5,"Low")</f>
        <v>Low</v>
      </c>
      <c r="T75" s="2" t="str">
        <f t="shared" si="9"/>
        <v>Low</v>
      </c>
    </row>
    <row r="76" spans="1:20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f t="shared" si="7"/>
        <v>11459.300000000001</v>
      </c>
      <c r="O76" s="5">
        <v>15</v>
      </c>
      <c r="P76" s="6">
        <f t="shared" si="5"/>
        <v>1718.8950000000002</v>
      </c>
      <c r="Q76" s="6">
        <f t="shared" si="6"/>
        <v>9740.4050000000007</v>
      </c>
      <c r="R76" s="2" t="str">
        <f t="shared" si="8"/>
        <v>Low</v>
      </c>
      <c r="S76" s="2" t="str" cm="1">
        <f t="array" ref="S76">_xlfn.IFS(L76&gt;=8,"High",L76&gt;=5,"Medium",L76&lt;5,"Low")</f>
        <v>Medium</v>
      </c>
      <c r="T76" s="2" t="str">
        <f t="shared" si="9"/>
        <v>Medium</v>
      </c>
    </row>
    <row r="77" spans="1:20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f t="shared" si="7"/>
        <v>786.75</v>
      </c>
      <c r="O77" s="5">
        <v>10</v>
      </c>
      <c r="P77" s="6">
        <f t="shared" si="5"/>
        <v>78.674999999999997</v>
      </c>
      <c r="Q77" s="6">
        <f t="shared" si="6"/>
        <v>708.07500000000005</v>
      </c>
      <c r="R77" s="2" t="str">
        <f t="shared" si="8"/>
        <v>Low</v>
      </c>
      <c r="S77" s="2" t="str" cm="1">
        <f t="array" ref="S77">_xlfn.IFS(L77&gt;=8,"High",L77&gt;=5,"Medium",L77&lt;5,"Low")</f>
        <v>Low</v>
      </c>
      <c r="T77" s="2" t="str">
        <f t="shared" si="9"/>
        <v>Low</v>
      </c>
    </row>
    <row r="78" spans="1:20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f t="shared" si="7"/>
        <v>21857.46</v>
      </c>
      <c r="O78" s="5">
        <v>0</v>
      </c>
      <c r="P78" s="6">
        <f t="shared" si="5"/>
        <v>0</v>
      </c>
      <c r="Q78" s="6">
        <f t="shared" si="6"/>
        <v>21857.46</v>
      </c>
      <c r="R78" s="2" t="str">
        <f t="shared" si="8"/>
        <v>High</v>
      </c>
      <c r="S78" s="2" t="str" cm="1">
        <f t="array" ref="S78">_xlfn.IFS(L78&gt;=8,"High",L78&gt;=5,"Medium",L78&lt;5,"Low")</f>
        <v>Medium</v>
      </c>
      <c r="T78" s="2" t="str">
        <f t="shared" si="9"/>
        <v>Low</v>
      </c>
    </row>
    <row r="79" spans="1:20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f t="shared" si="7"/>
        <v>4510.1400000000003</v>
      </c>
      <c r="O79" s="5">
        <v>0</v>
      </c>
      <c r="P79" s="6">
        <f t="shared" si="5"/>
        <v>0</v>
      </c>
      <c r="Q79" s="6">
        <f t="shared" si="6"/>
        <v>4510.1400000000003</v>
      </c>
      <c r="R79" s="2" t="str">
        <f t="shared" si="8"/>
        <v>Low</v>
      </c>
      <c r="S79" s="2" t="str" cm="1">
        <f t="array" ref="S79">_xlfn.IFS(L79&gt;=8,"High",L79&gt;=5,"Medium",L79&lt;5,"Low")</f>
        <v>Medium</v>
      </c>
      <c r="T79" s="2" t="str">
        <f t="shared" si="9"/>
        <v>Low</v>
      </c>
    </row>
    <row r="80" spans="1:20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f t="shared" si="7"/>
        <v>7978.72</v>
      </c>
      <c r="O80" s="5">
        <v>5</v>
      </c>
      <c r="P80" s="6">
        <f t="shared" si="5"/>
        <v>398.93599999999998</v>
      </c>
      <c r="Q80" s="6">
        <f t="shared" si="6"/>
        <v>7579.7840000000006</v>
      </c>
      <c r="R80" s="2" t="str">
        <f t="shared" si="8"/>
        <v>Low</v>
      </c>
      <c r="S80" s="2" t="str" cm="1">
        <f t="array" ref="S80">_xlfn.IFS(L80&gt;=8,"High",L80&gt;=5,"Medium",L80&lt;5,"Low")</f>
        <v>High</v>
      </c>
      <c r="T80" s="2" t="str">
        <f t="shared" si="9"/>
        <v>Low</v>
      </c>
    </row>
    <row r="81" spans="1:20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f t="shared" si="7"/>
        <v>4290.72</v>
      </c>
      <c r="O81" s="5">
        <v>20</v>
      </c>
      <c r="P81" s="6">
        <f t="shared" si="5"/>
        <v>858.14400000000012</v>
      </c>
      <c r="Q81" s="6">
        <f t="shared" si="6"/>
        <v>3432.576</v>
      </c>
      <c r="R81" s="2" t="str">
        <f t="shared" si="8"/>
        <v>Low</v>
      </c>
      <c r="S81" s="2" t="str" cm="1">
        <f t="array" ref="S81">_xlfn.IFS(L81&gt;=8,"High",L81&gt;=5,"Medium",L81&lt;5,"Low")</f>
        <v>Low</v>
      </c>
      <c r="T81" s="2" t="str">
        <f t="shared" si="9"/>
        <v>Low</v>
      </c>
    </row>
    <row r="82" spans="1:20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f t="shared" si="7"/>
        <v>2883.94</v>
      </c>
      <c r="O82" s="5">
        <v>20</v>
      </c>
      <c r="P82" s="6">
        <f t="shared" si="5"/>
        <v>576.78800000000001</v>
      </c>
      <c r="Q82" s="6">
        <f t="shared" si="6"/>
        <v>2307.152</v>
      </c>
      <c r="R82" s="2" t="str">
        <f t="shared" si="8"/>
        <v>Low</v>
      </c>
      <c r="S82" s="2" t="str" cm="1">
        <f t="array" ref="S82">_xlfn.IFS(L82&gt;=8,"High",L82&gt;=5,"Medium",L82&lt;5,"Low")</f>
        <v>Low</v>
      </c>
      <c r="T82" s="2" t="str">
        <f t="shared" si="9"/>
        <v>Low</v>
      </c>
    </row>
    <row r="83" spans="1:20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f t="shared" si="7"/>
        <v>2074.2399999999998</v>
      </c>
      <c r="O83" s="5">
        <v>20</v>
      </c>
      <c r="P83" s="6">
        <f t="shared" si="5"/>
        <v>414.84799999999996</v>
      </c>
      <c r="Q83" s="6">
        <f t="shared" si="6"/>
        <v>1659.3919999999998</v>
      </c>
      <c r="R83" s="2" t="str">
        <f t="shared" si="8"/>
        <v>Low</v>
      </c>
      <c r="S83" s="2" t="str" cm="1">
        <f t="array" ref="S83">_xlfn.IFS(L83&gt;=8,"High",L83&gt;=5,"Medium",L83&lt;5,"Low")</f>
        <v>Low</v>
      </c>
      <c r="T83" s="2" t="str">
        <f t="shared" si="9"/>
        <v>Low</v>
      </c>
    </row>
    <row r="84" spans="1:20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f t="shared" si="7"/>
        <v>9611.84</v>
      </c>
      <c r="O84" s="5">
        <v>5</v>
      </c>
      <c r="P84" s="6">
        <f t="shared" si="5"/>
        <v>480.59199999999998</v>
      </c>
      <c r="Q84" s="6">
        <f t="shared" si="6"/>
        <v>9131.2479999999996</v>
      </c>
      <c r="R84" s="2" t="str">
        <f t="shared" si="8"/>
        <v>Low</v>
      </c>
      <c r="S84" s="2" t="str" cm="1">
        <f t="array" ref="S84">_xlfn.IFS(L84&gt;=8,"High",L84&gt;=5,"Medium",L84&lt;5,"Low")</f>
        <v>Medium</v>
      </c>
      <c r="T84" s="2" t="str">
        <f t="shared" si="9"/>
        <v>Low</v>
      </c>
    </row>
    <row r="85" spans="1:20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f t="shared" si="7"/>
        <v>11638.2</v>
      </c>
      <c r="O85" s="5">
        <v>20</v>
      </c>
      <c r="P85" s="6">
        <f t="shared" si="5"/>
        <v>2327.64</v>
      </c>
      <c r="Q85" s="6">
        <f t="shared" si="6"/>
        <v>9310.5600000000013</v>
      </c>
      <c r="R85" s="2" t="str">
        <f t="shared" si="8"/>
        <v>Low</v>
      </c>
      <c r="S85" s="2" t="str" cm="1">
        <f t="array" ref="S85">_xlfn.IFS(L85&gt;=8,"High",L85&gt;=5,"Medium",L85&lt;5,"Low")</f>
        <v>Low</v>
      </c>
      <c r="T85" s="2" t="str">
        <f t="shared" si="9"/>
        <v>Medium</v>
      </c>
    </row>
    <row r="86" spans="1:20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f t="shared" si="7"/>
        <v>16852.599999999999</v>
      </c>
      <c r="O86" s="5">
        <v>10</v>
      </c>
      <c r="P86" s="6">
        <f t="shared" si="5"/>
        <v>1685.26</v>
      </c>
      <c r="Q86" s="6">
        <f t="shared" si="6"/>
        <v>15167.339999999998</v>
      </c>
      <c r="R86" s="2" t="str">
        <f t="shared" si="8"/>
        <v>High</v>
      </c>
      <c r="S86" s="2" t="str" cm="1">
        <f t="array" ref="S86">_xlfn.IFS(L86&gt;=8,"High",L86&gt;=5,"Medium",L86&lt;5,"Low")</f>
        <v>Medium</v>
      </c>
      <c r="T86" s="2" t="str">
        <f t="shared" si="9"/>
        <v>Medium</v>
      </c>
    </row>
    <row r="87" spans="1:20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f t="shared" si="7"/>
        <v>1029.99</v>
      </c>
      <c r="O87" s="5">
        <v>5</v>
      </c>
      <c r="P87" s="6">
        <f t="shared" si="5"/>
        <v>51.499499999999998</v>
      </c>
      <c r="Q87" s="6">
        <f t="shared" si="6"/>
        <v>978.4905</v>
      </c>
      <c r="R87" s="2" t="str">
        <f t="shared" si="8"/>
        <v>Low</v>
      </c>
      <c r="S87" s="2" t="str" cm="1">
        <f t="array" ref="S87">_xlfn.IFS(L87&gt;=8,"High",L87&gt;=5,"Medium",L87&lt;5,"Low")</f>
        <v>Low</v>
      </c>
      <c r="T87" s="2" t="str">
        <f t="shared" si="9"/>
        <v>Low</v>
      </c>
    </row>
    <row r="88" spans="1:20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f t="shared" si="7"/>
        <v>17448.84</v>
      </c>
      <c r="O88" s="5">
        <v>20</v>
      </c>
      <c r="P88" s="6">
        <f t="shared" si="5"/>
        <v>3489.768</v>
      </c>
      <c r="Q88" s="6">
        <f t="shared" si="6"/>
        <v>13959.072</v>
      </c>
      <c r="R88" s="2" t="str">
        <f t="shared" si="8"/>
        <v>High</v>
      </c>
      <c r="S88" s="2" t="str" cm="1">
        <f t="array" ref="S88">_xlfn.IFS(L88&gt;=8,"High",L88&gt;=5,"Medium",L88&lt;5,"Low")</f>
        <v>High</v>
      </c>
      <c r="T88" s="2" t="str">
        <f t="shared" si="9"/>
        <v>High</v>
      </c>
    </row>
    <row r="89" spans="1:20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f t="shared" si="7"/>
        <v>6446.08</v>
      </c>
      <c r="O89" s="5">
        <v>10</v>
      </c>
      <c r="P89" s="6">
        <f t="shared" si="5"/>
        <v>644.60800000000006</v>
      </c>
      <c r="Q89" s="6">
        <f t="shared" si="6"/>
        <v>5801.4719999999998</v>
      </c>
      <c r="R89" s="2" t="str">
        <f t="shared" si="8"/>
        <v>Low</v>
      </c>
      <c r="S89" s="2" t="str" cm="1">
        <f t="array" ref="S89">_xlfn.IFS(L89&gt;=8,"High",L89&gt;=5,"Medium",L89&lt;5,"Low")</f>
        <v>Low</v>
      </c>
      <c r="T89" s="2" t="str">
        <f t="shared" si="9"/>
        <v>Low</v>
      </c>
    </row>
    <row r="90" spans="1:20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f t="shared" si="7"/>
        <v>4106.58</v>
      </c>
      <c r="O90" s="5">
        <v>10</v>
      </c>
      <c r="P90" s="6">
        <f t="shared" si="5"/>
        <v>410.65800000000002</v>
      </c>
      <c r="Q90" s="6">
        <f t="shared" si="6"/>
        <v>3695.922</v>
      </c>
      <c r="R90" s="2" t="str">
        <f t="shared" si="8"/>
        <v>Low</v>
      </c>
      <c r="S90" s="2" t="str" cm="1">
        <f t="array" ref="S90">_xlfn.IFS(L90&gt;=8,"High",L90&gt;=5,"Medium",L90&lt;5,"Low")</f>
        <v>Low</v>
      </c>
      <c r="T90" s="2" t="str">
        <f t="shared" si="9"/>
        <v>Low</v>
      </c>
    </row>
    <row r="91" spans="1:20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f t="shared" si="7"/>
        <v>2499.88</v>
      </c>
      <c r="O91" s="5">
        <v>10</v>
      </c>
      <c r="P91" s="6">
        <f t="shared" si="5"/>
        <v>249.98800000000003</v>
      </c>
      <c r="Q91" s="6">
        <f t="shared" si="6"/>
        <v>2249.8920000000003</v>
      </c>
      <c r="R91" s="2" t="str">
        <f t="shared" si="8"/>
        <v>Low</v>
      </c>
      <c r="S91" s="2" t="str" cm="1">
        <f t="array" ref="S91">_xlfn.IFS(L91&gt;=8,"High",L91&gt;=5,"Medium",L91&lt;5,"Low")</f>
        <v>Low</v>
      </c>
      <c r="T91" s="2" t="str">
        <f t="shared" si="9"/>
        <v>Low</v>
      </c>
    </row>
    <row r="92" spans="1:20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f t="shared" si="7"/>
        <v>4516.1100000000006</v>
      </c>
      <c r="O92" s="5">
        <v>5</v>
      </c>
      <c r="P92" s="6">
        <f t="shared" si="5"/>
        <v>225.80550000000002</v>
      </c>
      <c r="Q92" s="6">
        <f t="shared" si="6"/>
        <v>4290.3045000000002</v>
      </c>
      <c r="R92" s="2" t="str">
        <f t="shared" si="8"/>
        <v>Low</v>
      </c>
      <c r="S92" s="2" t="str" cm="1">
        <f t="array" ref="S92">_xlfn.IFS(L92&gt;=8,"High",L92&gt;=5,"Medium",L92&lt;5,"Low")</f>
        <v>High</v>
      </c>
      <c r="T92" s="2" t="str">
        <f t="shared" si="9"/>
        <v>Low</v>
      </c>
    </row>
    <row r="93" spans="1:20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f t="shared" si="7"/>
        <v>5448.32</v>
      </c>
      <c r="O93" s="5">
        <v>15</v>
      </c>
      <c r="P93" s="6">
        <f t="shared" si="5"/>
        <v>817.24799999999993</v>
      </c>
      <c r="Q93" s="6">
        <f t="shared" si="6"/>
        <v>4631.0720000000001</v>
      </c>
      <c r="R93" s="2" t="str">
        <f t="shared" si="8"/>
        <v>Low</v>
      </c>
      <c r="S93" s="2" t="str" cm="1">
        <f t="array" ref="S93">_xlfn.IFS(L93&gt;=8,"High",L93&gt;=5,"Medium",L93&lt;5,"Low")</f>
        <v>Low</v>
      </c>
      <c r="T93" s="2" t="str">
        <f t="shared" si="9"/>
        <v>Low</v>
      </c>
    </row>
    <row r="94" spans="1:20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f t="shared" si="7"/>
        <v>947.25</v>
      </c>
      <c r="O94" s="5">
        <v>20</v>
      </c>
      <c r="P94" s="6">
        <f t="shared" si="5"/>
        <v>189.45</v>
      </c>
      <c r="Q94" s="6">
        <f t="shared" si="6"/>
        <v>757.8</v>
      </c>
      <c r="R94" s="2" t="str">
        <f t="shared" si="8"/>
        <v>Low</v>
      </c>
      <c r="S94" s="2" t="str" cm="1">
        <f t="array" ref="S94">_xlfn.IFS(L94&gt;=8,"High",L94&gt;=5,"Medium",L94&lt;5,"Low")</f>
        <v>Low</v>
      </c>
      <c r="T94" s="2" t="str">
        <f t="shared" si="9"/>
        <v>Low</v>
      </c>
    </row>
    <row r="95" spans="1:20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f t="shared" si="7"/>
        <v>22096.97</v>
      </c>
      <c r="O95" s="5">
        <v>10</v>
      </c>
      <c r="P95" s="6">
        <f t="shared" si="5"/>
        <v>2209.6970000000001</v>
      </c>
      <c r="Q95" s="6">
        <f t="shared" si="6"/>
        <v>19887.273000000001</v>
      </c>
      <c r="R95" s="2" t="str">
        <f t="shared" si="8"/>
        <v>High</v>
      </c>
      <c r="S95" s="2" t="str" cm="1">
        <f t="array" ref="S95">_xlfn.IFS(L95&gt;=8,"High",L95&gt;=5,"Medium",L95&lt;5,"Low")</f>
        <v>Medium</v>
      </c>
      <c r="T95" s="2" t="str">
        <f t="shared" si="9"/>
        <v>Medium</v>
      </c>
    </row>
    <row r="96" spans="1:20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f t="shared" si="7"/>
        <v>13465.44</v>
      </c>
      <c r="O96" s="5">
        <v>15</v>
      </c>
      <c r="P96" s="6">
        <f t="shared" si="5"/>
        <v>2019.816</v>
      </c>
      <c r="Q96" s="6">
        <f t="shared" si="6"/>
        <v>11445.624</v>
      </c>
      <c r="R96" s="2" t="str">
        <f t="shared" si="8"/>
        <v>High</v>
      </c>
      <c r="S96" s="2" t="str" cm="1">
        <f t="array" ref="S96">_xlfn.IFS(L96&gt;=8,"High",L96&gt;=5,"Medium",L96&lt;5,"Low")</f>
        <v>High</v>
      </c>
      <c r="T96" s="2" t="str">
        <f t="shared" si="9"/>
        <v>Medium</v>
      </c>
    </row>
    <row r="97" spans="1:20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f t="shared" si="7"/>
        <v>3718.06</v>
      </c>
      <c r="O97" s="5">
        <v>20</v>
      </c>
      <c r="P97" s="6">
        <f t="shared" si="5"/>
        <v>743.61199999999997</v>
      </c>
      <c r="Q97" s="6">
        <f t="shared" si="6"/>
        <v>2974.4479999999999</v>
      </c>
      <c r="R97" s="2" t="str">
        <f t="shared" si="8"/>
        <v>Low</v>
      </c>
      <c r="S97" s="2" t="str" cm="1">
        <f t="array" ref="S97">_xlfn.IFS(L97&gt;=8,"High",L97&gt;=5,"Medium",L97&lt;5,"Low")</f>
        <v>Low</v>
      </c>
      <c r="T97" s="2" t="str">
        <f t="shared" si="9"/>
        <v>Low</v>
      </c>
    </row>
    <row r="98" spans="1:20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f t="shared" si="7"/>
        <v>25132.38</v>
      </c>
      <c r="O98" s="5">
        <v>20</v>
      </c>
      <c r="P98" s="6">
        <f t="shared" si="5"/>
        <v>5026.4760000000006</v>
      </c>
      <c r="Q98" s="6">
        <f t="shared" si="6"/>
        <v>20105.904000000002</v>
      </c>
      <c r="R98" s="2" t="str">
        <f t="shared" si="8"/>
        <v>High</v>
      </c>
      <c r="S98" s="2" t="str" cm="1">
        <f t="array" ref="S98">_xlfn.IFS(L98&gt;=8,"High",L98&gt;=5,"Medium",L98&lt;5,"Low")</f>
        <v>Medium</v>
      </c>
      <c r="T98" s="2" t="str">
        <f t="shared" si="9"/>
        <v>High</v>
      </c>
    </row>
    <row r="99" spans="1:20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f t="shared" si="7"/>
        <v>905.15</v>
      </c>
      <c r="O99" s="5">
        <v>10</v>
      </c>
      <c r="P99" s="6">
        <f t="shared" si="5"/>
        <v>90.515000000000001</v>
      </c>
      <c r="Q99" s="6">
        <f t="shared" si="6"/>
        <v>814.63499999999999</v>
      </c>
      <c r="R99" s="2" t="str">
        <f t="shared" si="8"/>
        <v>Low</v>
      </c>
      <c r="S99" s="2" t="str" cm="1">
        <f t="array" ref="S99">_xlfn.IFS(L99&gt;=8,"High",L99&gt;=5,"Medium",L99&lt;5,"Low")</f>
        <v>Medium</v>
      </c>
      <c r="T99" s="2" t="str">
        <f t="shared" si="9"/>
        <v>Low</v>
      </c>
    </row>
    <row r="100" spans="1:20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f t="shared" si="7"/>
        <v>11343.66</v>
      </c>
      <c r="O100" s="5">
        <v>5</v>
      </c>
      <c r="P100" s="6">
        <f t="shared" si="5"/>
        <v>567.18299999999999</v>
      </c>
      <c r="Q100" s="6">
        <f t="shared" si="6"/>
        <v>10776.476999999999</v>
      </c>
      <c r="R100" s="2" t="str">
        <f t="shared" si="8"/>
        <v>High</v>
      </c>
      <c r="S100" s="2" t="str" cm="1">
        <f t="array" ref="S100">_xlfn.IFS(L100&gt;=8,"High",L100&gt;=5,"Medium",L100&lt;5,"Low")</f>
        <v>Low</v>
      </c>
      <c r="T100" s="2" t="str">
        <f t="shared" si="9"/>
        <v>Low</v>
      </c>
    </row>
    <row r="101" spans="1:20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f t="shared" si="7"/>
        <v>5315.05</v>
      </c>
      <c r="O101" s="5">
        <v>15</v>
      </c>
      <c r="P101" s="6">
        <f t="shared" si="5"/>
        <v>797.25750000000005</v>
      </c>
      <c r="Q101" s="6">
        <f t="shared" si="6"/>
        <v>4517.7925000000005</v>
      </c>
      <c r="R101" s="2" t="str">
        <f t="shared" si="8"/>
        <v>Low</v>
      </c>
      <c r="S101" s="2" t="str" cm="1">
        <f t="array" ref="S101">_xlfn.IFS(L101&gt;=8,"High",L101&gt;=5,"Medium",L101&lt;5,"Low")</f>
        <v>Medium</v>
      </c>
      <c r="T101" s="2" t="str">
        <f t="shared" si="9"/>
        <v>Low</v>
      </c>
    </row>
    <row r="102" spans="1:20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f t="shared" si="7"/>
        <v>1128.6199999999999</v>
      </c>
      <c r="O102" s="5">
        <v>15</v>
      </c>
      <c r="P102" s="6">
        <f t="shared" si="5"/>
        <v>169.29300000000001</v>
      </c>
      <c r="Q102" s="6">
        <f t="shared" si="6"/>
        <v>959.32699999999988</v>
      </c>
      <c r="R102" s="2" t="str">
        <f t="shared" si="8"/>
        <v>Low</v>
      </c>
      <c r="S102" s="2" t="str" cm="1">
        <f t="array" ref="S102">_xlfn.IFS(L102&gt;=8,"High",L102&gt;=5,"Medium",L102&lt;5,"Low")</f>
        <v>Low</v>
      </c>
      <c r="T102" s="2" t="str">
        <f t="shared" si="9"/>
        <v>Low</v>
      </c>
    </row>
    <row r="103" spans="1:20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f t="shared" si="7"/>
        <v>12461.04</v>
      </c>
      <c r="O103" s="5">
        <v>20</v>
      </c>
      <c r="P103" s="6">
        <f t="shared" si="5"/>
        <v>2492.2080000000001</v>
      </c>
      <c r="Q103" s="6">
        <f t="shared" si="6"/>
        <v>9968.8320000000003</v>
      </c>
      <c r="R103" s="2" t="str">
        <f t="shared" si="8"/>
        <v>Low</v>
      </c>
      <c r="S103" s="2" t="str" cm="1">
        <f t="array" ref="S103">_xlfn.IFS(L103&gt;=8,"High",L103&gt;=5,"Medium",L103&lt;5,"Low")</f>
        <v>Medium</v>
      </c>
      <c r="T103" s="2" t="str">
        <f t="shared" si="9"/>
        <v>Medium</v>
      </c>
    </row>
    <row r="104" spans="1:20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f t="shared" si="7"/>
        <v>1820.02</v>
      </c>
      <c r="O104" s="5">
        <v>10</v>
      </c>
      <c r="P104" s="6">
        <f t="shared" si="5"/>
        <v>182.00200000000001</v>
      </c>
      <c r="Q104" s="6">
        <f t="shared" si="6"/>
        <v>1638.018</v>
      </c>
      <c r="R104" s="2" t="str">
        <f t="shared" si="8"/>
        <v>Low</v>
      </c>
      <c r="S104" s="2" t="str" cm="1">
        <f t="array" ref="S104">_xlfn.IFS(L104&gt;=8,"High",L104&gt;=5,"Medium",L104&lt;5,"Low")</f>
        <v>Low</v>
      </c>
      <c r="T104" s="2" t="str">
        <f t="shared" si="9"/>
        <v>Low</v>
      </c>
    </row>
    <row r="105" spans="1:20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f t="shared" si="7"/>
        <v>4442.3599999999997</v>
      </c>
      <c r="O105" s="5">
        <v>20</v>
      </c>
      <c r="P105" s="6">
        <f t="shared" si="5"/>
        <v>888.47199999999998</v>
      </c>
      <c r="Q105" s="6">
        <f t="shared" si="6"/>
        <v>3553.8879999999999</v>
      </c>
      <c r="R105" s="2" t="str">
        <f t="shared" si="8"/>
        <v>Low</v>
      </c>
      <c r="S105" s="2" t="str" cm="1">
        <f t="array" ref="S105">_xlfn.IFS(L105&gt;=8,"High",L105&gt;=5,"Medium",L105&lt;5,"Low")</f>
        <v>Low</v>
      </c>
      <c r="T105" s="2" t="str">
        <f t="shared" si="9"/>
        <v>Low</v>
      </c>
    </row>
    <row r="106" spans="1:20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f t="shared" si="7"/>
        <v>13546.619999999999</v>
      </c>
      <c r="O106" s="5">
        <v>20</v>
      </c>
      <c r="P106" s="6">
        <f t="shared" si="5"/>
        <v>2709.3239999999996</v>
      </c>
      <c r="Q106" s="6">
        <f t="shared" si="6"/>
        <v>10837.295999999998</v>
      </c>
      <c r="R106" s="2" t="str">
        <f t="shared" si="8"/>
        <v>High</v>
      </c>
      <c r="S106" s="2" t="str" cm="1">
        <f t="array" ref="S106">_xlfn.IFS(L106&gt;=8,"High",L106&gt;=5,"Medium",L106&lt;5,"Low")</f>
        <v>Medium</v>
      </c>
      <c r="T106" s="2" t="str">
        <f t="shared" si="9"/>
        <v>Medium</v>
      </c>
    </row>
    <row r="107" spans="1:20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f t="shared" si="7"/>
        <v>10857.420000000002</v>
      </c>
      <c r="O107" s="5">
        <v>10</v>
      </c>
      <c r="P107" s="6">
        <f t="shared" si="5"/>
        <v>1085.7420000000002</v>
      </c>
      <c r="Q107" s="6">
        <f t="shared" si="6"/>
        <v>9771.6780000000017</v>
      </c>
      <c r="R107" s="2" t="str">
        <f t="shared" si="8"/>
        <v>Low</v>
      </c>
      <c r="S107" s="2" t="str" cm="1">
        <f t="array" ref="S107">_xlfn.IFS(L107&gt;=8,"High",L107&gt;=5,"Medium",L107&lt;5,"Low")</f>
        <v>High</v>
      </c>
      <c r="T107" s="2" t="str">
        <f t="shared" si="9"/>
        <v>Low</v>
      </c>
    </row>
    <row r="108" spans="1:20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f t="shared" si="7"/>
        <v>7242.18</v>
      </c>
      <c r="O108" s="5">
        <v>0</v>
      </c>
      <c r="P108" s="6">
        <f t="shared" si="5"/>
        <v>0</v>
      </c>
      <c r="Q108" s="6">
        <f t="shared" si="6"/>
        <v>7242.18</v>
      </c>
      <c r="R108" s="2" t="str">
        <f t="shared" si="8"/>
        <v>Low</v>
      </c>
      <c r="S108" s="2" t="str" cm="1">
        <f t="array" ref="S108">_xlfn.IFS(L108&gt;=8,"High",L108&gt;=5,"Medium",L108&lt;5,"Low")</f>
        <v>Low</v>
      </c>
      <c r="T108" s="2" t="str">
        <f t="shared" si="9"/>
        <v>Low</v>
      </c>
    </row>
    <row r="109" spans="1:20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f t="shared" si="7"/>
        <v>6849.78</v>
      </c>
      <c r="O109" s="5">
        <v>15</v>
      </c>
      <c r="P109" s="6">
        <f t="shared" si="5"/>
        <v>1027.4669999999999</v>
      </c>
      <c r="Q109" s="6">
        <f t="shared" si="6"/>
        <v>5822.3130000000001</v>
      </c>
      <c r="R109" s="2" t="str">
        <f t="shared" si="8"/>
        <v>Low</v>
      </c>
      <c r="S109" s="2" t="str" cm="1">
        <f t="array" ref="S109">_xlfn.IFS(L109&gt;=8,"High",L109&gt;=5,"Medium",L109&lt;5,"Low")</f>
        <v>Medium</v>
      </c>
      <c r="T109" s="2" t="str">
        <f t="shared" si="9"/>
        <v>Low</v>
      </c>
    </row>
    <row r="110" spans="1:20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f t="shared" si="7"/>
        <v>21328.62</v>
      </c>
      <c r="O110" s="5">
        <v>20</v>
      </c>
      <c r="P110" s="6">
        <f t="shared" si="5"/>
        <v>4265.7239999999993</v>
      </c>
      <c r="Q110" s="6">
        <f t="shared" si="6"/>
        <v>17062.896000000001</v>
      </c>
      <c r="R110" s="2" t="str">
        <f t="shared" si="8"/>
        <v>High</v>
      </c>
      <c r="S110" s="2" t="str" cm="1">
        <f t="array" ref="S110">_xlfn.IFS(L110&gt;=8,"High",L110&gt;=5,"Medium",L110&lt;5,"Low")</f>
        <v>Medium</v>
      </c>
      <c r="T110" s="2" t="str">
        <f t="shared" si="9"/>
        <v>High</v>
      </c>
    </row>
    <row r="111" spans="1:20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f t="shared" si="7"/>
        <v>4607.42</v>
      </c>
      <c r="O111" s="5">
        <v>20</v>
      </c>
      <c r="P111" s="6">
        <f t="shared" si="5"/>
        <v>921.48399999999992</v>
      </c>
      <c r="Q111" s="6">
        <f t="shared" si="6"/>
        <v>3685.9360000000001</v>
      </c>
      <c r="R111" s="2" t="str">
        <f t="shared" si="8"/>
        <v>Low</v>
      </c>
      <c r="S111" s="2" t="str" cm="1">
        <f t="array" ref="S111">_xlfn.IFS(L111&gt;=8,"High",L111&gt;=5,"Medium",L111&lt;5,"Low")</f>
        <v>Low</v>
      </c>
      <c r="T111" s="2" t="str">
        <f t="shared" si="9"/>
        <v>Low</v>
      </c>
    </row>
    <row r="112" spans="1:20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f t="shared" si="7"/>
        <v>26717.439999999999</v>
      </c>
      <c r="O112" s="5">
        <v>0</v>
      </c>
      <c r="P112" s="6">
        <f t="shared" si="5"/>
        <v>0</v>
      </c>
      <c r="Q112" s="6">
        <f t="shared" si="6"/>
        <v>26717.439999999999</v>
      </c>
      <c r="R112" s="2" t="str">
        <f t="shared" si="8"/>
        <v>High</v>
      </c>
      <c r="S112" s="2" t="str" cm="1">
        <f t="array" ref="S112">_xlfn.IFS(L112&gt;=8,"High",L112&gt;=5,"Medium",L112&lt;5,"Low")</f>
        <v>High</v>
      </c>
      <c r="T112" s="2" t="str">
        <f t="shared" si="9"/>
        <v>Low</v>
      </c>
    </row>
    <row r="113" spans="1:20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f t="shared" si="7"/>
        <v>20261.22</v>
      </c>
      <c r="O113" s="5">
        <v>5</v>
      </c>
      <c r="P113" s="6">
        <f t="shared" si="5"/>
        <v>1013.061</v>
      </c>
      <c r="Q113" s="6">
        <f t="shared" si="6"/>
        <v>19248.159</v>
      </c>
      <c r="R113" s="2" t="str">
        <f t="shared" si="8"/>
        <v>High</v>
      </c>
      <c r="S113" s="2" t="str" cm="1">
        <f t="array" ref="S113">_xlfn.IFS(L113&gt;=8,"High",L113&gt;=5,"Medium",L113&lt;5,"Low")</f>
        <v>Medium</v>
      </c>
      <c r="T113" s="2" t="str">
        <f t="shared" si="9"/>
        <v>Low</v>
      </c>
    </row>
    <row r="114" spans="1:20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f t="shared" si="7"/>
        <v>14161.400000000001</v>
      </c>
      <c r="O114" s="5">
        <v>0</v>
      </c>
      <c r="P114" s="6">
        <f t="shared" si="5"/>
        <v>0</v>
      </c>
      <c r="Q114" s="6">
        <f t="shared" si="6"/>
        <v>14161.400000000001</v>
      </c>
      <c r="R114" s="2" t="str">
        <f t="shared" si="8"/>
        <v>High</v>
      </c>
      <c r="S114" s="2" t="str" cm="1">
        <f t="array" ref="S114">_xlfn.IFS(L114&gt;=8,"High",L114&gt;=5,"Medium",L114&lt;5,"Low")</f>
        <v>Medium</v>
      </c>
      <c r="T114" s="2" t="str">
        <f t="shared" si="9"/>
        <v>Low</v>
      </c>
    </row>
    <row r="115" spans="1:20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f t="shared" si="7"/>
        <v>6993.65</v>
      </c>
      <c r="O115" s="5">
        <v>0</v>
      </c>
      <c r="P115" s="6">
        <f t="shared" si="5"/>
        <v>0</v>
      </c>
      <c r="Q115" s="6">
        <f t="shared" si="6"/>
        <v>6993.65</v>
      </c>
      <c r="R115" s="2" t="str">
        <f t="shared" si="8"/>
        <v>Low</v>
      </c>
      <c r="S115" s="2" t="str" cm="1">
        <f t="array" ref="S115">_xlfn.IFS(L115&gt;=8,"High",L115&gt;=5,"Medium",L115&lt;5,"Low")</f>
        <v>Medium</v>
      </c>
      <c r="T115" s="2" t="str">
        <f t="shared" si="9"/>
        <v>Low</v>
      </c>
    </row>
    <row r="116" spans="1:20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f t="shared" si="7"/>
        <v>7353.5</v>
      </c>
      <c r="O116" s="5">
        <v>20</v>
      </c>
      <c r="P116" s="6">
        <f t="shared" si="5"/>
        <v>1470.7</v>
      </c>
      <c r="Q116" s="6">
        <f t="shared" si="6"/>
        <v>5882.8</v>
      </c>
      <c r="R116" s="2" t="str">
        <f t="shared" si="8"/>
        <v>Low</v>
      </c>
      <c r="S116" s="2" t="str" cm="1">
        <f t="array" ref="S116">_xlfn.IFS(L116&gt;=8,"High",L116&gt;=5,"Medium",L116&lt;5,"Low")</f>
        <v>Medium</v>
      </c>
      <c r="T116" s="2" t="str">
        <f t="shared" si="9"/>
        <v>Low</v>
      </c>
    </row>
    <row r="117" spans="1:20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f t="shared" si="7"/>
        <v>8657.19</v>
      </c>
      <c r="O117" s="5">
        <v>15</v>
      </c>
      <c r="P117" s="6">
        <f t="shared" si="5"/>
        <v>1298.5785000000001</v>
      </c>
      <c r="Q117" s="6">
        <f t="shared" si="6"/>
        <v>7358.6115000000009</v>
      </c>
      <c r="R117" s="2" t="str">
        <f t="shared" si="8"/>
        <v>Low</v>
      </c>
      <c r="S117" s="2" t="str" cm="1">
        <f t="array" ref="S117">_xlfn.IFS(L117&gt;=8,"High",L117&gt;=5,"Medium",L117&lt;5,"Low")</f>
        <v>High</v>
      </c>
      <c r="T117" s="2" t="str">
        <f t="shared" si="9"/>
        <v>Low</v>
      </c>
    </row>
    <row r="118" spans="1:20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f t="shared" si="7"/>
        <v>31051.71</v>
      </c>
      <c r="O118" s="5">
        <v>0</v>
      </c>
      <c r="P118" s="6">
        <f t="shared" si="5"/>
        <v>0</v>
      </c>
      <c r="Q118" s="6">
        <f t="shared" si="6"/>
        <v>31051.71</v>
      </c>
      <c r="R118" s="2" t="str">
        <f t="shared" si="8"/>
        <v>High</v>
      </c>
      <c r="S118" s="2" t="str" cm="1">
        <f t="array" ref="S118">_xlfn.IFS(L118&gt;=8,"High",L118&gt;=5,"Medium",L118&lt;5,"Low")</f>
        <v>High</v>
      </c>
      <c r="T118" s="2" t="str">
        <f t="shared" si="9"/>
        <v>Low</v>
      </c>
    </row>
    <row r="119" spans="1:20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f t="shared" si="7"/>
        <v>29777.759999999998</v>
      </c>
      <c r="O119" s="5">
        <v>5</v>
      </c>
      <c r="P119" s="6">
        <f t="shared" si="5"/>
        <v>1488.8879999999999</v>
      </c>
      <c r="Q119" s="6">
        <f t="shared" si="6"/>
        <v>28288.871999999999</v>
      </c>
      <c r="R119" s="2" t="str">
        <f t="shared" si="8"/>
        <v>High</v>
      </c>
      <c r="S119" s="2" t="str" cm="1">
        <f t="array" ref="S119">_xlfn.IFS(L119&gt;=8,"High",L119&gt;=5,"Medium",L119&lt;5,"Low")</f>
        <v>High</v>
      </c>
      <c r="T119" s="2" t="str">
        <f t="shared" si="9"/>
        <v>Low</v>
      </c>
    </row>
    <row r="120" spans="1:20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f t="shared" si="7"/>
        <v>11077.26</v>
      </c>
      <c r="O120" s="5">
        <v>10</v>
      </c>
      <c r="P120" s="6">
        <f t="shared" si="5"/>
        <v>1107.7260000000001</v>
      </c>
      <c r="Q120" s="6">
        <f t="shared" si="6"/>
        <v>9969.5339999999997</v>
      </c>
      <c r="R120" s="2" t="str">
        <f t="shared" si="8"/>
        <v>Low</v>
      </c>
      <c r="S120" s="2" t="str" cm="1">
        <f t="array" ref="S120">_xlfn.IFS(L120&gt;=8,"High",L120&gt;=5,"Medium",L120&lt;5,"Low")</f>
        <v>Medium</v>
      </c>
      <c r="T120" s="2" t="str">
        <f t="shared" si="9"/>
        <v>Low</v>
      </c>
    </row>
    <row r="121" spans="1:20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f t="shared" si="7"/>
        <v>3958.56</v>
      </c>
      <c r="O121" s="5">
        <v>0</v>
      </c>
      <c r="P121" s="6">
        <f t="shared" si="5"/>
        <v>0</v>
      </c>
      <c r="Q121" s="6">
        <f t="shared" si="6"/>
        <v>3958.56</v>
      </c>
      <c r="R121" s="2" t="str">
        <f t="shared" si="8"/>
        <v>Low</v>
      </c>
      <c r="S121" s="2" t="str" cm="1">
        <f t="array" ref="S121">_xlfn.IFS(L121&gt;=8,"High",L121&gt;=5,"Medium",L121&lt;5,"Low")</f>
        <v>Medium</v>
      </c>
      <c r="T121" s="2" t="str">
        <f t="shared" si="9"/>
        <v>Low</v>
      </c>
    </row>
    <row r="122" spans="1:20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f t="shared" si="7"/>
        <v>4865.01</v>
      </c>
      <c r="O122" s="5">
        <v>0</v>
      </c>
      <c r="P122" s="6">
        <f t="shared" si="5"/>
        <v>0</v>
      </c>
      <c r="Q122" s="6">
        <f t="shared" si="6"/>
        <v>4865.01</v>
      </c>
      <c r="R122" s="2" t="str">
        <f t="shared" si="8"/>
        <v>Low</v>
      </c>
      <c r="S122" s="2" t="str" cm="1">
        <f t="array" ref="S122">_xlfn.IFS(L122&gt;=8,"High",L122&gt;=5,"Medium",L122&lt;5,"Low")</f>
        <v>Low</v>
      </c>
      <c r="T122" s="2" t="str">
        <f t="shared" si="9"/>
        <v>Low</v>
      </c>
    </row>
    <row r="123" spans="1:20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f t="shared" si="7"/>
        <v>2534.4699999999998</v>
      </c>
      <c r="O123" s="5">
        <v>5</v>
      </c>
      <c r="P123" s="6">
        <f t="shared" si="5"/>
        <v>126.72349999999999</v>
      </c>
      <c r="Q123" s="6">
        <f t="shared" si="6"/>
        <v>2407.7464999999997</v>
      </c>
      <c r="R123" s="2" t="str">
        <f t="shared" si="8"/>
        <v>Low</v>
      </c>
      <c r="S123" s="2" t="str" cm="1">
        <f t="array" ref="S123">_xlfn.IFS(L123&gt;=8,"High",L123&gt;=5,"Medium",L123&lt;5,"Low")</f>
        <v>Low</v>
      </c>
      <c r="T123" s="2" t="str">
        <f t="shared" si="9"/>
        <v>Low</v>
      </c>
    </row>
    <row r="124" spans="1:20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f t="shared" si="7"/>
        <v>13296.15</v>
      </c>
      <c r="O124" s="5">
        <v>15</v>
      </c>
      <c r="P124" s="6">
        <f t="shared" si="5"/>
        <v>1994.4224999999999</v>
      </c>
      <c r="Q124" s="6">
        <f t="shared" si="6"/>
        <v>11301.727499999999</v>
      </c>
      <c r="R124" s="2" t="str">
        <f t="shared" si="8"/>
        <v>High</v>
      </c>
      <c r="S124" s="2" t="str" cm="1">
        <f t="array" ref="S124">_xlfn.IFS(L124&gt;=8,"High",L124&gt;=5,"Medium",L124&lt;5,"Low")</f>
        <v>Medium</v>
      </c>
      <c r="T124" s="2" t="str">
        <f t="shared" si="9"/>
        <v>Medium</v>
      </c>
    </row>
    <row r="125" spans="1:20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f t="shared" si="7"/>
        <v>12614.92</v>
      </c>
      <c r="O125" s="5">
        <v>0</v>
      </c>
      <c r="P125" s="6">
        <f t="shared" si="5"/>
        <v>0</v>
      </c>
      <c r="Q125" s="6">
        <f t="shared" si="6"/>
        <v>12614.92</v>
      </c>
      <c r="R125" s="2" t="str">
        <f t="shared" si="8"/>
        <v>High</v>
      </c>
      <c r="S125" s="2" t="str" cm="1">
        <f t="array" ref="S125">_xlfn.IFS(L125&gt;=8,"High",L125&gt;=5,"Medium",L125&lt;5,"Low")</f>
        <v>Low</v>
      </c>
      <c r="T125" s="2" t="str">
        <f t="shared" si="9"/>
        <v>Low</v>
      </c>
    </row>
    <row r="126" spans="1:20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f t="shared" si="7"/>
        <v>3990.85</v>
      </c>
      <c r="O126" s="5">
        <v>0</v>
      </c>
      <c r="P126" s="6">
        <f t="shared" si="5"/>
        <v>0</v>
      </c>
      <c r="Q126" s="6">
        <f t="shared" si="6"/>
        <v>3990.85</v>
      </c>
      <c r="R126" s="2" t="str">
        <f t="shared" si="8"/>
        <v>Low</v>
      </c>
      <c r="S126" s="2" t="str" cm="1">
        <f t="array" ref="S126">_xlfn.IFS(L126&gt;=8,"High",L126&gt;=5,"Medium",L126&lt;5,"Low")</f>
        <v>Low</v>
      </c>
      <c r="T126" s="2" t="str">
        <f t="shared" si="9"/>
        <v>Low</v>
      </c>
    </row>
    <row r="127" spans="1:20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f t="shared" si="7"/>
        <v>11517.960000000001</v>
      </c>
      <c r="O127" s="5">
        <v>5</v>
      </c>
      <c r="P127" s="6">
        <f t="shared" si="5"/>
        <v>575.89800000000002</v>
      </c>
      <c r="Q127" s="6">
        <f t="shared" si="6"/>
        <v>10942.062000000002</v>
      </c>
      <c r="R127" s="2" t="str">
        <f t="shared" si="8"/>
        <v>High</v>
      </c>
      <c r="S127" s="2" t="str" cm="1">
        <f t="array" ref="S127">_xlfn.IFS(L127&gt;=8,"High",L127&gt;=5,"Medium",L127&lt;5,"Low")</f>
        <v>Medium</v>
      </c>
      <c r="T127" s="2" t="str">
        <f t="shared" si="9"/>
        <v>Low</v>
      </c>
    </row>
    <row r="128" spans="1:20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f t="shared" si="7"/>
        <v>10855.74</v>
      </c>
      <c r="O128" s="5">
        <v>0</v>
      </c>
      <c r="P128" s="6">
        <f t="shared" si="5"/>
        <v>0</v>
      </c>
      <c r="Q128" s="6">
        <f t="shared" si="6"/>
        <v>10855.74</v>
      </c>
      <c r="R128" s="2" t="str">
        <f t="shared" si="8"/>
        <v>High</v>
      </c>
      <c r="S128" s="2" t="str" cm="1">
        <f t="array" ref="S128">_xlfn.IFS(L128&gt;=8,"High",L128&gt;=5,"Medium",L128&lt;5,"Low")</f>
        <v>Medium</v>
      </c>
      <c r="T128" s="2" t="str">
        <f t="shared" si="9"/>
        <v>Low</v>
      </c>
    </row>
    <row r="129" spans="1:20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f t="shared" si="7"/>
        <v>912.67</v>
      </c>
      <c r="O129" s="5">
        <v>0</v>
      </c>
      <c r="P129" s="6">
        <f t="shared" si="5"/>
        <v>0</v>
      </c>
      <c r="Q129" s="6">
        <f t="shared" si="6"/>
        <v>912.67</v>
      </c>
      <c r="R129" s="2" t="str">
        <f t="shared" si="8"/>
        <v>Low</v>
      </c>
      <c r="S129" s="2" t="str" cm="1">
        <f t="array" ref="S129">_xlfn.IFS(L129&gt;=8,"High",L129&gt;=5,"Medium",L129&lt;5,"Low")</f>
        <v>Low</v>
      </c>
      <c r="T129" s="2" t="str">
        <f t="shared" si="9"/>
        <v>Low</v>
      </c>
    </row>
    <row r="130" spans="1:20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f t="shared" si="7"/>
        <v>805.82</v>
      </c>
      <c r="O130" s="5">
        <v>10</v>
      </c>
      <c r="P130" s="6">
        <f t="shared" ref="P130:P193" si="10">N130*O130/100</f>
        <v>80.582000000000008</v>
      </c>
      <c r="Q130" s="6">
        <f t="shared" ref="Q130:Q193" si="11">N130-P130</f>
        <v>725.23800000000006</v>
      </c>
      <c r="R130" s="2" t="str">
        <f t="shared" si="8"/>
        <v>Low</v>
      </c>
      <c r="S130" s="2" t="str" cm="1">
        <f t="array" ref="S130">_xlfn.IFS(L130&gt;=8,"High",L130&gt;=5,"Medium",L130&lt;5,"Low")</f>
        <v>Low</v>
      </c>
      <c r="T130" s="2" t="str">
        <f t="shared" si="9"/>
        <v>Low</v>
      </c>
    </row>
    <row r="131" spans="1:20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f t="shared" ref="N131:N194" si="12">L131*M131</f>
        <v>14261.64</v>
      </c>
      <c r="O131" s="5">
        <v>20</v>
      </c>
      <c r="P131" s="6">
        <f t="shared" si="10"/>
        <v>2852.328</v>
      </c>
      <c r="Q131" s="6">
        <f t="shared" si="11"/>
        <v>11409.312</v>
      </c>
      <c r="R131" s="2" t="str">
        <f t="shared" ref="R131:R194" si="13">IF(Q131&gt;=10000,"High","Low")</f>
        <v>High</v>
      </c>
      <c r="S131" s="2" t="str" cm="1">
        <f t="array" ref="S131">_xlfn.IFS(L131&gt;=8,"High",L131&gt;=5,"Medium",L131&lt;5,"Low")</f>
        <v>Low</v>
      </c>
      <c r="T131" s="2" t="str">
        <f t="shared" ref="T131:T194" si="14">IF(P131&gt;=3000,"High",IF(P131&gt;=1500,"Medium","Low"))</f>
        <v>Medium</v>
      </c>
    </row>
    <row r="132" spans="1:20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f t="shared" si="12"/>
        <v>3532.84</v>
      </c>
      <c r="O132" s="5">
        <v>10</v>
      </c>
      <c r="P132" s="6">
        <f t="shared" si="10"/>
        <v>353.28399999999999</v>
      </c>
      <c r="Q132" s="6">
        <f t="shared" si="11"/>
        <v>3179.556</v>
      </c>
      <c r="R132" s="2" t="str">
        <f t="shared" si="13"/>
        <v>Low</v>
      </c>
      <c r="S132" s="2" t="str" cm="1">
        <f t="array" ref="S132">_xlfn.IFS(L132&gt;=8,"High",L132&gt;=5,"Medium",L132&lt;5,"Low")</f>
        <v>Low</v>
      </c>
      <c r="T132" s="2" t="str">
        <f t="shared" si="14"/>
        <v>Low</v>
      </c>
    </row>
    <row r="133" spans="1:20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f t="shared" si="12"/>
        <v>2063.0500000000002</v>
      </c>
      <c r="O133" s="5">
        <v>0</v>
      </c>
      <c r="P133" s="6">
        <f t="shared" si="10"/>
        <v>0</v>
      </c>
      <c r="Q133" s="6">
        <f t="shared" si="11"/>
        <v>2063.0500000000002</v>
      </c>
      <c r="R133" s="2" t="str">
        <f t="shared" si="13"/>
        <v>Low</v>
      </c>
      <c r="S133" s="2" t="str" cm="1">
        <f t="array" ref="S133">_xlfn.IFS(L133&gt;=8,"High",L133&gt;=5,"Medium",L133&lt;5,"Low")</f>
        <v>Low</v>
      </c>
      <c r="T133" s="2" t="str">
        <f t="shared" si="14"/>
        <v>Low</v>
      </c>
    </row>
    <row r="134" spans="1:20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f t="shared" si="12"/>
        <v>25761.61</v>
      </c>
      <c r="O134" s="5">
        <v>5</v>
      </c>
      <c r="P134" s="6">
        <f t="shared" si="10"/>
        <v>1288.0805</v>
      </c>
      <c r="Q134" s="6">
        <f t="shared" si="11"/>
        <v>24473.529500000001</v>
      </c>
      <c r="R134" s="2" t="str">
        <f t="shared" si="13"/>
        <v>High</v>
      </c>
      <c r="S134" s="2" t="str" cm="1">
        <f t="array" ref="S134">_xlfn.IFS(L134&gt;=8,"High",L134&gt;=5,"Medium",L134&lt;5,"Low")</f>
        <v>Medium</v>
      </c>
      <c r="T134" s="2" t="str">
        <f t="shared" si="14"/>
        <v>Low</v>
      </c>
    </row>
    <row r="135" spans="1:20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f t="shared" si="12"/>
        <v>25109.759999999998</v>
      </c>
      <c r="O135" s="5">
        <v>20</v>
      </c>
      <c r="P135" s="6">
        <f t="shared" si="10"/>
        <v>5021.9519999999993</v>
      </c>
      <c r="Q135" s="6">
        <f t="shared" si="11"/>
        <v>20087.807999999997</v>
      </c>
      <c r="R135" s="2" t="str">
        <f t="shared" si="13"/>
        <v>High</v>
      </c>
      <c r="S135" s="2" t="str" cm="1">
        <f t="array" ref="S135">_xlfn.IFS(L135&gt;=8,"High",L135&gt;=5,"Medium",L135&lt;5,"Low")</f>
        <v>High</v>
      </c>
      <c r="T135" s="2" t="str">
        <f t="shared" si="14"/>
        <v>High</v>
      </c>
    </row>
    <row r="136" spans="1:20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f t="shared" si="12"/>
        <v>3914.58</v>
      </c>
      <c r="O136" s="5">
        <v>10</v>
      </c>
      <c r="P136" s="6">
        <f t="shared" si="10"/>
        <v>391.45800000000003</v>
      </c>
      <c r="Q136" s="6">
        <f t="shared" si="11"/>
        <v>3523.1219999999998</v>
      </c>
      <c r="R136" s="2" t="str">
        <f t="shared" si="13"/>
        <v>Low</v>
      </c>
      <c r="S136" s="2" t="str" cm="1">
        <f t="array" ref="S136">_xlfn.IFS(L136&gt;=8,"High",L136&gt;=5,"Medium",L136&lt;5,"Low")</f>
        <v>Medium</v>
      </c>
      <c r="T136" s="2" t="str">
        <f t="shared" si="14"/>
        <v>Low</v>
      </c>
    </row>
    <row r="137" spans="1:20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f t="shared" si="12"/>
        <v>9307.48</v>
      </c>
      <c r="O137" s="5">
        <v>15</v>
      </c>
      <c r="P137" s="6">
        <f t="shared" si="10"/>
        <v>1396.1219999999998</v>
      </c>
      <c r="Q137" s="6">
        <f t="shared" si="11"/>
        <v>7911.3580000000002</v>
      </c>
      <c r="R137" s="2" t="str">
        <f t="shared" si="13"/>
        <v>Low</v>
      </c>
      <c r="S137" s="2" t="str" cm="1">
        <f t="array" ref="S137">_xlfn.IFS(L137&gt;=8,"High",L137&gt;=5,"Medium",L137&lt;5,"Low")</f>
        <v>Low</v>
      </c>
      <c r="T137" s="2" t="str">
        <f t="shared" si="14"/>
        <v>Low</v>
      </c>
    </row>
    <row r="138" spans="1:20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f t="shared" si="12"/>
        <v>11116.02</v>
      </c>
      <c r="O138" s="5">
        <v>5</v>
      </c>
      <c r="P138" s="6">
        <f t="shared" si="10"/>
        <v>555.80100000000004</v>
      </c>
      <c r="Q138" s="6">
        <f t="shared" si="11"/>
        <v>10560.219000000001</v>
      </c>
      <c r="R138" s="2" t="str">
        <f t="shared" si="13"/>
        <v>High</v>
      </c>
      <c r="S138" s="2" t="str" cm="1">
        <f t="array" ref="S138">_xlfn.IFS(L138&gt;=8,"High",L138&gt;=5,"Medium",L138&lt;5,"Low")</f>
        <v>Medium</v>
      </c>
      <c r="T138" s="2" t="str">
        <f t="shared" si="14"/>
        <v>Low</v>
      </c>
    </row>
    <row r="139" spans="1:20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f t="shared" si="12"/>
        <v>9657.7800000000007</v>
      </c>
      <c r="O139" s="5">
        <v>10</v>
      </c>
      <c r="P139" s="6">
        <f t="shared" si="10"/>
        <v>965.77800000000002</v>
      </c>
      <c r="Q139" s="6">
        <f t="shared" si="11"/>
        <v>8692.0020000000004</v>
      </c>
      <c r="R139" s="2" t="str">
        <f t="shared" si="13"/>
        <v>Low</v>
      </c>
      <c r="S139" s="2" t="str" cm="1">
        <f t="array" ref="S139">_xlfn.IFS(L139&gt;=8,"High",L139&gt;=5,"Medium",L139&lt;5,"Low")</f>
        <v>Low</v>
      </c>
      <c r="T139" s="2" t="str">
        <f t="shared" si="14"/>
        <v>Low</v>
      </c>
    </row>
    <row r="140" spans="1:20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f t="shared" si="12"/>
        <v>23506.400000000001</v>
      </c>
      <c r="O140" s="5">
        <v>15</v>
      </c>
      <c r="P140" s="6">
        <f t="shared" si="10"/>
        <v>3525.96</v>
      </c>
      <c r="Q140" s="6">
        <f t="shared" si="11"/>
        <v>19980.440000000002</v>
      </c>
      <c r="R140" s="2" t="str">
        <f t="shared" si="13"/>
        <v>High</v>
      </c>
      <c r="S140" s="2" t="str" cm="1">
        <f t="array" ref="S140">_xlfn.IFS(L140&gt;=8,"High",L140&gt;=5,"Medium",L140&lt;5,"Low")</f>
        <v>High</v>
      </c>
      <c r="T140" s="2" t="str">
        <f t="shared" si="14"/>
        <v>High</v>
      </c>
    </row>
    <row r="141" spans="1:20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f t="shared" si="12"/>
        <v>5616.12</v>
      </c>
      <c r="O141" s="5">
        <v>0</v>
      </c>
      <c r="P141" s="6">
        <f t="shared" si="10"/>
        <v>0</v>
      </c>
      <c r="Q141" s="6">
        <f t="shared" si="11"/>
        <v>5616.12</v>
      </c>
      <c r="R141" s="2" t="str">
        <f t="shared" si="13"/>
        <v>Low</v>
      </c>
      <c r="S141" s="2" t="str" cm="1">
        <f t="array" ref="S141">_xlfn.IFS(L141&gt;=8,"High",L141&gt;=5,"Medium",L141&lt;5,"Low")</f>
        <v>Low</v>
      </c>
      <c r="T141" s="2" t="str">
        <f t="shared" si="14"/>
        <v>Low</v>
      </c>
    </row>
    <row r="142" spans="1:20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f t="shared" si="12"/>
        <v>7305.5</v>
      </c>
      <c r="O142" s="5">
        <v>15</v>
      </c>
      <c r="P142" s="6">
        <f t="shared" si="10"/>
        <v>1095.825</v>
      </c>
      <c r="Q142" s="6">
        <f t="shared" si="11"/>
        <v>6209.6750000000002</v>
      </c>
      <c r="R142" s="2" t="str">
        <f t="shared" si="13"/>
        <v>Low</v>
      </c>
      <c r="S142" s="2" t="str" cm="1">
        <f t="array" ref="S142">_xlfn.IFS(L142&gt;=8,"High",L142&gt;=5,"Medium",L142&lt;5,"Low")</f>
        <v>Medium</v>
      </c>
      <c r="T142" s="2" t="str">
        <f t="shared" si="14"/>
        <v>Low</v>
      </c>
    </row>
    <row r="143" spans="1:20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f t="shared" si="12"/>
        <v>3249.11</v>
      </c>
      <c r="O143" s="5">
        <v>10</v>
      </c>
      <c r="P143" s="6">
        <f t="shared" si="10"/>
        <v>324.911</v>
      </c>
      <c r="Q143" s="6">
        <f t="shared" si="11"/>
        <v>2924.1990000000001</v>
      </c>
      <c r="R143" s="2" t="str">
        <f t="shared" si="13"/>
        <v>Low</v>
      </c>
      <c r="S143" s="2" t="str" cm="1">
        <f t="array" ref="S143">_xlfn.IFS(L143&gt;=8,"High",L143&gt;=5,"Medium",L143&lt;5,"Low")</f>
        <v>Low</v>
      </c>
      <c r="T143" s="2" t="str">
        <f t="shared" si="14"/>
        <v>Low</v>
      </c>
    </row>
    <row r="144" spans="1:20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f t="shared" si="12"/>
        <v>1529.12</v>
      </c>
      <c r="O144" s="5">
        <v>0</v>
      </c>
      <c r="P144" s="6">
        <f t="shared" si="10"/>
        <v>0</v>
      </c>
      <c r="Q144" s="6">
        <f t="shared" si="11"/>
        <v>1529.12</v>
      </c>
      <c r="R144" s="2" t="str">
        <f t="shared" si="13"/>
        <v>Low</v>
      </c>
      <c r="S144" s="2" t="str" cm="1">
        <f t="array" ref="S144">_xlfn.IFS(L144&gt;=8,"High",L144&gt;=5,"Medium",L144&lt;5,"Low")</f>
        <v>Low</v>
      </c>
      <c r="T144" s="2" t="str">
        <f t="shared" si="14"/>
        <v>Low</v>
      </c>
    </row>
    <row r="145" spans="1:20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f t="shared" si="12"/>
        <v>5768.6</v>
      </c>
      <c r="O145" s="5">
        <v>15</v>
      </c>
      <c r="P145" s="6">
        <f t="shared" si="10"/>
        <v>865.29</v>
      </c>
      <c r="Q145" s="6">
        <f t="shared" si="11"/>
        <v>4903.3100000000004</v>
      </c>
      <c r="R145" s="2" t="str">
        <f t="shared" si="13"/>
        <v>Low</v>
      </c>
      <c r="S145" s="2" t="str" cm="1">
        <f t="array" ref="S145">_xlfn.IFS(L145&gt;=8,"High",L145&gt;=5,"Medium",L145&lt;5,"Low")</f>
        <v>Low</v>
      </c>
      <c r="T145" s="2" t="str">
        <f t="shared" si="14"/>
        <v>Low</v>
      </c>
    </row>
    <row r="146" spans="1:20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f t="shared" si="12"/>
        <v>2674.2599999999998</v>
      </c>
      <c r="O146" s="5">
        <v>15</v>
      </c>
      <c r="P146" s="6">
        <f t="shared" si="10"/>
        <v>401.13899999999995</v>
      </c>
      <c r="Q146" s="6">
        <f t="shared" si="11"/>
        <v>2273.1209999999996</v>
      </c>
      <c r="R146" s="2" t="str">
        <f t="shared" si="13"/>
        <v>Low</v>
      </c>
      <c r="S146" s="2" t="str" cm="1">
        <f t="array" ref="S146">_xlfn.IFS(L146&gt;=8,"High",L146&gt;=5,"Medium",L146&lt;5,"Low")</f>
        <v>Medium</v>
      </c>
      <c r="T146" s="2" t="str">
        <f t="shared" si="14"/>
        <v>Low</v>
      </c>
    </row>
    <row r="147" spans="1:20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f t="shared" si="12"/>
        <v>8437.84</v>
      </c>
      <c r="O147" s="5">
        <v>0</v>
      </c>
      <c r="P147" s="6">
        <f t="shared" si="10"/>
        <v>0</v>
      </c>
      <c r="Q147" s="6">
        <f t="shared" si="11"/>
        <v>8437.84</v>
      </c>
      <c r="R147" s="2" t="str">
        <f t="shared" si="13"/>
        <v>Low</v>
      </c>
      <c r="S147" s="2" t="str" cm="1">
        <f t="array" ref="S147">_xlfn.IFS(L147&gt;=8,"High",L147&gt;=5,"Medium",L147&lt;5,"Low")</f>
        <v>High</v>
      </c>
      <c r="T147" s="2" t="str">
        <f t="shared" si="14"/>
        <v>Low</v>
      </c>
    </row>
    <row r="148" spans="1:20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f t="shared" si="12"/>
        <v>26768.639999999999</v>
      </c>
      <c r="O148" s="5">
        <v>15</v>
      </c>
      <c r="P148" s="6">
        <f t="shared" si="10"/>
        <v>4015.2959999999998</v>
      </c>
      <c r="Q148" s="6">
        <f t="shared" si="11"/>
        <v>22753.344000000001</v>
      </c>
      <c r="R148" s="2" t="str">
        <f t="shared" si="13"/>
        <v>High</v>
      </c>
      <c r="S148" s="2" t="str" cm="1">
        <f t="array" ref="S148">_xlfn.IFS(L148&gt;=8,"High",L148&gt;=5,"Medium",L148&lt;5,"Low")</f>
        <v>High</v>
      </c>
      <c r="T148" s="2" t="str">
        <f t="shared" si="14"/>
        <v>High</v>
      </c>
    </row>
    <row r="149" spans="1:20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f t="shared" si="12"/>
        <v>22804.62</v>
      </c>
      <c r="O149" s="5">
        <v>0</v>
      </c>
      <c r="P149" s="6">
        <f t="shared" si="10"/>
        <v>0</v>
      </c>
      <c r="Q149" s="6">
        <f t="shared" si="11"/>
        <v>22804.62</v>
      </c>
      <c r="R149" s="2" t="str">
        <f t="shared" si="13"/>
        <v>High</v>
      </c>
      <c r="S149" s="2" t="str" cm="1">
        <f t="array" ref="S149">_xlfn.IFS(L149&gt;=8,"High",L149&gt;=5,"Medium",L149&lt;5,"Low")</f>
        <v>Medium</v>
      </c>
      <c r="T149" s="2" t="str">
        <f t="shared" si="14"/>
        <v>Low</v>
      </c>
    </row>
    <row r="150" spans="1:20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f t="shared" si="12"/>
        <v>5290.88</v>
      </c>
      <c r="O150" s="5">
        <v>5</v>
      </c>
      <c r="P150" s="6">
        <f t="shared" si="10"/>
        <v>264.54400000000004</v>
      </c>
      <c r="Q150" s="6">
        <f t="shared" si="11"/>
        <v>5026.3360000000002</v>
      </c>
      <c r="R150" s="2" t="str">
        <f t="shared" si="13"/>
        <v>Low</v>
      </c>
      <c r="S150" s="2" t="str" cm="1">
        <f t="array" ref="S150">_xlfn.IFS(L150&gt;=8,"High",L150&gt;=5,"Medium",L150&lt;5,"Low")</f>
        <v>Low</v>
      </c>
      <c r="T150" s="2" t="str">
        <f t="shared" si="14"/>
        <v>Low</v>
      </c>
    </row>
    <row r="151" spans="1:20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f t="shared" si="12"/>
        <v>9347.1200000000008</v>
      </c>
      <c r="O151" s="5">
        <v>10</v>
      </c>
      <c r="P151" s="6">
        <f t="shared" si="10"/>
        <v>934.7120000000001</v>
      </c>
      <c r="Q151" s="6">
        <f t="shared" si="11"/>
        <v>8412.4080000000013</v>
      </c>
      <c r="R151" s="2" t="str">
        <f t="shared" si="13"/>
        <v>Low</v>
      </c>
      <c r="S151" s="2" t="str" cm="1">
        <f t="array" ref="S151">_xlfn.IFS(L151&gt;=8,"High",L151&gt;=5,"Medium",L151&lt;5,"Low")</f>
        <v>High</v>
      </c>
      <c r="T151" s="2" t="str">
        <f t="shared" si="14"/>
        <v>Low</v>
      </c>
    </row>
    <row r="152" spans="1:20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f t="shared" si="12"/>
        <v>9820.7199999999993</v>
      </c>
      <c r="O152" s="5">
        <v>5</v>
      </c>
      <c r="P152" s="6">
        <f t="shared" si="10"/>
        <v>491.036</v>
      </c>
      <c r="Q152" s="6">
        <f t="shared" si="11"/>
        <v>9329.6839999999993</v>
      </c>
      <c r="R152" s="2" t="str">
        <f t="shared" si="13"/>
        <v>Low</v>
      </c>
      <c r="S152" s="2" t="str" cm="1">
        <f t="array" ref="S152">_xlfn.IFS(L152&gt;=8,"High",L152&gt;=5,"Medium",L152&lt;5,"Low")</f>
        <v>High</v>
      </c>
      <c r="T152" s="2" t="str">
        <f t="shared" si="14"/>
        <v>Low</v>
      </c>
    </row>
    <row r="153" spans="1:20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f t="shared" si="12"/>
        <v>1219.22</v>
      </c>
      <c r="O153" s="5">
        <v>20</v>
      </c>
      <c r="P153" s="6">
        <f t="shared" si="10"/>
        <v>243.84400000000002</v>
      </c>
      <c r="Q153" s="6">
        <f t="shared" si="11"/>
        <v>975.37599999999998</v>
      </c>
      <c r="R153" s="2" t="str">
        <f t="shared" si="13"/>
        <v>Low</v>
      </c>
      <c r="S153" s="2" t="str" cm="1">
        <f t="array" ref="S153">_xlfn.IFS(L153&gt;=8,"High",L153&gt;=5,"Medium",L153&lt;5,"Low")</f>
        <v>Low</v>
      </c>
      <c r="T153" s="2" t="str">
        <f t="shared" si="14"/>
        <v>Low</v>
      </c>
    </row>
    <row r="154" spans="1:20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f t="shared" si="12"/>
        <v>1153.32</v>
      </c>
      <c r="O154" s="5">
        <v>20</v>
      </c>
      <c r="P154" s="6">
        <f t="shared" si="10"/>
        <v>230.66399999999999</v>
      </c>
      <c r="Q154" s="6">
        <f t="shared" si="11"/>
        <v>922.65599999999995</v>
      </c>
      <c r="R154" s="2" t="str">
        <f t="shared" si="13"/>
        <v>Low</v>
      </c>
      <c r="S154" s="2" t="str" cm="1">
        <f t="array" ref="S154">_xlfn.IFS(L154&gt;=8,"High",L154&gt;=5,"Medium",L154&lt;5,"Low")</f>
        <v>Low</v>
      </c>
      <c r="T154" s="2" t="str">
        <f t="shared" si="14"/>
        <v>Low</v>
      </c>
    </row>
    <row r="155" spans="1:20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f t="shared" si="12"/>
        <v>14874.52</v>
      </c>
      <c r="O155" s="5">
        <v>20</v>
      </c>
      <c r="P155" s="6">
        <f t="shared" si="10"/>
        <v>2974.9040000000005</v>
      </c>
      <c r="Q155" s="6">
        <f t="shared" si="11"/>
        <v>11899.616</v>
      </c>
      <c r="R155" s="2" t="str">
        <f t="shared" si="13"/>
        <v>High</v>
      </c>
      <c r="S155" s="2" t="str" cm="1">
        <f t="array" ref="S155">_xlfn.IFS(L155&gt;=8,"High",L155&gt;=5,"Medium",L155&lt;5,"Low")</f>
        <v>Low</v>
      </c>
      <c r="T155" s="2" t="str">
        <f t="shared" si="14"/>
        <v>Medium</v>
      </c>
    </row>
    <row r="156" spans="1:20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f t="shared" si="12"/>
        <v>6809.18</v>
      </c>
      <c r="O156" s="5">
        <v>0</v>
      </c>
      <c r="P156" s="6">
        <f t="shared" si="10"/>
        <v>0</v>
      </c>
      <c r="Q156" s="6">
        <f t="shared" si="11"/>
        <v>6809.18</v>
      </c>
      <c r="R156" s="2" t="str">
        <f t="shared" si="13"/>
        <v>Low</v>
      </c>
      <c r="S156" s="2" t="str" cm="1">
        <f t="array" ref="S156">_xlfn.IFS(L156&gt;=8,"High",L156&gt;=5,"Medium",L156&lt;5,"Low")</f>
        <v>Medium</v>
      </c>
      <c r="T156" s="2" t="str">
        <f t="shared" si="14"/>
        <v>Low</v>
      </c>
    </row>
    <row r="157" spans="1:20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f t="shared" si="12"/>
        <v>12369.14</v>
      </c>
      <c r="O157" s="5">
        <v>15</v>
      </c>
      <c r="P157" s="6">
        <f t="shared" si="10"/>
        <v>1855.3709999999999</v>
      </c>
      <c r="Q157" s="6">
        <f t="shared" si="11"/>
        <v>10513.769</v>
      </c>
      <c r="R157" s="2" t="str">
        <f t="shared" si="13"/>
        <v>High</v>
      </c>
      <c r="S157" s="2" t="str" cm="1">
        <f t="array" ref="S157">_xlfn.IFS(L157&gt;=8,"High",L157&gt;=5,"Medium",L157&lt;5,"Low")</f>
        <v>Medium</v>
      </c>
      <c r="T157" s="2" t="str">
        <f t="shared" si="14"/>
        <v>Medium</v>
      </c>
    </row>
    <row r="158" spans="1:20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f t="shared" si="12"/>
        <v>1498.32</v>
      </c>
      <c r="O158" s="5">
        <v>5</v>
      </c>
      <c r="P158" s="6">
        <f t="shared" si="10"/>
        <v>74.915999999999997</v>
      </c>
      <c r="Q158" s="6">
        <f t="shared" si="11"/>
        <v>1423.404</v>
      </c>
      <c r="R158" s="2" t="str">
        <f t="shared" si="13"/>
        <v>Low</v>
      </c>
      <c r="S158" s="2" t="str" cm="1">
        <f t="array" ref="S158">_xlfn.IFS(L158&gt;=8,"High",L158&gt;=5,"Medium",L158&lt;5,"Low")</f>
        <v>High</v>
      </c>
      <c r="T158" s="2" t="str">
        <f t="shared" si="14"/>
        <v>Low</v>
      </c>
    </row>
    <row r="159" spans="1:20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f t="shared" si="12"/>
        <v>20754.72</v>
      </c>
      <c r="O159" s="5">
        <v>5</v>
      </c>
      <c r="P159" s="6">
        <f t="shared" si="10"/>
        <v>1037.7360000000001</v>
      </c>
      <c r="Q159" s="6">
        <f t="shared" si="11"/>
        <v>19716.984</v>
      </c>
      <c r="R159" s="2" t="str">
        <f t="shared" si="13"/>
        <v>High</v>
      </c>
      <c r="S159" s="2" t="str" cm="1">
        <f t="array" ref="S159">_xlfn.IFS(L159&gt;=8,"High",L159&gt;=5,"Medium",L159&lt;5,"Low")</f>
        <v>Medium</v>
      </c>
      <c r="T159" s="2" t="str">
        <f t="shared" si="14"/>
        <v>Low</v>
      </c>
    </row>
    <row r="160" spans="1:20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f t="shared" si="12"/>
        <v>30360.080000000002</v>
      </c>
      <c r="O160" s="5">
        <v>5</v>
      </c>
      <c r="P160" s="6">
        <f t="shared" si="10"/>
        <v>1518.0040000000001</v>
      </c>
      <c r="Q160" s="6">
        <f t="shared" si="11"/>
        <v>28842.076000000001</v>
      </c>
      <c r="R160" s="2" t="str">
        <f t="shared" si="13"/>
        <v>High</v>
      </c>
      <c r="S160" s="2" t="str" cm="1">
        <f t="array" ref="S160">_xlfn.IFS(L160&gt;=8,"High",L160&gt;=5,"Medium",L160&lt;5,"Low")</f>
        <v>High</v>
      </c>
      <c r="T160" s="2" t="str">
        <f t="shared" si="14"/>
        <v>Medium</v>
      </c>
    </row>
    <row r="161" spans="1:20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f t="shared" si="12"/>
        <v>28432.98</v>
      </c>
      <c r="O161" s="5">
        <v>20</v>
      </c>
      <c r="P161" s="6">
        <f t="shared" si="10"/>
        <v>5686.5959999999995</v>
      </c>
      <c r="Q161" s="6">
        <f t="shared" si="11"/>
        <v>22746.383999999998</v>
      </c>
      <c r="R161" s="2" t="str">
        <f t="shared" si="13"/>
        <v>High</v>
      </c>
      <c r="S161" s="2" t="str" cm="1">
        <f t="array" ref="S161">_xlfn.IFS(L161&gt;=8,"High",L161&gt;=5,"Medium",L161&lt;5,"Low")</f>
        <v>High</v>
      </c>
      <c r="T161" s="2" t="str">
        <f t="shared" si="14"/>
        <v>High</v>
      </c>
    </row>
    <row r="162" spans="1:20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f t="shared" si="12"/>
        <v>4073.31</v>
      </c>
      <c r="O162" s="5">
        <v>5</v>
      </c>
      <c r="P162" s="6">
        <f t="shared" si="10"/>
        <v>203.66549999999998</v>
      </c>
      <c r="Q162" s="6">
        <f t="shared" si="11"/>
        <v>3869.6444999999999</v>
      </c>
      <c r="R162" s="2" t="str">
        <f t="shared" si="13"/>
        <v>Low</v>
      </c>
      <c r="S162" s="2" t="str" cm="1">
        <f t="array" ref="S162">_xlfn.IFS(L162&gt;=8,"High",L162&gt;=5,"Medium",L162&lt;5,"Low")</f>
        <v>Low</v>
      </c>
      <c r="T162" s="2" t="str">
        <f t="shared" si="14"/>
        <v>Low</v>
      </c>
    </row>
    <row r="163" spans="1:20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f t="shared" si="12"/>
        <v>3312.93</v>
      </c>
      <c r="O163" s="5">
        <v>15</v>
      </c>
      <c r="P163" s="6">
        <f t="shared" si="10"/>
        <v>496.93949999999995</v>
      </c>
      <c r="Q163" s="6">
        <f t="shared" si="11"/>
        <v>2815.9904999999999</v>
      </c>
      <c r="R163" s="2" t="str">
        <f t="shared" si="13"/>
        <v>Low</v>
      </c>
      <c r="S163" s="2" t="str" cm="1">
        <f t="array" ref="S163">_xlfn.IFS(L163&gt;=8,"High",L163&gt;=5,"Medium",L163&lt;5,"Low")</f>
        <v>Low</v>
      </c>
      <c r="T163" s="2" t="str">
        <f t="shared" si="14"/>
        <v>Low</v>
      </c>
    </row>
    <row r="164" spans="1:20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f t="shared" si="12"/>
        <v>11344.84</v>
      </c>
      <c r="O164" s="5">
        <v>20</v>
      </c>
      <c r="P164" s="6">
        <f t="shared" si="10"/>
        <v>2268.9679999999998</v>
      </c>
      <c r="Q164" s="6">
        <f t="shared" si="11"/>
        <v>9075.8719999999994</v>
      </c>
      <c r="R164" s="2" t="str">
        <f t="shared" si="13"/>
        <v>Low</v>
      </c>
      <c r="S164" s="2" t="str" cm="1">
        <f t="array" ref="S164">_xlfn.IFS(L164&gt;=8,"High",L164&gt;=5,"Medium",L164&lt;5,"Low")</f>
        <v>Low</v>
      </c>
      <c r="T164" s="2" t="str">
        <f t="shared" si="14"/>
        <v>Medium</v>
      </c>
    </row>
    <row r="165" spans="1:20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f t="shared" si="12"/>
        <v>1218.6300000000001</v>
      </c>
      <c r="O165" s="5">
        <v>10</v>
      </c>
      <c r="P165" s="6">
        <f t="shared" si="10"/>
        <v>121.86300000000001</v>
      </c>
      <c r="Q165" s="6">
        <f t="shared" si="11"/>
        <v>1096.7670000000001</v>
      </c>
      <c r="R165" s="2" t="str">
        <f t="shared" si="13"/>
        <v>Low</v>
      </c>
      <c r="S165" s="2" t="str" cm="1">
        <f t="array" ref="S165">_xlfn.IFS(L165&gt;=8,"High",L165&gt;=5,"Medium",L165&lt;5,"Low")</f>
        <v>Medium</v>
      </c>
      <c r="T165" s="2" t="str">
        <f t="shared" si="14"/>
        <v>Low</v>
      </c>
    </row>
    <row r="166" spans="1:20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f t="shared" si="12"/>
        <v>3494.34</v>
      </c>
      <c r="O166" s="5">
        <v>10</v>
      </c>
      <c r="P166" s="6">
        <f t="shared" si="10"/>
        <v>349.43400000000003</v>
      </c>
      <c r="Q166" s="6">
        <f t="shared" si="11"/>
        <v>3144.9059999999999</v>
      </c>
      <c r="R166" s="2" t="str">
        <f t="shared" si="13"/>
        <v>Low</v>
      </c>
      <c r="S166" s="2" t="str" cm="1">
        <f t="array" ref="S166">_xlfn.IFS(L166&gt;=8,"High",L166&gt;=5,"Medium",L166&lt;5,"Low")</f>
        <v>High</v>
      </c>
      <c r="T166" s="2" t="str">
        <f t="shared" si="14"/>
        <v>Low</v>
      </c>
    </row>
    <row r="167" spans="1:20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f t="shared" si="12"/>
        <v>17689.36</v>
      </c>
      <c r="O167" s="5">
        <v>10</v>
      </c>
      <c r="P167" s="6">
        <f t="shared" si="10"/>
        <v>1768.9360000000001</v>
      </c>
      <c r="Q167" s="6">
        <f t="shared" si="11"/>
        <v>15920.424000000001</v>
      </c>
      <c r="R167" s="2" t="str">
        <f t="shared" si="13"/>
        <v>High</v>
      </c>
      <c r="S167" s="2" t="str" cm="1">
        <f t="array" ref="S167">_xlfn.IFS(L167&gt;=8,"High",L167&gt;=5,"Medium",L167&lt;5,"Low")</f>
        <v>High</v>
      </c>
      <c r="T167" s="2" t="str">
        <f t="shared" si="14"/>
        <v>Medium</v>
      </c>
    </row>
    <row r="168" spans="1:20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f t="shared" si="12"/>
        <v>11646.900000000001</v>
      </c>
      <c r="O168" s="5">
        <v>20</v>
      </c>
      <c r="P168" s="6">
        <f t="shared" si="10"/>
        <v>2329.38</v>
      </c>
      <c r="Q168" s="6">
        <f t="shared" si="11"/>
        <v>9317.52</v>
      </c>
      <c r="R168" s="2" t="str">
        <f t="shared" si="13"/>
        <v>Low</v>
      </c>
      <c r="S168" s="2" t="str" cm="1">
        <f t="array" ref="S168">_xlfn.IFS(L168&gt;=8,"High",L168&gt;=5,"Medium",L168&lt;5,"Low")</f>
        <v>Medium</v>
      </c>
      <c r="T168" s="2" t="str">
        <f t="shared" si="14"/>
        <v>Medium</v>
      </c>
    </row>
    <row r="169" spans="1:20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f t="shared" si="12"/>
        <v>4606.4900000000007</v>
      </c>
      <c r="O169" s="5">
        <v>20</v>
      </c>
      <c r="P169" s="6">
        <f t="shared" si="10"/>
        <v>921.29800000000023</v>
      </c>
      <c r="Q169" s="6">
        <f t="shared" si="11"/>
        <v>3685.1920000000005</v>
      </c>
      <c r="R169" s="2" t="str">
        <f t="shared" si="13"/>
        <v>Low</v>
      </c>
      <c r="S169" s="2" t="str" cm="1">
        <f t="array" ref="S169">_xlfn.IFS(L169&gt;=8,"High",L169&gt;=5,"Medium",L169&lt;5,"Low")</f>
        <v>Medium</v>
      </c>
      <c r="T169" s="2" t="str">
        <f t="shared" si="14"/>
        <v>Low</v>
      </c>
    </row>
    <row r="170" spans="1:20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f t="shared" si="12"/>
        <v>10628.75</v>
      </c>
      <c r="O170" s="5">
        <v>15</v>
      </c>
      <c r="P170" s="6">
        <f t="shared" si="10"/>
        <v>1594.3125</v>
      </c>
      <c r="Q170" s="6">
        <f t="shared" si="11"/>
        <v>9034.4375</v>
      </c>
      <c r="R170" s="2" t="str">
        <f t="shared" si="13"/>
        <v>Low</v>
      </c>
      <c r="S170" s="2" t="str" cm="1">
        <f t="array" ref="S170">_xlfn.IFS(L170&gt;=8,"High",L170&gt;=5,"Medium",L170&lt;5,"Low")</f>
        <v>Medium</v>
      </c>
      <c r="T170" s="2" t="str">
        <f t="shared" si="14"/>
        <v>Medium</v>
      </c>
    </row>
    <row r="171" spans="1:20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f t="shared" si="12"/>
        <v>6290.34</v>
      </c>
      <c r="O171" s="5">
        <v>0</v>
      </c>
      <c r="P171" s="6">
        <f t="shared" si="10"/>
        <v>0</v>
      </c>
      <c r="Q171" s="6">
        <f t="shared" si="11"/>
        <v>6290.34</v>
      </c>
      <c r="R171" s="2" t="str">
        <f t="shared" si="13"/>
        <v>Low</v>
      </c>
      <c r="S171" s="2" t="str" cm="1">
        <f t="array" ref="S171">_xlfn.IFS(L171&gt;=8,"High",L171&gt;=5,"Medium",L171&lt;5,"Low")</f>
        <v>Medium</v>
      </c>
      <c r="T171" s="2" t="str">
        <f t="shared" si="14"/>
        <v>Low</v>
      </c>
    </row>
    <row r="172" spans="1:20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f t="shared" si="12"/>
        <v>508.81</v>
      </c>
      <c r="O172" s="5">
        <v>0</v>
      </c>
      <c r="P172" s="6">
        <f t="shared" si="10"/>
        <v>0</v>
      </c>
      <c r="Q172" s="6">
        <f t="shared" si="11"/>
        <v>508.81</v>
      </c>
      <c r="R172" s="2" t="str">
        <f t="shared" si="13"/>
        <v>Low</v>
      </c>
      <c r="S172" s="2" t="str" cm="1">
        <f t="array" ref="S172">_xlfn.IFS(L172&gt;=8,"High",L172&gt;=5,"Medium",L172&lt;5,"Low")</f>
        <v>Low</v>
      </c>
      <c r="T172" s="2" t="str">
        <f t="shared" si="14"/>
        <v>Low</v>
      </c>
    </row>
    <row r="173" spans="1:20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f t="shared" si="12"/>
        <v>1730.41</v>
      </c>
      <c r="O173" s="5">
        <v>10</v>
      </c>
      <c r="P173" s="6">
        <f t="shared" si="10"/>
        <v>173.04100000000003</v>
      </c>
      <c r="Q173" s="6">
        <f t="shared" si="11"/>
        <v>1557.3690000000001</v>
      </c>
      <c r="R173" s="2" t="str">
        <f t="shared" si="13"/>
        <v>Low</v>
      </c>
      <c r="S173" s="2" t="str" cm="1">
        <f t="array" ref="S173">_xlfn.IFS(L173&gt;=8,"High",L173&gt;=5,"Medium",L173&lt;5,"Low")</f>
        <v>Low</v>
      </c>
      <c r="T173" s="2" t="str">
        <f t="shared" si="14"/>
        <v>Low</v>
      </c>
    </row>
    <row r="174" spans="1:20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f t="shared" si="12"/>
        <v>2336.5500000000002</v>
      </c>
      <c r="O174" s="5">
        <v>10</v>
      </c>
      <c r="P174" s="6">
        <f t="shared" si="10"/>
        <v>233.655</v>
      </c>
      <c r="Q174" s="6">
        <f t="shared" si="11"/>
        <v>2102.895</v>
      </c>
      <c r="R174" s="2" t="str">
        <f t="shared" si="13"/>
        <v>Low</v>
      </c>
      <c r="S174" s="2" t="str" cm="1">
        <f t="array" ref="S174">_xlfn.IFS(L174&gt;=8,"High",L174&gt;=5,"Medium",L174&lt;5,"Low")</f>
        <v>Low</v>
      </c>
      <c r="T174" s="2" t="str">
        <f t="shared" si="14"/>
        <v>Low</v>
      </c>
    </row>
    <row r="175" spans="1:20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f t="shared" si="12"/>
        <v>2745.18</v>
      </c>
      <c r="O175" s="5">
        <v>5</v>
      </c>
      <c r="P175" s="6">
        <f t="shared" si="10"/>
        <v>137.25899999999999</v>
      </c>
      <c r="Q175" s="6">
        <f t="shared" si="11"/>
        <v>2607.9209999999998</v>
      </c>
      <c r="R175" s="2" t="str">
        <f t="shared" si="13"/>
        <v>Low</v>
      </c>
      <c r="S175" s="2" t="str" cm="1">
        <f t="array" ref="S175">_xlfn.IFS(L175&gt;=8,"High",L175&gt;=5,"Medium",L175&lt;5,"Low")</f>
        <v>Low</v>
      </c>
      <c r="T175" s="2" t="str">
        <f t="shared" si="14"/>
        <v>Low</v>
      </c>
    </row>
    <row r="176" spans="1:20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f t="shared" si="12"/>
        <v>8040.5500000000011</v>
      </c>
      <c r="O176" s="5">
        <v>15</v>
      </c>
      <c r="P176" s="6">
        <f t="shared" si="10"/>
        <v>1206.0825000000002</v>
      </c>
      <c r="Q176" s="6">
        <f t="shared" si="11"/>
        <v>6834.4675000000007</v>
      </c>
      <c r="R176" s="2" t="str">
        <f t="shared" si="13"/>
        <v>Low</v>
      </c>
      <c r="S176" s="2" t="str" cm="1">
        <f t="array" ref="S176">_xlfn.IFS(L176&gt;=8,"High",L176&gt;=5,"Medium",L176&lt;5,"Low")</f>
        <v>Medium</v>
      </c>
      <c r="T176" s="2" t="str">
        <f t="shared" si="14"/>
        <v>Low</v>
      </c>
    </row>
    <row r="177" spans="1:20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f t="shared" si="12"/>
        <v>974.46</v>
      </c>
      <c r="O177" s="5">
        <v>15</v>
      </c>
      <c r="P177" s="6">
        <f t="shared" si="10"/>
        <v>146.16900000000001</v>
      </c>
      <c r="Q177" s="6">
        <f t="shared" si="11"/>
        <v>828.29100000000005</v>
      </c>
      <c r="R177" s="2" t="str">
        <f t="shared" si="13"/>
        <v>Low</v>
      </c>
      <c r="S177" s="2" t="str" cm="1">
        <f t="array" ref="S177">_xlfn.IFS(L177&gt;=8,"High",L177&gt;=5,"Medium",L177&lt;5,"Low")</f>
        <v>Low</v>
      </c>
      <c r="T177" s="2" t="str">
        <f t="shared" si="14"/>
        <v>Low</v>
      </c>
    </row>
    <row r="178" spans="1:20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f t="shared" si="12"/>
        <v>1984.72</v>
      </c>
      <c r="O178" s="5">
        <v>15</v>
      </c>
      <c r="P178" s="6">
        <f t="shared" si="10"/>
        <v>297.70799999999997</v>
      </c>
      <c r="Q178" s="6">
        <f t="shared" si="11"/>
        <v>1687.0120000000002</v>
      </c>
      <c r="R178" s="2" t="str">
        <f t="shared" si="13"/>
        <v>Low</v>
      </c>
      <c r="S178" s="2" t="str" cm="1">
        <f t="array" ref="S178">_xlfn.IFS(L178&gt;=8,"High",L178&gt;=5,"Medium",L178&lt;5,"Low")</f>
        <v>Low</v>
      </c>
      <c r="T178" s="2" t="str">
        <f t="shared" si="14"/>
        <v>Low</v>
      </c>
    </row>
    <row r="179" spans="1:20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f t="shared" si="12"/>
        <v>1788.02</v>
      </c>
      <c r="O179" s="5">
        <v>15</v>
      </c>
      <c r="P179" s="6">
        <f t="shared" si="10"/>
        <v>268.20299999999997</v>
      </c>
      <c r="Q179" s="6">
        <f t="shared" si="11"/>
        <v>1519.817</v>
      </c>
      <c r="R179" s="2" t="str">
        <f t="shared" si="13"/>
        <v>Low</v>
      </c>
      <c r="S179" s="2" t="str" cm="1">
        <f t="array" ref="S179">_xlfn.IFS(L179&gt;=8,"High",L179&gt;=5,"Medium",L179&lt;5,"Low")</f>
        <v>Low</v>
      </c>
      <c r="T179" s="2" t="str">
        <f t="shared" si="14"/>
        <v>Low</v>
      </c>
    </row>
    <row r="180" spans="1:20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f t="shared" si="12"/>
        <v>2067.8999999999996</v>
      </c>
      <c r="O180" s="5">
        <v>10</v>
      </c>
      <c r="P180" s="6">
        <f t="shared" si="10"/>
        <v>206.78999999999996</v>
      </c>
      <c r="Q180" s="6">
        <f t="shared" si="11"/>
        <v>1861.1099999999997</v>
      </c>
      <c r="R180" s="2" t="str">
        <f t="shared" si="13"/>
        <v>Low</v>
      </c>
      <c r="S180" s="2" t="str" cm="1">
        <f t="array" ref="S180">_xlfn.IFS(L180&gt;=8,"High",L180&gt;=5,"Medium",L180&lt;5,"Low")</f>
        <v>Medium</v>
      </c>
      <c r="T180" s="2" t="str">
        <f t="shared" si="14"/>
        <v>Low</v>
      </c>
    </row>
    <row r="181" spans="1:20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f t="shared" si="12"/>
        <v>20494.88</v>
      </c>
      <c r="O181" s="5">
        <v>0</v>
      </c>
      <c r="P181" s="6">
        <f t="shared" si="10"/>
        <v>0</v>
      </c>
      <c r="Q181" s="6">
        <f t="shared" si="11"/>
        <v>20494.88</v>
      </c>
      <c r="R181" s="2" t="str">
        <f t="shared" si="13"/>
        <v>High</v>
      </c>
      <c r="S181" s="2" t="str" cm="1">
        <f t="array" ref="S181">_xlfn.IFS(L181&gt;=8,"High",L181&gt;=5,"Medium",L181&lt;5,"Low")</f>
        <v>High</v>
      </c>
      <c r="T181" s="2" t="str">
        <f t="shared" si="14"/>
        <v>Low</v>
      </c>
    </row>
    <row r="182" spans="1:20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f t="shared" si="12"/>
        <v>5024.84</v>
      </c>
      <c r="O182" s="5">
        <v>10</v>
      </c>
      <c r="P182" s="6">
        <f t="shared" si="10"/>
        <v>502.48400000000004</v>
      </c>
      <c r="Q182" s="6">
        <f t="shared" si="11"/>
        <v>4522.3559999999998</v>
      </c>
      <c r="R182" s="2" t="str">
        <f t="shared" si="13"/>
        <v>Low</v>
      </c>
      <c r="S182" s="2" t="str" cm="1">
        <f t="array" ref="S182">_xlfn.IFS(L182&gt;=8,"High",L182&gt;=5,"Medium",L182&lt;5,"Low")</f>
        <v>Low</v>
      </c>
      <c r="T182" s="2" t="str">
        <f t="shared" si="14"/>
        <v>Low</v>
      </c>
    </row>
    <row r="183" spans="1:20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f t="shared" si="12"/>
        <v>6135.1</v>
      </c>
      <c r="O183" s="5">
        <v>15</v>
      </c>
      <c r="P183" s="6">
        <f t="shared" si="10"/>
        <v>920.26499999999999</v>
      </c>
      <c r="Q183" s="6">
        <f t="shared" si="11"/>
        <v>5214.835</v>
      </c>
      <c r="R183" s="2" t="str">
        <f t="shared" si="13"/>
        <v>Low</v>
      </c>
      <c r="S183" s="2" t="str" cm="1">
        <f t="array" ref="S183">_xlfn.IFS(L183&gt;=8,"High",L183&gt;=5,"Medium",L183&lt;5,"Low")</f>
        <v>Medium</v>
      </c>
      <c r="T183" s="2" t="str">
        <f t="shared" si="14"/>
        <v>Low</v>
      </c>
    </row>
    <row r="184" spans="1:20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f t="shared" si="12"/>
        <v>5712.76</v>
      </c>
      <c r="O184" s="5">
        <v>10</v>
      </c>
      <c r="P184" s="6">
        <f t="shared" si="10"/>
        <v>571.27600000000007</v>
      </c>
      <c r="Q184" s="6">
        <f t="shared" si="11"/>
        <v>5141.4840000000004</v>
      </c>
      <c r="R184" s="2" t="str">
        <f t="shared" si="13"/>
        <v>Low</v>
      </c>
      <c r="S184" s="2" t="str" cm="1">
        <f t="array" ref="S184">_xlfn.IFS(L184&gt;=8,"High",L184&gt;=5,"Medium",L184&lt;5,"Low")</f>
        <v>Low</v>
      </c>
      <c r="T184" s="2" t="str">
        <f t="shared" si="14"/>
        <v>Low</v>
      </c>
    </row>
    <row r="185" spans="1:20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f t="shared" si="12"/>
        <v>8105.3099999999995</v>
      </c>
      <c r="O185" s="5">
        <v>15</v>
      </c>
      <c r="P185" s="6">
        <f t="shared" si="10"/>
        <v>1215.7964999999999</v>
      </c>
      <c r="Q185" s="6">
        <f t="shared" si="11"/>
        <v>6889.5134999999991</v>
      </c>
      <c r="R185" s="2" t="str">
        <f t="shared" si="13"/>
        <v>Low</v>
      </c>
      <c r="S185" s="2" t="str" cm="1">
        <f t="array" ref="S185">_xlfn.IFS(L185&gt;=8,"High",L185&gt;=5,"Medium",L185&lt;5,"Low")</f>
        <v>Low</v>
      </c>
      <c r="T185" s="2" t="str">
        <f t="shared" si="14"/>
        <v>Low</v>
      </c>
    </row>
    <row r="186" spans="1:20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f t="shared" si="12"/>
        <v>17509.7</v>
      </c>
      <c r="O186" s="5">
        <v>20</v>
      </c>
      <c r="P186" s="6">
        <f t="shared" si="10"/>
        <v>3501.94</v>
      </c>
      <c r="Q186" s="6">
        <f t="shared" si="11"/>
        <v>14007.76</v>
      </c>
      <c r="R186" s="2" t="str">
        <f t="shared" si="13"/>
        <v>High</v>
      </c>
      <c r="S186" s="2" t="str" cm="1">
        <f t="array" ref="S186">_xlfn.IFS(L186&gt;=8,"High",L186&gt;=5,"Medium",L186&lt;5,"Low")</f>
        <v>Medium</v>
      </c>
      <c r="T186" s="2" t="str">
        <f t="shared" si="14"/>
        <v>High</v>
      </c>
    </row>
    <row r="187" spans="1:20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f t="shared" si="12"/>
        <v>27652.32</v>
      </c>
      <c r="O187" s="5">
        <v>0</v>
      </c>
      <c r="P187" s="6">
        <f t="shared" si="10"/>
        <v>0</v>
      </c>
      <c r="Q187" s="6">
        <f t="shared" si="11"/>
        <v>27652.32</v>
      </c>
      <c r="R187" s="2" t="str">
        <f t="shared" si="13"/>
        <v>High</v>
      </c>
      <c r="S187" s="2" t="str" cm="1">
        <f t="array" ref="S187">_xlfn.IFS(L187&gt;=8,"High",L187&gt;=5,"Medium",L187&lt;5,"Low")</f>
        <v>High</v>
      </c>
      <c r="T187" s="2" t="str">
        <f t="shared" si="14"/>
        <v>Low</v>
      </c>
    </row>
    <row r="188" spans="1:20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f t="shared" si="12"/>
        <v>6877.92</v>
      </c>
      <c r="O188" s="5">
        <v>10</v>
      </c>
      <c r="P188" s="6">
        <f t="shared" si="10"/>
        <v>687.79199999999992</v>
      </c>
      <c r="Q188" s="6">
        <f t="shared" si="11"/>
        <v>6190.1280000000006</v>
      </c>
      <c r="R188" s="2" t="str">
        <f t="shared" si="13"/>
        <v>Low</v>
      </c>
      <c r="S188" s="2" t="str" cm="1">
        <f t="array" ref="S188">_xlfn.IFS(L188&gt;=8,"High",L188&gt;=5,"Medium",L188&lt;5,"Low")</f>
        <v>Medium</v>
      </c>
      <c r="T188" s="2" t="str">
        <f t="shared" si="14"/>
        <v>Low</v>
      </c>
    </row>
    <row r="189" spans="1:20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f t="shared" si="12"/>
        <v>7624.56</v>
      </c>
      <c r="O189" s="5">
        <v>20</v>
      </c>
      <c r="P189" s="6">
        <f t="shared" si="10"/>
        <v>1524.912</v>
      </c>
      <c r="Q189" s="6">
        <f t="shared" si="11"/>
        <v>6099.6480000000001</v>
      </c>
      <c r="R189" s="2" t="str">
        <f t="shared" si="13"/>
        <v>Low</v>
      </c>
      <c r="S189" s="2" t="str" cm="1">
        <f t="array" ref="S189">_xlfn.IFS(L189&gt;=8,"High",L189&gt;=5,"Medium",L189&lt;5,"Low")</f>
        <v>High</v>
      </c>
      <c r="T189" s="2" t="str">
        <f t="shared" si="14"/>
        <v>Medium</v>
      </c>
    </row>
    <row r="190" spans="1:20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f t="shared" si="12"/>
        <v>10328.879999999999</v>
      </c>
      <c r="O190" s="5">
        <v>15</v>
      </c>
      <c r="P190" s="6">
        <f t="shared" si="10"/>
        <v>1549.3319999999999</v>
      </c>
      <c r="Q190" s="6">
        <f t="shared" si="11"/>
        <v>8779.5479999999989</v>
      </c>
      <c r="R190" s="2" t="str">
        <f t="shared" si="13"/>
        <v>Low</v>
      </c>
      <c r="S190" s="2" t="str" cm="1">
        <f t="array" ref="S190">_xlfn.IFS(L190&gt;=8,"High",L190&gt;=5,"Medium",L190&lt;5,"Low")</f>
        <v>High</v>
      </c>
      <c r="T190" s="2" t="str">
        <f t="shared" si="14"/>
        <v>Medium</v>
      </c>
    </row>
    <row r="191" spans="1:20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f t="shared" si="12"/>
        <v>29252.720000000001</v>
      </c>
      <c r="O191" s="5">
        <v>15</v>
      </c>
      <c r="P191" s="6">
        <f t="shared" si="10"/>
        <v>4387.9080000000004</v>
      </c>
      <c r="Q191" s="6">
        <f t="shared" si="11"/>
        <v>24864.812000000002</v>
      </c>
      <c r="R191" s="2" t="str">
        <f t="shared" si="13"/>
        <v>High</v>
      </c>
      <c r="S191" s="2" t="str" cm="1">
        <f t="array" ref="S191">_xlfn.IFS(L191&gt;=8,"High",L191&gt;=5,"Medium",L191&lt;5,"Low")</f>
        <v>High</v>
      </c>
      <c r="T191" s="2" t="str">
        <f t="shared" si="14"/>
        <v>High</v>
      </c>
    </row>
    <row r="192" spans="1:20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f t="shared" si="12"/>
        <v>15802.850000000002</v>
      </c>
      <c r="O192" s="5">
        <v>10</v>
      </c>
      <c r="P192" s="6">
        <f t="shared" si="10"/>
        <v>1580.2850000000003</v>
      </c>
      <c r="Q192" s="6">
        <f t="shared" si="11"/>
        <v>14222.565000000002</v>
      </c>
      <c r="R192" s="2" t="str">
        <f t="shared" si="13"/>
        <v>High</v>
      </c>
      <c r="S192" s="2" t="str" cm="1">
        <f t="array" ref="S192">_xlfn.IFS(L192&gt;=8,"High",L192&gt;=5,"Medium",L192&lt;5,"Low")</f>
        <v>Medium</v>
      </c>
      <c r="T192" s="2" t="str">
        <f t="shared" si="14"/>
        <v>Medium</v>
      </c>
    </row>
    <row r="193" spans="1:20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f t="shared" si="12"/>
        <v>2975.54</v>
      </c>
      <c r="O193" s="5">
        <v>15</v>
      </c>
      <c r="P193" s="6">
        <f t="shared" si="10"/>
        <v>446.33099999999996</v>
      </c>
      <c r="Q193" s="6">
        <f t="shared" si="11"/>
        <v>2529.2089999999998</v>
      </c>
      <c r="R193" s="2" t="str">
        <f t="shared" si="13"/>
        <v>Low</v>
      </c>
      <c r="S193" s="2" t="str" cm="1">
        <f t="array" ref="S193">_xlfn.IFS(L193&gt;=8,"High",L193&gt;=5,"Medium",L193&lt;5,"Low")</f>
        <v>Low</v>
      </c>
      <c r="T193" s="2" t="str">
        <f t="shared" si="14"/>
        <v>Low</v>
      </c>
    </row>
    <row r="194" spans="1:20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f t="shared" si="12"/>
        <v>6878.84</v>
      </c>
      <c r="O194" s="5">
        <v>15</v>
      </c>
      <c r="P194" s="6">
        <f t="shared" ref="P194:P257" si="15">N194*O194/100</f>
        <v>1031.826</v>
      </c>
      <c r="Q194" s="6">
        <f t="shared" ref="Q194:Q257" si="16">N194-P194</f>
        <v>5847.0140000000001</v>
      </c>
      <c r="R194" s="2" t="str">
        <f t="shared" si="13"/>
        <v>Low</v>
      </c>
      <c r="S194" s="2" t="str" cm="1">
        <f t="array" ref="S194">_xlfn.IFS(L194&gt;=8,"High",L194&gt;=5,"Medium",L194&lt;5,"Low")</f>
        <v>Low</v>
      </c>
      <c r="T194" s="2" t="str">
        <f t="shared" si="14"/>
        <v>Low</v>
      </c>
    </row>
    <row r="195" spans="1:20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f t="shared" ref="N195:N258" si="17">L195*M195</f>
        <v>3167.1499999999996</v>
      </c>
      <c r="O195" s="5">
        <v>20</v>
      </c>
      <c r="P195" s="6">
        <f t="shared" si="15"/>
        <v>633.42999999999995</v>
      </c>
      <c r="Q195" s="6">
        <f t="shared" si="16"/>
        <v>2533.7199999999998</v>
      </c>
      <c r="R195" s="2" t="str">
        <f t="shared" ref="R195:R258" si="18">IF(Q195&gt;=10000,"High","Low")</f>
        <v>Low</v>
      </c>
      <c r="S195" s="2" t="str" cm="1">
        <f t="array" ref="S195">_xlfn.IFS(L195&gt;=8,"High",L195&gt;=5,"Medium",L195&lt;5,"Low")</f>
        <v>Medium</v>
      </c>
      <c r="T195" s="2" t="str">
        <f t="shared" ref="T195:T258" si="19">IF(P195&gt;=3000,"High",IF(P195&gt;=1500,"Medium","Low"))</f>
        <v>Low</v>
      </c>
    </row>
    <row r="196" spans="1:20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f t="shared" si="17"/>
        <v>4856.9400000000005</v>
      </c>
      <c r="O196" s="5">
        <v>5</v>
      </c>
      <c r="P196" s="6">
        <f t="shared" si="15"/>
        <v>242.84700000000004</v>
      </c>
      <c r="Q196" s="6">
        <f t="shared" si="16"/>
        <v>4614.0930000000008</v>
      </c>
      <c r="R196" s="2" t="str">
        <f t="shared" si="18"/>
        <v>Low</v>
      </c>
      <c r="S196" s="2" t="str" cm="1">
        <f t="array" ref="S196">_xlfn.IFS(L196&gt;=8,"High",L196&gt;=5,"Medium",L196&lt;5,"Low")</f>
        <v>Medium</v>
      </c>
      <c r="T196" s="2" t="str">
        <f t="shared" si="19"/>
        <v>Low</v>
      </c>
    </row>
    <row r="197" spans="1:20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f t="shared" si="17"/>
        <v>13341.28</v>
      </c>
      <c r="O197" s="5">
        <v>20</v>
      </c>
      <c r="P197" s="6">
        <f t="shared" si="15"/>
        <v>2668.2560000000003</v>
      </c>
      <c r="Q197" s="6">
        <f t="shared" si="16"/>
        <v>10673.024000000001</v>
      </c>
      <c r="R197" s="2" t="str">
        <f t="shared" si="18"/>
        <v>High</v>
      </c>
      <c r="S197" s="2" t="str" cm="1">
        <f t="array" ref="S197">_xlfn.IFS(L197&gt;=8,"High",L197&gt;=5,"Medium",L197&lt;5,"Low")</f>
        <v>Low</v>
      </c>
      <c r="T197" s="2" t="str">
        <f t="shared" si="19"/>
        <v>Medium</v>
      </c>
    </row>
    <row r="198" spans="1:20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f t="shared" si="17"/>
        <v>4803.26</v>
      </c>
      <c r="O198" s="5">
        <v>0</v>
      </c>
      <c r="P198" s="6">
        <f t="shared" si="15"/>
        <v>0</v>
      </c>
      <c r="Q198" s="6">
        <f t="shared" si="16"/>
        <v>4803.26</v>
      </c>
      <c r="R198" s="2" t="str">
        <f t="shared" si="18"/>
        <v>Low</v>
      </c>
      <c r="S198" s="2" t="str" cm="1">
        <f t="array" ref="S198">_xlfn.IFS(L198&gt;=8,"High",L198&gt;=5,"Medium",L198&lt;5,"Low")</f>
        <v>Low</v>
      </c>
      <c r="T198" s="2" t="str">
        <f t="shared" si="19"/>
        <v>Low</v>
      </c>
    </row>
    <row r="199" spans="1:20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f t="shared" si="17"/>
        <v>25927.84</v>
      </c>
      <c r="O199" s="5">
        <v>0</v>
      </c>
      <c r="P199" s="6">
        <f t="shared" si="15"/>
        <v>0</v>
      </c>
      <c r="Q199" s="6">
        <f t="shared" si="16"/>
        <v>25927.84</v>
      </c>
      <c r="R199" s="2" t="str">
        <f t="shared" si="18"/>
        <v>High</v>
      </c>
      <c r="S199" s="2" t="str" cm="1">
        <f t="array" ref="S199">_xlfn.IFS(L199&gt;=8,"High",L199&gt;=5,"Medium",L199&lt;5,"Low")</f>
        <v>High</v>
      </c>
      <c r="T199" s="2" t="str">
        <f t="shared" si="19"/>
        <v>Low</v>
      </c>
    </row>
    <row r="200" spans="1:20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f t="shared" si="17"/>
        <v>27354.11</v>
      </c>
      <c r="O200" s="5">
        <v>10</v>
      </c>
      <c r="P200" s="6">
        <f t="shared" si="15"/>
        <v>2735.4109999999996</v>
      </c>
      <c r="Q200" s="6">
        <f t="shared" si="16"/>
        <v>24618.699000000001</v>
      </c>
      <c r="R200" s="2" t="str">
        <f t="shared" si="18"/>
        <v>High</v>
      </c>
      <c r="S200" s="2" t="str" cm="1">
        <f t="array" ref="S200">_xlfn.IFS(L200&gt;=8,"High",L200&gt;=5,"Medium",L200&lt;5,"Low")</f>
        <v>Medium</v>
      </c>
      <c r="T200" s="2" t="str">
        <f t="shared" si="19"/>
        <v>Medium</v>
      </c>
    </row>
    <row r="201" spans="1:20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f t="shared" si="17"/>
        <v>8865.2999999999993</v>
      </c>
      <c r="O201" s="5">
        <v>10</v>
      </c>
      <c r="P201" s="6">
        <f t="shared" si="15"/>
        <v>886.53</v>
      </c>
      <c r="Q201" s="6">
        <f t="shared" si="16"/>
        <v>7978.7699999999995</v>
      </c>
      <c r="R201" s="2" t="str">
        <f t="shared" si="18"/>
        <v>Low</v>
      </c>
      <c r="S201" s="2" t="str" cm="1">
        <f t="array" ref="S201">_xlfn.IFS(L201&gt;=8,"High",L201&gt;=5,"Medium",L201&lt;5,"Low")</f>
        <v>Medium</v>
      </c>
      <c r="T201" s="2" t="str">
        <f t="shared" si="19"/>
        <v>Low</v>
      </c>
    </row>
    <row r="202" spans="1:20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f t="shared" si="17"/>
        <v>3100.65</v>
      </c>
      <c r="O202" s="5">
        <v>5</v>
      </c>
      <c r="P202" s="6">
        <f t="shared" si="15"/>
        <v>155.0325</v>
      </c>
      <c r="Q202" s="6">
        <f t="shared" si="16"/>
        <v>2945.6175000000003</v>
      </c>
      <c r="R202" s="2" t="str">
        <f t="shared" si="18"/>
        <v>Low</v>
      </c>
      <c r="S202" s="2" t="str" cm="1">
        <f t="array" ref="S202">_xlfn.IFS(L202&gt;=8,"High",L202&gt;=5,"Medium",L202&lt;5,"Low")</f>
        <v>Medium</v>
      </c>
      <c r="T202" s="2" t="str">
        <f t="shared" si="19"/>
        <v>Low</v>
      </c>
    </row>
    <row r="203" spans="1:20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f t="shared" si="17"/>
        <v>28153.599999999999</v>
      </c>
      <c r="O203" s="5">
        <v>0</v>
      </c>
      <c r="P203" s="6">
        <f t="shared" si="15"/>
        <v>0</v>
      </c>
      <c r="Q203" s="6">
        <f t="shared" si="16"/>
        <v>28153.599999999999</v>
      </c>
      <c r="R203" s="2" t="str">
        <f t="shared" si="18"/>
        <v>High</v>
      </c>
      <c r="S203" s="2" t="str" cm="1">
        <f t="array" ref="S203">_xlfn.IFS(L203&gt;=8,"High",L203&gt;=5,"Medium",L203&lt;5,"Low")</f>
        <v>High</v>
      </c>
      <c r="T203" s="2" t="str">
        <f t="shared" si="19"/>
        <v>Low</v>
      </c>
    </row>
    <row r="204" spans="1:20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f t="shared" si="17"/>
        <v>2250.4899999999998</v>
      </c>
      <c r="O204" s="5">
        <v>15</v>
      </c>
      <c r="P204" s="6">
        <f t="shared" si="15"/>
        <v>337.57349999999997</v>
      </c>
      <c r="Q204" s="6">
        <f t="shared" si="16"/>
        <v>1912.9164999999998</v>
      </c>
      <c r="R204" s="2" t="str">
        <f t="shared" si="18"/>
        <v>Low</v>
      </c>
      <c r="S204" s="2" t="str" cm="1">
        <f t="array" ref="S204">_xlfn.IFS(L204&gt;=8,"High",L204&gt;=5,"Medium",L204&lt;5,"Low")</f>
        <v>Low</v>
      </c>
      <c r="T204" s="2" t="str">
        <f t="shared" si="19"/>
        <v>Low</v>
      </c>
    </row>
    <row r="205" spans="1:20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f t="shared" si="17"/>
        <v>556.53</v>
      </c>
      <c r="O205" s="5">
        <v>5</v>
      </c>
      <c r="P205" s="6">
        <f t="shared" si="15"/>
        <v>27.826499999999996</v>
      </c>
      <c r="Q205" s="6">
        <f t="shared" si="16"/>
        <v>528.70349999999996</v>
      </c>
      <c r="R205" s="2" t="str">
        <f t="shared" si="18"/>
        <v>Low</v>
      </c>
      <c r="S205" s="2" t="str" cm="1">
        <f t="array" ref="S205">_xlfn.IFS(L205&gt;=8,"High",L205&gt;=5,"Medium",L205&lt;5,"Low")</f>
        <v>Low</v>
      </c>
      <c r="T205" s="2" t="str">
        <f t="shared" si="19"/>
        <v>Low</v>
      </c>
    </row>
    <row r="206" spans="1:20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f t="shared" si="17"/>
        <v>2270.66</v>
      </c>
      <c r="O206" s="5">
        <v>10</v>
      </c>
      <c r="P206" s="6">
        <f t="shared" si="15"/>
        <v>227.06599999999997</v>
      </c>
      <c r="Q206" s="6">
        <f t="shared" si="16"/>
        <v>2043.5939999999998</v>
      </c>
      <c r="R206" s="2" t="str">
        <f t="shared" si="18"/>
        <v>Low</v>
      </c>
      <c r="S206" s="2" t="str" cm="1">
        <f t="array" ref="S206">_xlfn.IFS(L206&gt;=8,"High",L206&gt;=5,"Medium",L206&lt;5,"Low")</f>
        <v>Medium</v>
      </c>
      <c r="T206" s="2" t="str">
        <f t="shared" si="19"/>
        <v>Low</v>
      </c>
    </row>
    <row r="207" spans="1:20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f t="shared" si="17"/>
        <v>24093.81</v>
      </c>
      <c r="O207" s="5">
        <v>10</v>
      </c>
      <c r="P207" s="6">
        <f t="shared" si="15"/>
        <v>2409.3809999999999</v>
      </c>
      <c r="Q207" s="6">
        <f t="shared" si="16"/>
        <v>21684.429</v>
      </c>
      <c r="R207" s="2" t="str">
        <f t="shared" si="18"/>
        <v>High</v>
      </c>
      <c r="S207" s="2" t="str" cm="1">
        <f t="array" ref="S207">_xlfn.IFS(L207&gt;=8,"High",L207&gt;=5,"Medium",L207&lt;5,"Low")</f>
        <v>High</v>
      </c>
      <c r="T207" s="2" t="str">
        <f t="shared" si="19"/>
        <v>Medium</v>
      </c>
    </row>
    <row r="208" spans="1:20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f t="shared" si="17"/>
        <v>2276.16</v>
      </c>
      <c r="O208" s="5">
        <v>15</v>
      </c>
      <c r="P208" s="6">
        <f t="shared" si="15"/>
        <v>341.42399999999992</v>
      </c>
      <c r="Q208" s="6">
        <f t="shared" si="16"/>
        <v>1934.7359999999999</v>
      </c>
      <c r="R208" s="2" t="str">
        <f t="shared" si="18"/>
        <v>Low</v>
      </c>
      <c r="S208" s="2" t="str" cm="1">
        <f t="array" ref="S208">_xlfn.IFS(L208&gt;=8,"High",L208&gt;=5,"Medium",L208&lt;5,"Low")</f>
        <v>High</v>
      </c>
      <c r="T208" s="2" t="str">
        <f t="shared" si="19"/>
        <v>Low</v>
      </c>
    </row>
    <row r="209" spans="1:20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f t="shared" si="17"/>
        <v>7921.12</v>
      </c>
      <c r="O209" s="5">
        <v>10</v>
      </c>
      <c r="P209" s="6">
        <f t="shared" si="15"/>
        <v>792.11199999999997</v>
      </c>
      <c r="Q209" s="6">
        <f t="shared" si="16"/>
        <v>7129.0079999999998</v>
      </c>
      <c r="R209" s="2" t="str">
        <f t="shared" si="18"/>
        <v>Low</v>
      </c>
      <c r="S209" s="2" t="str" cm="1">
        <f t="array" ref="S209">_xlfn.IFS(L209&gt;=8,"High",L209&gt;=5,"Medium",L209&lt;5,"Low")</f>
        <v>Low</v>
      </c>
      <c r="T209" s="2" t="str">
        <f t="shared" si="19"/>
        <v>Low</v>
      </c>
    </row>
    <row r="210" spans="1:20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f t="shared" si="17"/>
        <v>2390.2199999999998</v>
      </c>
      <c r="O210" s="5">
        <v>10</v>
      </c>
      <c r="P210" s="6">
        <f t="shared" si="15"/>
        <v>239.02199999999996</v>
      </c>
      <c r="Q210" s="6">
        <f t="shared" si="16"/>
        <v>2151.1979999999999</v>
      </c>
      <c r="R210" s="2" t="str">
        <f t="shared" si="18"/>
        <v>Low</v>
      </c>
      <c r="S210" s="2" t="str" cm="1">
        <f t="array" ref="S210">_xlfn.IFS(L210&gt;=8,"High",L210&gt;=5,"Medium",L210&lt;5,"Low")</f>
        <v>High</v>
      </c>
      <c r="T210" s="2" t="str">
        <f t="shared" si="19"/>
        <v>Low</v>
      </c>
    </row>
    <row r="211" spans="1:20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f t="shared" si="17"/>
        <v>11168.58</v>
      </c>
      <c r="O211" s="5">
        <v>0</v>
      </c>
      <c r="P211" s="6">
        <f t="shared" si="15"/>
        <v>0</v>
      </c>
      <c r="Q211" s="6">
        <f t="shared" si="16"/>
        <v>11168.58</v>
      </c>
      <c r="R211" s="2" t="str">
        <f t="shared" si="18"/>
        <v>High</v>
      </c>
      <c r="S211" s="2" t="str" cm="1">
        <f t="array" ref="S211">_xlfn.IFS(L211&gt;=8,"High",L211&gt;=5,"Medium",L211&lt;5,"Low")</f>
        <v>Medium</v>
      </c>
      <c r="T211" s="2" t="str">
        <f t="shared" si="19"/>
        <v>Low</v>
      </c>
    </row>
    <row r="212" spans="1:20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f t="shared" si="17"/>
        <v>1203.06</v>
      </c>
      <c r="O212" s="5">
        <v>20</v>
      </c>
      <c r="P212" s="6">
        <f t="shared" si="15"/>
        <v>240.61199999999997</v>
      </c>
      <c r="Q212" s="6">
        <f t="shared" si="16"/>
        <v>962.44799999999998</v>
      </c>
      <c r="R212" s="2" t="str">
        <f t="shared" si="18"/>
        <v>Low</v>
      </c>
      <c r="S212" s="2" t="str" cm="1">
        <f t="array" ref="S212">_xlfn.IFS(L212&gt;=8,"High",L212&gt;=5,"Medium",L212&lt;5,"Low")</f>
        <v>Low</v>
      </c>
      <c r="T212" s="2" t="str">
        <f t="shared" si="19"/>
        <v>Low</v>
      </c>
    </row>
    <row r="213" spans="1:20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f t="shared" si="17"/>
        <v>2402.67</v>
      </c>
      <c r="O213" s="5">
        <v>0</v>
      </c>
      <c r="P213" s="6">
        <f t="shared" si="15"/>
        <v>0</v>
      </c>
      <c r="Q213" s="6">
        <f t="shared" si="16"/>
        <v>2402.67</v>
      </c>
      <c r="R213" s="2" t="str">
        <f t="shared" si="18"/>
        <v>Low</v>
      </c>
      <c r="S213" s="2" t="str" cm="1">
        <f t="array" ref="S213">_xlfn.IFS(L213&gt;=8,"High",L213&gt;=5,"Medium",L213&lt;5,"Low")</f>
        <v>Low</v>
      </c>
      <c r="T213" s="2" t="str">
        <f t="shared" si="19"/>
        <v>Low</v>
      </c>
    </row>
    <row r="214" spans="1:20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f t="shared" si="17"/>
        <v>12035.6</v>
      </c>
      <c r="O214" s="5">
        <v>20</v>
      </c>
      <c r="P214" s="6">
        <f t="shared" si="15"/>
        <v>2407.12</v>
      </c>
      <c r="Q214" s="6">
        <f t="shared" si="16"/>
        <v>9628.48</v>
      </c>
      <c r="R214" s="2" t="str">
        <f t="shared" si="18"/>
        <v>Low</v>
      </c>
      <c r="S214" s="2" t="str" cm="1">
        <f t="array" ref="S214">_xlfn.IFS(L214&gt;=8,"High",L214&gt;=5,"Medium",L214&lt;5,"Low")</f>
        <v>High</v>
      </c>
      <c r="T214" s="2" t="str">
        <f t="shared" si="19"/>
        <v>Medium</v>
      </c>
    </row>
    <row r="215" spans="1:20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f t="shared" si="17"/>
        <v>3082.45</v>
      </c>
      <c r="O215" s="5">
        <v>5</v>
      </c>
      <c r="P215" s="6">
        <f t="shared" si="15"/>
        <v>154.1225</v>
      </c>
      <c r="Q215" s="6">
        <f t="shared" si="16"/>
        <v>2928.3274999999999</v>
      </c>
      <c r="R215" s="2" t="str">
        <f t="shared" si="18"/>
        <v>Low</v>
      </c>
      <c r="S215" s="2" t="str" cm="1">
        <f t="array" ref="S215">_xlfn.IFS(L215&gt;=8,"High",L215&gt;=5,"Medium",L215&lt;5,"Low")</f>
        <v>Low</v>
      </c>
      <c r="T215" s="2" t="str">
        <f t="shared" si="19"/>
        <v>Low</v>
      </c>
    </row>
    <row r="216" spans="1:20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f t="shared" si="17"/>
        <v>14715.89</v>
      </c>
      <c r="O216" s="5">
        <v>20</v>
      </c>
      <c r="P216" s="6">
        <f t="shared" si="15"/>
        <v>2943.1779999999999</v>
      </c>
      <c r="Q216" s="6">
        <f t="shared" si="16"/>
        <v>11772.712</v>
      </c>
      <c r="R216" s="2" t="str">
        <f t="shared" si="18"/>
        <v>High</v>
      </c>
      <c r="S216" s="2" t="str" cm="1">
        <f t="array" ref="S216">_xlfn.IFS(L216&gt;=8,"High",L216&gt;=5,"Medium",L216&lt;5,"Low")</f>
        <v>Medium</v>
      </c>
      <c r="T216" s="2" t="str">
        <f t="shared" si="19"/>
        <v>Medium</v>
      </c>
    </row>
    <row r="217" spans="1:20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f t="shared" si="17"/>
        <v>18241.440000000002</v>
      </c>
      <c r="O217" s="5">
        <v>20</v>
      </c>
      <c r="P217" s="6">
        <f t="shared" si="15"/>
        <v>3648.2880000000005</v>
      </c>
      <c r="Q217" s="6">
        <f t="shared" si="16"/>
        <v>14593.152000000002</v>
      </c>
      <c r="R217" s="2" t="str">
        <f t="shared" si="18"/>
        <v>High</v>
      </c>
      <c r="S217" s="2" t="str" cm="1">
        <f t="array" ref="S217">_xlfn.IFS(L217&gt;=8,"High",L217&gt;=5,"Medium",L217&lt;5,"Low")</f>
        <v>Medium</v>
      </c>
      <c r="T217" s="2" t="str">
        <f t="shared" si="19"/>
        <v>High</v>
      </c>
    </row>
    <row r="218" spans="1:20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f t="shared" si="17"/>
        <v>3942.92</v>
      </c>
      <c r="O218" s="5">
        <v>0</v>
      </c>
      <c r="P218" s="6">
        <f t="shared" si="15"/>
        <v>0</v>
      </c>
      <c r="Q218" s="6">
        <f t="shared" si="16"/>
        <v>3942.92</v>
      </c>
      <c r="R218" s="2" t="str">
        <f t="shared" si="18"/>
        <v>Low</v>
      </c>
      <c r="S218" s="2" t="str" cm="1">
        <f t="array" ref="S218">_xlfn.IFS(L218&gt;=8,"High",L218&gt;=5,"Medium",L218&lt;5,"Low")</f>
        <v>Low</v>
      </c>
      <c r="T218" s="2" t="str">
        <f t="shared" si="19"/>
        <v>Low</v>
      </c>
    </row>
    <row r="219" spans="1:20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f t="shared" si="17"/>
        <v>14578.32</v>
      </c>
      <c r="O219" s="5">
        <v>20</v>
      </c>
      <c r="P219" s="6">
        <f t="shared" si="15"/>
        <v>2915.6640000000002</v>
      </c>
      <c r="Q219" s="6">
        <f t="shared" si="16"/>
        <v>11662.655999999999</v>
      </c>
      <c r="R219" s="2" t="str">
        <f t="shared" si="18"/>
        <v>High</v>
      </c>
      <c r="S219" s="2" t="str" cm="1">
        <f t="array" ref="S219">_xlfn.IFS(L219&gt;=8,"High",L219&gt;=5,"Medium",L219&lt;5,"Low")</f>
        <v>High</v>
      </c>
      <c r="T219" s="2" t="str">
        <f t="shared" si="19"/>
        <v>Medium</v>
      </c>
    </row>
    <row r="220" spans="1:20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f t="shared" si="17"/>
        <v>7475.2</v>
      </c>
      <c r="O220" s="5">
        <v>20</v>
      </c>
      <c r="P220" s="6">
        <f t="shared" si="15"/>
        <v>1495.04</v>
      </c>
      <c r="Q220" s="6">
        <f t="shared" si="16"/>
        <v>5980.16</v>
      </c>
      <c r="R220" s="2" t="str">
        <f t="shared" si="18"/>
        <v>Low</v>
      </c>
      <c r="S220" s="2" t="str" cm="1">
        <f t="array" ref="S220">_xlfn.IFS(L220&gt;=8,"High",L220&gt;=5,"Medium",L220&lt;5,"Low")</f>
        <v>Low</v>
      </c>
      <c r="T220" s="2" t="str">
        <f t="shared" si="19"/>
        <v>Low</v>
      </c>
    </row>
    <row r="221" spans="1:20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f t="shared" si="17"/>
        <v>12661.35</v>
      </c>
      <c r="O221" s="5">
        <v>15</v>
      </c>
      <c r="P221" s="6">
        <f t="shared" si="15"/>
        <v>1899.2025000000001</v>
      </c>
      <c r="Q221" s="6">
        <f t="shared" si="16"/>
        <v>10762.147500000001</v>
      </c>
      <c r="R221" s="2" t="str">
        <f t="shared" si="18"/>
        <v>High</v>
      </c>
      <c r="S221" s="2" t="str" cm="1">
        <f t="array" ref="S221">_xlfn.IFS(L221&gt;=8,"High",L221&gt;=5,"Medium",L221&lt;5,"Low")</f>
        <v>Medium</v>
      </c>
      <c r="T221" s="2" t="str">
        <f t="shared" si="19"/>
        <v>Medium</v>
      </c>
    </row>
    <row r="222" spans="1:20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f t="shared" si="17"/>
        <v>5423.32</v>
      </c>
      <c r="O222" s="5">
        <v>0</v>
      </c>
      <c r="P222" s="6">
        <f t="shared" si="15"/>
        <v>0</v>
      </c>
      <c r="Q222" s="6">
        <f t="shared" si="16"/>
        <v>5423.32</v>
      </c>
      <c r="R222" s="2" t="str">
        <f t="shared" si="18"/>
        <v>Low</v>
      </c>
      <c r="S222" s="2" t="str" cm="1">
        <f t="array" ref="S222">_xlfn.IFS(L222&gt;=8,"High",L222&gt;=5,"Medium",L222&lt;5,"Low")</f>
        <v>Low</v>
      </c>
      <c r="T222" s="2" t="str">
        <f t="shared" si="19"/>
        <v>Low</v>
      </c>
    </row>
    <row r="223" spans="1:20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f t="shared" si="17"/>
        <v>721.8</v>
      </c>
      <c r="O223" s="5">
        <v>5</v>
      </c>
      <c r="P223" s="6">
        <f t="shared" si="15"/>
        <v>36.090000000000003</v>
      </c>
      <c r="Q223" s="6">
        <f t="shared" si="16"/>
        <v>685.70999999999992</v>
      </c>
      <c r="R223" s="2" t="str">
        <f t="shared" si="18"/>
        <v>Low</v>
      </c>
      <c r="S223" s="2" t="str" cm="1">
        <f t="array" ref="S223">_xlfn.IFS(L223&gt;=8,"High",L223&gt;=5,"Medium",L223&lt;5,"Low")</f>
        <v>Low</v>
      </c>
      <c r="T223" s="2" t="str">
        <f t="shared" si="19"/>
        <v>Low</v>
      </c>
    </row>
    <row r="224" spans="1:20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f t="shared" si="17"/>
        <v>1941.96</v>
      </c>
      <c r="O224" s="5">
        <v>5</v>
      </c>
      <c r="P224" s="6">
        <f t="shared" si="15"/>
        <v>97.097999999999999</v>
      </c>
      <c r="Q224" s="6">
        <f t="shared" si="16"/>
        <v>1844.8620000000001</v>
      </c>
      <c r="R224" s="2" t="str">
        <f t="shared" si="18"/>
        <v>Low</v>
      </c>
      <c r="S224" s="2" t="str" cm="1">
        <f t="array" ref="S224">_xlfn.IFS(L224&gt;=8,"High",L224&gt;=5,"Medium",L224&lt;5,"Low")</f>
        <v>Low</v>
      </c>
      <c r="T224" s="2" t="str">
        <f t="shared" si="19"/>
        <v>Low</v>
      </c>
    </row>
    <row r="225" spans="1:20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f t="shared" si="17"/>
        <v>1066.5</v>
      </c>
      <c r="O225" s="5">
        <v>0</v>
      </c>
      <c r="P225" s="6">
        <f t="shared" si="15"/>
        <v>0</v>
      </c>
      <c r="Q225" s="6">
        <f t="shared" si="16"/>
        <v>1066.5</v>
      </c>
      <c r="R225" s="2" t="str">
        <f t="shared" si="18"/>
        <v>Low</v>
      </c>
      <c r="S225" s="2" t="str" cm="1">
        <f t="array" ref="S225">_xlfn.IFS(L225&gt;=8,"High",L225&gt;=5,"Medium",L225&lt;5,"Low")</f>
        <v>Low</v>
      </c>
      <c r="T225" s="2" t="str">
        <f t="shared" si="19"/>
        <v>Low</v>
      </c>
    </row>
    <row r="226" spans="1:20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f t="shared" si="17"/>
        <v>17306.03</v>
      </c>
      <c r="O226" s="5">
        <v>10</v>
      </c>
      <c r="P226" s="6">
        <f t="shared" si="15"/>
        <v>1730.6029999999998</v>
      </c>
      <c r="Q226" s="6">
        <f t="shared" si="16"/>
        <v>15575.427</v>
      </c>
      <c r="R226" s="2" t="str">
        <f t="shared" si="18"/>
        <v>High</v>
      </c>
      <c r="S226" s="2" t="str" cm="1">
        <f t="array" ref="S226">_xlfn.IFS(L226&gt;=8,"High",L226&gt;=5,"Medium",L226&lt;5,"Low")</f>
        <v>Medium</v>
      </c>
      <c r="T226" s="2" t="str">
        <f t="shared" si="19"/>
        <v>Medium</v>
      </c>
    </row>
    <row r="227" spans="1:20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f t="shared" si="17"/>
        <v>15161.02</v>
      </c>
      <c r="O227" s="5">
        <v>0</v>
      </c>
      <c r="P227" s="6">
        <f t="shared" si="15"/>
        <v>0</v>
      </c>
      <c r="Q227" s="6">
        <f t="shared" si="16"/>
        <v>15161.02</v>
      </c>
      <c r="R227" s="2" t="str">
        <f t="shared" si="18"/>
        <v>High</v>
      </c>
      <c r="S227" s="2" t="str" cm="1">
        <f t="array" ref="S227">_xlfn.IFS(L227&gt;=8,"High",L227&gt;=5,"Medium",L227&lt;5,"Low")</f>
        <v>Medium</v>
      </c>
      <c r="T227" s="2" t="str">
        <f t="shared" si="19"/>
        <v>Low</v>
      </c>
    </row>
    <row r="228" spans="1:20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f t="shared" si="17"/>
        <v>4505.2</v>
      </c>
      <c r="O228" s="5">
        <v>20</v>
      </c>
      <c r="P228" s="6">
        <f t="shared" si="15"/>
        <v>901.04</v>
      </c>
      <c r="Q228" s="6">
        <f t="shared" si="16"/>
        <v>3604.16</v>
      </c>
      <c r="R228" s="2" t="str">
        <f t="shared" si="18"/>
        <v>Low</v>
      </c>
      <c r="S228" s="2" t="str" cm="1">
        <f t="array" ref="S228">_xlfn.IFS(L228&gt;=8,"High",L228&gt;=5,"Medium",L228&lt;5,"Low")</f>
        <v>Low</v>
      </c>
      <c r="T228" s="2" t="str">
        <f t="shared" si="19"/>
        <v>Low</v>
      </c>
    </row>
    <row r="229" spans="1:20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f t="shared" si="17"/>
        <v>16360.72</v>
      </c>
      <c r="O229" s="5">
        <v>10</v>
      </c>
      <c r="P229" s="6">
        <f t="shared" si="15"/>
        <v>1636.0719999999999</v>
      </c>
      <c r="Q229" s="6">
        <f t="shared" si="16"/>
        <v>14724.647999999999</v>
      </c>
      <c r="R229" s="2" t="str">
        <f t="shared" si="18"/>
        <v>High</v>
      </c>
      <c r="S229" s="2" t="str" cm="1">
        <f t="array" ref="S229">_xlfn.IFS(L229&gt;=8,"High",L229&gt;=5,"Medium",L229&lt;5,"Low")</f>
        <v>High</v>
      </c>
      <c r="T229" s="2" t="str">
        <f t="shared" si="19"/>
        <v>Medium</v>
      </c>
    </row>
    <row r="230" spans="1:20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f t="shared" si="17"/>
        <v>900.78</v>
      </c>
      <c r="O230" s="5">
        <v>5</v>
      </c>
      <c r="P230" s="6">
        <f t="shared" si="15"/>
        <v>45.038999999999994</v>
      </c>
      <c r="Q230" s="6">
        <f t="shared" si="16"/>
        <v>855.74099999999999</v>
      </c>
      <c r="R230" s="2" t="str">
        <f t="shared" si="18"/>
        <v>Low</v>
      </c>
      <c r="S230" s="2" t="str" cm="1">
        <f t="array" ref="S230">_xlfn.IFS(L230&gt;=8,"High",L230&gt;=5,"Medium",L230&lt;5,"Low")</f>
        <v>Low</v>
      </c>
      <c r="T230" s="2" t="str">
        <f t="shared" si="19"/>
        <v>Low</v>
      </c>
    </row>
    <row r="231" spans="1:20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f t="shared" si="17"/>
        <v>2660.56</v>
      </c>
      <c r="O231" s="5">
        <v>10</v>
      </c>
      <c r="P231" s="6">
        <f t="shared" si="15"/>
        <v>266.05599999999998</v>
      </c>
      <c r="Q231" s="6">
        <f t="shared" si="16"/>
        <v>2394.5039999999999</v>
      </c>
      <c r="R231" s="2" t="str">
        <f t="shared" si="18"/>
        <v>Low</v>
      </c>
      <c r="S231" s="2" t="str" cm="1">
        <f t="array" ref="S231">_xlfn.IFS(L231&gt;=8,"High",L231&gt;=5,"Medium",L231&lt;5,"Low")</f>
        <v>Low</v>
      </c>
      <c r="T231" s="2" t="str">
        <f t="shared" si="19"/>
        <v>Low</v>
      </c>
    </row>
    <row r="232" spans="1:20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f t="shared" si="17"/>
        <v>15782.7</v>
      </c>
      <c r="O232" s="5">
        <v>20</v>
      </c>
      <c r="P232" s="6">
        <f t="shared" si="15"/>
        <v>3156.54</v>
      </c>
      <c r="Q232" s="6">
        <f t="shared" si="16"/>
        <v>12626.16</v>
      </c>
      <c r="R232" s="2" t="str">
        <f t="shared" si="18"/>
        <v>High</v>
      </c>
      <c r="S232" s="2" t="str" cm="1">
        <f t="array" ref="S232">_xlfn.IFS(L232&gt;=8,"High",L232&gt;=5,"Medium",L232&lt;5,"Low")</f>
        <v>Medium</v>
      </c>
      <c r="T232" s="2" t="str">
        <f t="shared" si="19"/>
        <v>High</v>
      </c>
    </row>
    <row r="233" spans="1:20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f t="shared" si="17"/>
        <v>19182.78</v>
      </c>
      <c r="O233" s="5">
        <v>10</v>
      </c>
      <c r="P233" s="6">
        <f t="shared" si="15"/>
        <v>1918.2779999999998</v>
      </c>
      <c r="Q233" s="6">
        <f t="shared" si="16"/>
        <v>17264.502</v>
      </c>
      <c r="R233" s="2" t="str">
        <f t="shared" si="18"/>
        <v>High</v>
      </c>
      <c r="S233" s="2" t="str" cm="1">
        <f t="array" ref="S233">_xlfn.IFS(L233&gt;=8,"High",L233&gt;=5,"Medium",L233&lt;5,"Low")</f>
        <v>Medium</v>
      </c>
      <c r="T233" s="2" t="str">
        <f t="shared" si="19"/>
        <v>Medium</v>
      </c>
    </row>
    <row r="234" spans="1:20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f t="shared" si="17"/>
        <v>7408.5300000000007</v>
      </c>
      <c r="O234" s="5">
        <v>0</v>
      </c>
      <c r="P234" s="6">
        <f t="shared" si="15"/>
        <v>0</v>
      </c>
      <c r="Q234" s="6">
        <f t="shared" si="16"/>
        <v>7408.5300000000007</v>
      </c>
      <c r="R234" s="2" t="str">
        <f t="shared" si="18"/>
        <v>Low</v>
      </c>
      <c r="S234" s="2" t="str" cm="1">
        <f t="array" ref="S234">_xlfn.IFS(L234&gt;=8,"High",L234&gt;=5,"Medium",L234&lt;5,"Low")</f>
        <v>Low</v>
      </c>
      <c r="T234" s="2" t="str">
        <f t="shared" si="19"/>
        <v>Low</v>
      </c>
    </row>
    <row r="235" spans="1:20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f t="shared" si="17"/>
        <v>2309.2799999999997</v>
      </c>
      <c r="O235" s="5">
        <v>5</v>
      </c>
      <c r="P235" s="6">
        <f t="shared" si="15"/>
        <v>115.46399999999998</v>
      </c>
      <c r="Q235" s="6">
        <f t="shared" si="16"/>
        <v>2193.8159999999998</v>
      </c>
      <c r="R235" s="2" t="str">
        <f t="shared" si="18"/>
        <v>Low</v>
      </c>
      <c r="S235" s="2" t="str" cm="1">
        <f t="array" ref="S235">_xlfn.IFS(L235&gt;=8,"High",L235&gt;=5,"Medium",L235&lt;5,"Low")</f>
        <v>Medium</v>
      </c>
      <c r="T235" s="2" t="str">
        <f t="shared" si="19"/>
        <v>Low</v>
      </c>
    </row>
    <row r="236" spans="1:20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f t="shared" si="17"/>
        <v>5032.6000000000004</v>
      </c>
      <c r="O236" s="5">
        <v>0</v>
      </c>
      <c r="P236" s="6">
        <f t="shared" si="15"/>
        <v>0</v>
      </c>
      <c r="Q236" s="6">
        <f t="shared" si="16"/>
        <v>5032.6000000000004</v>
      </c>
      <c r="R236" s="2" t="str">
        <f t="shared" si="18"/>
        <v>Low</v>
      </c>
      <c r="S236" s="2" t="str" cm="1">
        <f t="array" ref="S236">_xlfn.IFS(L236&gt;=8,"High",L236&gt;=5,"Medium",L236&lt;5,"Low")</f>
        <v>Low</v>
      </c>
      <c r="T236" s="2" t="str">
        <f t="shared" si="19"/>
        <v>Low</v>
      </c>
    </row>
    <row r="237" spans="1:20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f t="shared" si="17"/>
        <v>3563.7000000000003</v>
      </c>
      <c r="O237" s="5">
        <v>15</v>
      </c>
      <c r="P237" s="6">
        <f t="shared" si="15"/>
        <v>534.55500000000006</v>
      </c>
      <c r="Q237" s="6">
        <f t="shared" si="16"/>
        <v>3029.1450000000004</v>
      </c>
      <c r="R237" s="2" t="str">
        <f t="shared" si="18"/>
        <v>Low</v>
      </c>
      <c r="S237" s="2" t="str" cm="1">
        <f t="array" ref="S237">_xlfn.IFS(L237&gt;=8,"High",L237&gt;=5,"Medium",L237&lt;5,"Low")</f>
        <v>Medium</v>
      </c>
      <c r="T237" s="2" t="str">
        <f t="shared" si="19"/>
        <v>Low</v>
      </c>
    </row>
    <row r="238" spans="1:20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f t="shared" si="17"/>
        <v>6030.5399999999991</v>
      </c>
      <c r="O238" s="5">
        <v>20</v>
      </c>
      <c r="P238" s="6">
        <f t="shared" si="15"/>
        <v>1206.1079999999999</v>
      </c>
      <c r="Q238" s="6">
        <f t="shared" si="16"/>
        <v>4824.4319999999989</v>
      </c>
      <c r="R238" s="2" t="str">
        <f t="shared" si="18"/>
        <v>Low</v>
      </c>
      <c r="S238" s="2" t="str" cm="1">
        <f t="array" ref="S238">_xlfn.IFS(L238&gt;=8,"High",L238&gt;=5,"Medium",L238&lt;5,"Low")</f>
        <v>High</v>
      </c>
      <c r="T238" s="2" t="str">
        <f t="shared" si="19"/>
        <v>Low</v>
      </c>
    </row>
    <row r="239" spans="1:20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f t="shared" si="17"/>
        <v>30272.959999999999</v>
      </c>
      <c r="O239" s="5">
        <v>15</v>
      </c>
      <c r="P239" s="6">
        <f t="shared" si="15"/>
        <v>4540.9439999999995</v>
      </c>
      <c r="Q239" s="6">
        <f t="shared" si="16"/>
        <v>25732.016</v>
      </c>
      <c r="R239" s="2" t="str">
        <f t="shared" si="18"/>
        <v>High</v>
      </c>
      <c r="S239" s="2" t="str" cm="1">
        <f t="array" ref="S239">_xlfn.IFS(L239&gt;=8,"High",L239&gt;=5,"Medium",L239&lt;5,"Low")</f>
        <v>High</v>
      </c>
      <c r="T239" s="2" t="str">
        <f t="shared" si="19"/>
        <v>High</v>
      </c>
    </row>
    <row r="240" spans="1:20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f t="shared" si="17"/>
        <v>15492.2</v>
      </c>
      <c r="O240" s="5">
        <v>0</v>
      </c>
      <c r="P240" s="6">
        <f t="shared" si="15"/>
        <v>0</v>
      </c>
      <c r="Q240" s="6">
        <f t="shared" si="16"/>
        <v>15492.2</v>
      </c>
      <c r="R240" s="2" t="str">
        <f t="shared" si="18"/>
        <v>High</v>
      </c>
      <c r="S240" s="2" t="str" cm="1">
        <f t="array" ref="S240">_xlfn.IFS(L240&gt;=8,"High",L240&gt;=5,"Medium",L240&lt;5,"Low")</f>
        <v>Medium</v>
      </c>
      <c r="T240" s="2" t="str">
        <f t="shared" si="19"/>
        <v>Low</v>
      </c>
    </row>
    <row r="241" spans="1:20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f t="shared" si="17"/>
        <v>1324.74</v>
      </c>
      <c r="O241" s="5">
        <v>5</v>
      </c>
      <c r="P241" s="6">
        <f t="shared" si="15"/>
        <v>66.236999999999995</v>
      </c>
      <c r="Q241" s="6">
        <f t="shared" si="16"/>
        <v>1258.5029999999999</v>
      </c>
      <c r="R241" s="2" t="str">
        <f t="shared" si="18"/>
        <v>Low</v>
      </c>
      <c r="S241" s="2" t="str" cm="1">
        <f t="array" ref="S241">_xlfn.IFS(L241&gt;=8,"High",L241&gt;=5,"Medium",L241&lt;5,"Low")</f>
        <v>Medium</v>
      </c>
      <c r="T241" s="2" t="str">
        <f t="shared" si="19"/>
        <v>Low</v>
      </c>
    </row>
    <row r="242" spans="1:20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f t="shared" si="17"/>
        <v>11619.960000000001</v>
      </c>
      <c r="O242" s="5">
        <v>0</v>
      </c>
      <c r="P242" s="6">
        <f t="shared" si="15"/>
        <v>0</v>
      </c>
      <c r="Q242" s="6">
        <f t="shared" si="16"/>
        <v>11619.960000000001</v>
      </c>
      <c r="R242" s="2" t="str">
        <f t="shared" si="18"/>
        <v>High</v>
      </c>
      <c r="S242" s="2" t="str" cm="1">
        <f t="array" ref="S242">_xlfn.IFS(L242&gt;=8,"High",L242&gt;=5,"Medium",L242&lt;5,"Low")</f>
        <v>Medium</v>
      </c>
      <c r="T242" s="2" t="str">
        <f t="shared" si="19"/>
        <v>Low</v>
      </c>
    </row>
    <row r="243" spans="1:20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f t="shared" si="17"/>
        <v>9776.9700000000012</v>
      </c>
      <c r="O243" s="5">
        <v>20</v>
      </c>
      <c r="P243" s="6">
        <f t="shared" si="15"/>
        <v>1955.3940000000002</v>
      </c>
      <c r="Q243" s="6">
        <f t="shared" si="16"/>
        <v>7821.5760000000009</v>
      </c>
      <c r="R243" s="2" t="str">
        <f t="shared" si="18"/>
        <v>Low</v>
      </c>
      <c r="S243" s="2" t="str" cm="1">
        <f t="array" ref="S243">_xlfn.IFS(L243&gt;=8,"High",L243&gt;=5,"Medium",L243&lt;5,"Low")</f>
        <v>Medium</v>
      </c>
      <c r="T243" s="2" t="str">
        <f t="shared" si="19"/>
        <v>Medium</v>
      </c>
    </row>
    <row r="244" spans="1:20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f t="shared" si="17"/>
        <v>21563.119999999999</v>
      </c>
      <c r="O244" s="5">
        <v>10</v>
      </c>
      <c r="P244" s="6">
        <f t="shared" si="15"/>
        <v>2156.3119999999999</v>
      </c>
      <c r="Q244" s="6">
        <f t="shared" si="16"/>
        <v>19406.807999999997</v>
      </c>
      <c r="R244" s="2" t="str">
        <f t="shared" si="18"/>
        <v>High</v>
      </c>
      <c r="S244" s="2" t="str" cm="1">
        <f t="array" ref="S244">_xlfn.IFS(L244&gt;=8,"High",L244&gt;=5,"Medium",L244&lt;5,"Low")</f>
        <v>High</v>
      </c>
      <c r="T244" s="2" t="str">
        <f t="shared" si="19"/>
        <v>Medium</v>
      </c>
    </row>
    <row r="245" spans="1:20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f t="shared" si="17"/>
        <v>23949.99</v>
      </c>
      <c r="O245" s="5">
        <v>10</v>
      </c>
      <c r="P245" s="6">
        <f t="shared" si="15"/>
        <v>2394.9990000000003</v>
      </c>
      <c r="Q245" s="6">
        <f t="shared" si="16"/>
        <v>21554.991000000002</v>
      </c>
      <c r="R245" s="2" t="str">
        <f t="shared" si="18"/>
        <v>High</v>
      </c>
      <c r="S245" s="2" t="str" cm="1">
        <f t="array" ref="S245">_xlfn.IFS(L245&gt;=8,"High",L245&gt;=5,"Medium",L245&lt;5,"Low")</f>
        <v>High</v>
      </c>
      <c r="T245" s="2" t="str">
        <f t="shared" si="19"/>
        <v>Medium</v>
      </c>
    </row>
    <row r="246" spans="1:20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f t="shared" si="17"/>
        <v>2902.4700000000003</v>
      </c>
      <c r="O246" s="5">
        <v>0</v>
      </c>
      <c r="P246" s="6">
        <f t="shared" si="15"/>
        <v>0</v>
      </c>
      <c r="Q246" s="6">
        <f t="shared" si="16"/>
        <v>2902.4700000000003</v>
      </c>
      <c r="R246" s="2" t="str">
        <f t="shared" si="18"/>
        <v>Low</v>
      </c>
      <c r="S246" s="2" t="str" cm="1">
        <f t="array" ref="S246">_xlfn.IFS(L246&gt;=8,"High",L246&gt;=5,"Medium",L246&lt;5,"Low")</f>
        <v>Low</v>
      </c>
      <c r="T246" s="2" t="str">
        <f t="shared" si="19"/>
        <v>Low</v>
      </c>
    </row>
    <row r="247" spans="1:20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f t="shared" si="17"/>
        <v>619.73</v>
      </c>
      <c r="O247" s="5">
        <v>0</v>
      </c>
      <c r="P247" s="6">
        <f t="shared" si="15"/>
        <v>0</v>
      </c>
      <c r="Q247" s="6">
        <f t="shared" si="16"/>
        <v>619.73</v>
      </c>
      <c r="R247" s="2" t="str">
        <f t="shared" si="18"/>
        <v>Low</v>
      </c>
      <c r="S247" s="2" t="str" cm="1">
        <f t="array" ref="S247">_xlfn.IFS(L247&gt;=8,"High",L247&gt;=5,"Medium",L247&lt;5,"Low")</f>
        <v>Low</v>
      </c>
      <c r="T247" s="2" t="str">
        <f t="shared" si="19"/>
        <v>Low</v>
      </c>
    </row>
    <row r="248" spans="1:20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f t="shared" si="17"/>
        <v>14251.65</v>
      </c>
      <c r="O248" s="5">
        <v>5</v>
      </c>
      <c r="P248" s="6">
        <f t="shared" si="15"/>
        <v>712.58249999999998</v>
      </c>
      <c r="Q248" s="6">
        <f t="shared" si="16"/>
        <v>13539.067499999999</v>
      </c>
      <c r="R248" s="2" t="str">
        <f t="shared" si="18"/>
        <v>High</v>
      </c>
      <c r="S248" s="2" t="str" cm="1">
        <f t="array" ref="S248">_xlfn.IFS(L248&gt;=8,"High",L248&gt;=5,"Medium",L248&lt;5,"Low")</f>
        <v>Medium</v>
      </c>
      <c r="T248" s="2" t="str">
        <f t="shared" si="19"/>
        <v>Low</v>
      </c>
    </row>
    <row r="249" spans="1:20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f t="shared" si="17"/>
        <v>4456.13</v>
      </c>
      <c r="O249" s="5">
        <v>5</v>
      </c>
      <c r="P249" s="6">
        <f t="shared" si="15"/>
        <v>222.80650000000003</v>
      </c>
      <c r="Q249" s="6">
        <f t="shared" si="16"/>
        <v>4233.3235000000004</v>
      </c>
      <c r="R249" s="2" t="str">
        <f t="shared" si="18"/>
        <v>Low</v>
      </c>
      <c r="S249" s="2" t="str" cm="1">
        <f t="array" ref="S249">_xlfn.IFS(L249&gt;=8,"High",L249&gt;=5,"Medium",L249&lt;5,"Low")</f>
        <v>Medium</v>
      </c>
      <c r="T249" s="2" t="str">
        <f t="shared" si="19"/>
        <v>Low</v>
      </c>
    </row>
    <row r="250" spans="1:20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f t="shared" si="17"/>
        <v>1543.1999999999998</v>
      </c>
      <c r="O250" s="5">
        <v>0</v>
      </c>
      <c r="P250" s="6">
        <f t="shared" si="15"/>
        <v>0</v>
      </c>
      <c r="Q250" s="6">
        <f t="shared" si="16"/>
        <v>1543.1999999999998</v>
      </c>
      <c r="R250" s="2" t="str">
        <f t="shared" si="18"/>
        <v>Low</v>
      </c>
      <c r="S250" s="2" t="str" cm="1">
        <f t="array" ref="S250">_xlfn.IFS(L250&gt;=8,"High",L250&gt;=5,"Medium",L250&lt;5,"Low")</f>
        <v>Medium</v>
      </c>
      <c r="T250" s="2" t="str">
        <f t="shared" si="19"/>
        <v>Low</v>
      </c>
    </row>
    <row r="251" spans="1:20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f t="shared" si="17"/>
        <v>10190.08</v>
      </c>
      <c r="O251" s="5">
        <v>20</v>
      </c>
      <c r="P251" s="6">
        <f t="shared" si="15"/>
        <v>2038.0160000000001</v>
      </c>
      <c r="Q251" s="6">
        <f t="shared" si="16"/>
        <v>8152.0640000000003</v>
      </c>
      <c r="R251" s="2" t="str">
        <f t="shared" si="18"/>
        <v>Low</v>
      </c>
      <c r="S251" s="2" t="str" cm="1">
        <f t="array" ref="S251">_xlfn.IFS(L251&gt;=8,"High",L251&gt;=5,"Medium",L251&lt;5,"Low")</f>
        <v>Low</v>
      </c>
      <c r="T251" s="2" t="str">
        <f t="shared" si="19"/>
        <v>Medium</v>
      </c>
    </row>
    <row r="252" spans="1:20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f t="shared" si="17"/>
        <v>6512.04</v>
      </c>
      <c r="O252" s="5">
        <v>20</v>
      </c>
      <c r="P252" s="6">
        <f t="shared" si="15"/>
        <v>1302.4080000000001</v>
      </c>
      <c r="Q252" s="6">
        <f t="shared" si="16"/>
        <v>5209.6319999999996</v>
      </c>
      <c r="R252" s="2" t="str">
        <f t="shared" si="18"/>
        <v>Low</v>
      </c>
      <c r="S252" s="2" t="str" cm="1">
        <f t="array" ref="S252">_xlfn.IFS(L252&gt;=8,"High",L252&gt;=5,"Medium",L252&lt;5,"Low")</f>
        <v>Low</v>
      </c>
      <c r="T252" s="2" t="str">
        <f t="shared" si="19"/>
        <v>Low</v>
      </c>
    </row>
    <row r="253" spans="1:20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f t="shared" si="17"/>
        <v>3391.76</v>
      </c>
      <c r="O253" s="5">
        <v>20</v>
      </c>
      <c r="P253" s="6">
        <f t="shared" si="15"/>
        <v>678.35200000000009</v>
      </c>
      <c r="Q253" s="6">
        <f t="shared" si="16"/>
        <v>2713.4080000000004</v>
      </c>
      <c r="R253" s="2" t="str">
        <f t="shared" si="18"/>
        <v>Low</v>
      </c>
      <c r="S253" s="2" t="str" cm="1">
        <f t="array" ref="S253">_xlfn.IFS(L253&gt;=8,"High",L253&gt;=5,"Medium",L253&lt;5,"Low")</f>
        <v>Low</v>
      </c>
      <c r="T253" s="2" t="str">
        <f t="shared" si="19"/>
        <v>Low</v>
      </c>
    </row>
    <row r="254" spans="1:20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f t="shared" si="17"/>
        <v>8033.8</v>
      </c>
      <c r="O254" s="5">
        <v>5</v>
      </c>
      <c r="P254" s="6">
        <f t="shared" si="15"/>
        <v>401.69</v>
      </c>
      <c r="Q254" s="6">
        <f t="shared" si="16"/>
        <v>7632.1100000000006</v>
      </c>
      <c r="R254" s="2" t="str">
        <f t="shared" si="18"/>
        <v>Low</v>
      </c>
      <c r="S254" s="2" t="str" cm="1">
        <f t="array" ref="S254">_xlfn.IFS(L254&gt;=8,"High",L254&gt;=5,"Medium",L254&lt;5,"Low")</f>
        <v>Low</v>
      </c>
      <c r="T254" s="2" t="str">
        <f t="shared" si="19"/>
        <v>Low</v>
      </c>
    </row>
    <row r="255" spans="1:20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f t="shared" si="17"/>
        <v>12572.8</v>
      </c>
      <c r="O255" s="5">
        <v>0</v>
      </c>
      <c r="P255" s="6">
        <f t="shared" si="15"/>
        <v>0</v>
      </c>
      <c r="Q255" s="6">
        <f t="shared" si="16"/>
        <v>12572.8</v>
      </c>
      <c r="R255" s="2" t="str">
        <f t="shared" si="18"/>
        <v>High</v>
      </c>
      <c r="S255" s="2" t="str" cm="1">
        <f t="array" ref="S255">_xlfn.IFS(L255&gt;=8,"High",L255&gt;=5,"Medium",L255&lt;5,"Low")</f>
        <v>Low</v>
      </c>
      <c r="T255" s="2" t="str">
        <f t="shared" si="19"/>
        <v>Low</v>
      </c>
    </row>
    <row r="256" spans="1:20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f t="shared" si="17"/>
        <v>2740.46</v>
      </c>
      <c r="O256" s="5">
        <v>10</v>
      </c>
      <c r="P256" s="6">
        <f t="shared" si="15"/>
        <v>274.04599999999999</v>
      </c>
      <c r="Q256" s="6">
        <f t="shared" si="16"/>
        <v>2466.4140000000002</v>
      </c>
      <c r="R256" s="2" t="str">
        <f t="shared" si="18"/>
        <v>Low</v>
      </c>
      <c r="S256" s="2" t="str" cm="1">
        <f t="array" ref="S256">_xlfn.IFS(L256&gt;=8,"High",L256&gt;=5,"Medium",L256&lt;5,"Low")</f>
        <v>Low</v>
      </c>
      <c r="T256" s="2" t="str">
        <f t="shared" si="19"/>
        <v>Low</v>
      </c>
    </row>
    <row r="257" spans="1:20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f t="shared" si="17"/>
        <v>8186.04</v>
      </c>
      <c r="O257" s="5">
        <v>5</v>
      </c>
      <c r="P257" s="6">
        <f t="shared" si="15"/>
        <v>409.30199999999996</v>
      </c>
      <c r="Q257" s="6">
        <f t="shared" si="16"/>
        <v>7776.7380000000003</v>
      </c>
      <c r="R257" s="2" t="str">
        <f t="shared" si="18"/>
        <v>Low</v>
      </c>
      <c r="S257" s="2" t="str" cm="1">
        <f t="array" ref="S257">_xlfn.IFS(L257&gt;=8,"High",L257&gt;=5,"Medium",L257&lt;5,"Low")</f>
        <v>Low</v>
      </c>
      <c r="T257" s="2" t="str">
        <f t="shared" si="19"/>
        <v>Low</v>
      </c>
    </row>
    <row r="258" spans="1:20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f t="shared" si="17"/>
        <v>2588.64</v>
      </c>
      <c r="O258" s="5">
        <v>0</v>
      </c>
      <c r="P258" s="6">
        <f t="shared" ref="P258:P321" si="20">N258*O258/100</f>
        <v>0</v>
      </c>
      <c r="Q258" s="6">
        <f t="shared" ref="Q258:Q321" si="21">N258-P258</f>
        <v>2588.64</v>
      </c>
      <c r="R258" s="2" t="str">
        <f t="shared" si="18"/>
        <v>Low</v>
      </c>
      <c r="S258" s="2" t="str" cm="1">
        <f t="array" ref="S258">_xlfn.IFS(L258&gt;=8,"High",L258&gt;=5,"Medium",L258&lt;5,"Low")</f>
        <v>Low</v>
      </c>
      <c r="T258" s="2" t="str">
        <f t="shared" si="19"/>
        <v>Low</v>
      </c>
    </row>
    <row r="259" spans="1:20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f t="shared" ref="N259:N322" si="22">L259*M259</f>
        <v>3251.27</v>
      </c>
      <c r="O259" s="5">
        <v>15</v>
      </c>
      <c r="P259" s="6">
        <f t="shared" si="20"/>
        <v>487.69050000000004</v>
      </c>
      <c r="Q259" s="6">
        <f t="shared" si="21"/>
        <v>2763.5794999999998</v>
      </c>
      <c r="R259" s="2" t="str">
        <f t="shared" ref="R259:R322" si="23">IF(Q259&gt;=10000,"High","Low")</f>
        <v>Low</v>
      </c>
      <c r="S259" s="2" t="str" cm="1">
        <f t="array" ref="S259">_xlfn.IFS(L259&gt;=8,"High",L259&gt;=5,"Medium",L259&lt;5,"Low")</f>
        <v>Low</v>
      </c>
      <c r="T259" s="2" t="str">
        <f t="shared" ref="T259:T322" si="24">IF(P259&gt;=3000,"High",IF(P259&gt;=1500,"Medium","Low"))</f>
        <v>Low</v>
      </c>
    </row>
    <row r="260" spans="1:20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f t="shared" si="22"/>
        <v>1681.85</v>
      </c>
      <c r="O260" s="5">
        <v>5</v>
      </c>
      <c r="P260" s="6">
        <f t="shared" si="20"/>
        <v>84.092500000000001</v>
      </c>
      <c r="Q260" s="6">
        <f t="shared" si="21"/>
        <v>1597.7574999999999</v>
      </c>
      <c r="R260" s="2" t="str">
        <f t="shared" si="23"/>
        <v>Low</v>
      </c>
      <c r="S260" s="2" t="str" cm="1">
        <f t="array" ref="S260">_xlfn.IFS(L260&gt;=8,"High",L260&gt;=5,"Medium",L260&lt;5,"Low")</f>
        <v>Low</v>
      </c>
      <c r="T260" s="2" t="str">
        <f t="shared" si="24"/>
        <v>Low</v>
      </c>
    </row>
    <row r="261" spans="1:20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f t="shared" si="22"/>
        <v>26024.16</v>
      </c>
      <c r="O261" s="5">
        <v>15</v>
      </c>
      <c r="P261" s="6">
        <f t="shared" si="20"/>
        <v>3903.6240000000003</v>
      </c>
      <c r="Q261" s="6">
        <f t="shared" si="21"/>
        <v>22120.536</v>
      </c>
      <c r="R261" s="2" t="str">
        <f t="shared" si="23"/>
        <v>High</v>
      </c>
      <c r="S261" s="2" t="str" cm="1">
        <f t="array" ref="S261">_xlfn.IFS(L261&gt;=8,"High",L261&gt;=5,"Medium",L261&lt;5,"Low")</f>
        <v>High</v>
      </c>
      <c r="T261" s="2" t="str">
        <f t="shared" si="24"/>
        <v>High</v>
      </c>
    </row>
    <row r="262" spans="1:20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f t="shared" si="22"/>
        <v>19434.080000000002</v>
      </c>
      <c r="O262" s="5">
        <v>15</v>
      </c>
      <c r="P262" s="6">
        <f t="shared" si="20"/>
        <v>2915.1120000000001</v>
      </c>
      <c r="Q262" s="6">
        <f t="shared" si="21"/>
        <v>16518.968000000001</v>
      </c>
      <c r="R262" s="2" t="str">
        <f t="shared" si="23"/>
        <v>High</v>
      </c>
      <c r="S262" s="2" t="str" cm="1">
        <f t="array" ref="S262">_xlfn.IFS(L262&gt;=8,"High",L262&gt;=5,"Medium",L262&lt;5,"Low")</f>
        <v>High</v>
      </c>
      <c r="T262" s="2" t="str">
        <f t="shared" si="24"/>
        <v>Medium</v>
      </c>
    </row>
    <row r="263" spans="1:20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f t="shared" si="22"/>
        <v>1577.44</v>
      </c>
      <c r="O263" s="5">
        <v>20</v>
      </c>
      <c r="P263" s="6">
        <f t="shared" si="20"/>
        <v>315.48800000000006</v>
      </c>
      <c r="Q263" s="6">
        <f t="shared" si="21"/>
        <v>1261.952</v>
      </c>
      <c r="R263" s="2" t="str">
        <f t="shared" si="23"/>
        <v>Low</v>
      </c>
      <c r="S263" s="2" t="str" cm="1">
        <f t="array" ref="S263">_xlfn.IFS(L263&gt;=8,"High",L263&gt;=5,"Medium",L263&lt;5,"Low")</f>
        <v>Low</v>
      </c>
      <c r="T263" s="2" t="str">
        <f t="shared" si="24"/>
        <v>Low</v>
      </c>
    </row>
    <row r="264" spans="1:20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f t="shared" si="22"/>
        <v>1715.21</v>
      </c>
      <c r="O264" s="5">
        <v>0</v>
      </c>
      <c r="P264" s="6">
        <f t="shared" si="20"/>
        <v>0</v>
      </c>
      <c r="Q264" s="6">
        <f t="shared" si="21"/>
        <v>1715.21</v>
      </c>
      <c r="R264" s="2" t="str">
        <f t="shared" si="23"/>
        <v>Low</v>
      </c>
      <c r="S264" s="2" t="str" cm="1">
        <f t="array" ref="S264">_xlfn.IFS(L264&gt;=8,"High",L264&gt;=5,"Medium",L264&lt;5,"Low")</f>
        <v>Medium</v>
      </c>
      <c r="T264" s="2" t="str">
        <f t="shared" si="24"/>
        <v>Low</v>
      </c>
    </row>
    <row r="265" spans="1:20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f t="shared" si="22"/>
        <v>18038.240000000002</v>
      </c>
      <c r="O265" s="5">
        <v>0</v>
      </c>
      <c r="P265" s="6">
        <f t="shared" si="20"/>
        <v>0</v>
      </c>
      <c r="Q265" s="6">
        <f t="shared" si="21"/>
        <v>18038.240000000002</v>
      </c>
      <c r="R265" s="2" t="str">
        <f t="shared" si="23"/>
        <v>High</v>
      </c>
      <c r="S265" s="2" t="str" cm="1">
        <f t="array" ref="S265">_xlfn.IFS(L265&gt;=8,"High",L265&gt;=5,"Medium",L265&lt;5,"Low")</f>
        <v>High</v>
      </c>
      <c r="T265" s="2" t="str">
        <f t="shared" si="24"/>
        <v>Low</v>
      </c>
    </row>
    <row r="266" spans="1:20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f t="shared" si="22"/>
        <v>23683.17</v>
      </c>
      <c r="O266" s="5">
        <v>20</v>
      </c>
      <c r="P266" s="6">
        <f t="shared" si="20"/>
        <v>4736.634</v>
      </c>
      <c r="Q266" s="6">
        <f t="shared" si="21"/>
        <v>18946.536</v>
      </c>
      <c r="R266" s="2" t="str">
        <f t="shared" si="23"/>
        <v>High</v>
      </c>
      <c r="S266" s="2" t="str" cm="1">
        <f t="array" ref="S266">_xlfn.IFS(L266&gt;=8,"High",L266&gt;=5,"Medium",L266&lt;5,"Low")</f>
        <v>Medium</v>
      </c>
      <c r="T266" s="2" t="str">
        <f t="shared" si="24"/>
        <v>High</v>
      </c>
    </row>
    <row r="267" spans="1:20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f t="shared" si="22"/>
        <v>3204.1000000000004</v>
      </c>
      <c r="O267" s="5">
        <v>0</v>
      </c>
      <c r="P267" s="6">
        <f t="shared" si="20"/>
        <v>0</v>
      </c>
      <c r="Q267" s="6">
        <f t="shared" si="21"/>
        <v>3204.1000000000004</v>
      </c>
      <c r="R267" s="2" t="str">
        <f t="shared" si="23"/>
        <v>Low</v>
      </c>
      <c r="S267" s="2" t="str" cm="1">
        <f t="array" ref="S267">_xlfn.IFS(L267&gt;=8,"High",L267&gt;=5,"Medium",L267&lt;5,"Low")</f>
        <v>Medium</v>
      </c>
      <c r="T267" s="2" t="str">
        <f t="shared" si="24"/>
        <v>Low</v>
      </c>
    </row>
    <row r="268" spans="1:20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f t="shared" si="22"/>
        <v>31253.22</v>
      </c>
      <c r="O268" s="5">
        <v>15</v>
      </c>
      <c r="P268" s="6">
        <f t="shared" si="20"/>
        <v>4687.9830000000002</v>
      </c>
      <c r="Q268" s="6">
        <f t="shared" si="21"/>
        <v>26565.237000000001</v>
      </c>
      <c r="R268" s="2" t="str">
        <f t="shared" si="23"/>
        <v>High</v>
      </c>
      <c r="S268" s="2" t="str" cm="1">
        <f t="array" ref="S268">_xlfn.IFS(L268&gt;=8,"High",L268&gt;=5,"Medium",L268&lt;5,"Low")</f>
        <v>High</v>
      </c>
      <c r="T268" s="2" t="str">
        <f t="shared" si="24"/>
        <v>High</v>
      </c>
    </row>
    <row r="269" spans="1:20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f t="shared" si="22"/>
        <v>5111.05</v>
      </c>
      <c r="O269" s="5">
        <v>0</v>
      </c>
      <c r="P269" s="6">
        <f t="shared" si="20"/>
        <v>0</v>
      </c>
      <c r="Q269" s="6">
        <f t="shared" si="21"/>
        <v>5111.05</v>
      </c>
      <c r="R269" s="2" t="str">
        <f t="shared" si="23"/>
        <v>Low</v>
      </c>
      <c r="S269" s="2" t="str" cm="1">
        <f t="array" ref="S269">_xlfn.IFS(L269&gt;=8,"High",L269&gt;=5,"Medium",L269&lt;5,"Low")</f>
        <v>Medium</v>
      </c>
      <c r="T269" s="2" t="str">
        <f t="shared" si="24"/>
        <v>Low</v>
      </c>
    </row>
    <row r="270" spans="1:20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f t="shared" si="22"/>
        <v>6857.28</v>
      </c>
      <c r="O270" s="5">
        <v>10</v>
      </c>
      <c r="P270" s="6">
        <f t="shared" si="20"/>
        <v>685.72800000000007</v>
      </c>
      <c r="Q270" s="6">
        <f t="shared" si="21"/>
        <v>6171.5519999999997</v>
      </c>
      <c r="R270" s="2" t="str">
        <f t="shared" si="23"/>
        <v>Low</v>
      </c>
      <c r="S270" s="2" t="str" cm="1">
        <f t="array" ref="S270">_xlfn.IFS(L270&gt;=8,"High",L270&gt;=5,"Medium",L270&lt;5,"Low")</f>
        <v>Low</v>
      </c>
      <c r="T270" s="2" t="str">
        <f t="shared" si="24"/>
        <v>Low</v>
      </c>
    </row>
    <row r="271" spans="1:20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f t="shared" si="22"/>
        <v>23802.6</v>
      </c>
      <c r="O271" s="5">
        <v>0</v>
      </c>
      <c r="P271" s="6">
        <f t="shared" si="20"/>
        <v>0</v>
      </c>
      <c r="Q271" s="6">
        <f t="shared" si="21"/>
        <v>23802.6</v>
      </c>
      <c r="R271" s="2" t="str">
        <f t="shared" si="23"/>
        <v>High</v>
      </c>
      <c r="S271" s="2" t="str" cm="1">
        <f t="array" ref="S271">_xlfn.IFS(L271&gt;=8,"High",L271&gt;=5,"Medium",L271&lt;5,"Low")</f>
        <v>Medium</v>
      </c>
      <c r="T271" s="2" t="str">
        <f t="shared" si="24"/>
        <v>Low</v>
      </c>
    </row>
    <row r="272" spans="1:20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f t="shared" si="22"/>
        <v>5896.66</v>
      </c>
      <c r="O272" s="5">
        <v>15</v>
      </c>
      <c r="P272" s="6">
        <f t="shared" si="20"/>
        <v>884.49899999999991</v>
      </c>
      <c r="Q272" s="6">
        <f t="shared" si="21"/>
        <v>5012.1610000000001</v>
      </c>
      <c r="R272" s="2" t="str">
        <f t="shared" si="23"/>
        <v>Low</v>
      </c>
      <c r="S272" s="2" t="str" cm="1">
        <f t="array" ref="S272">_xlfn.IFS(L272&gt;=8,"High",L272&gt;=5,"Medium",L272&lt;5,"Low")</f>
        <v>Low</v>
      </c>
      <c r="T272" s="2" t="str">
        <f t="shared" si="24"/>
        <v>Low</v>
      </c>
    </row>
    <row r="273" spans="1:20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f t="shared" si="22"/>
        <v>3171.36</v>
      </c>
      <c r="O273" s="5">
        <v>20</v>
      </c>
      <c r="P273" s="6">
        <f t="shared" si="20"/>
        <v>634.27200000000005</v>
      </c>
      <c r="Q273" s="6">
        <f t="shared" si="21"/>
        <v>2537.0880000000002</v>
      </c>
      <c r="R273" s="2" t="str">
        <f t="shared" si="23"/>
        <v>Low</v>
      </c>
      <c r="S273" s="2" t="str" cm="1">
        <f t="array" ref="S273">_xlfn.IFS(L273&gt;=8,"High",L273&gt;=5,"Medium",L273&lt;5,"Low")</f>
        <v>Low</v>
      </c>
      <c r="T273" s="2" t="str">
        <f t="shared" si="24"/>
        <v>Low</v>
      </c>
    </row>
    <row r="274" spans="1:20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f t="shared" si="22"/>
        <v>27849.5</v>
      </c>
      <c r="O274" s="5">
        <v>20</v>
      </c>
      <c r="P274" s="6">
        <f t="shared" si="20"/>
        <v>5569.9</v>
      </c>
      <c r="Q274" s="6">
        <f t="shared" si="21"/>
        <v>22279.599999999999</v>
      </c>
      <c r="R274" s="2" t="str">
        <f t="shared" si="23"/>
        <v>High</v>
      </c>
      <c r="S274" s="2" t="str" cm="1">
        <f t="array" ref="S274">_xlfn.IFS(L274&gt;=8,"High",L274&gt;=5,"Medium",L274&lt;5,"Low")</f>
        <v>Medium</v>
      </c>
      <c r="T274" s="2" t="str">
        <f t="shared" si="24"/>
        <v>High</v>
      </c>
    </row>
    <row r="275" spans="1:20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f t="shared" si="22"/>
        <v>2670.72</v>
      </c>
      <c r="O275" s="5">
        <v>5</v>
      </c>
      <c r="P275" s="6">
        <f t="shared" si="20"/>
        <v>133.53599999999997</v>
      </c>
      <c r="Q275" s="6">
        <f t="shared" si="21"/>
        <v>2537.1839999999997</v>
      </c>
      <c r="R275" s="2" t="str">
        <f t="shared" si="23"/>
        <v>Low</v>
      </c>
      <c r="S275" s="2" t="str" cm="1">
        <f t="array" ref="S275">_xlfn.IFS(L275&gt;=8,"High",L275&gt;=5,"Medium",L275&lt;5,"Low")</f>
        <v>Low</v>
      </c>
      <c r="T275" s="2" t="str">
        <f t="shared" si="24"/>
        <v>Low</v>
      </c>
    </row>
    <row r="276" spans="1:20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f t="shared" si="22"/>
        <v>1126.5</v>
      </c>
      <c r="O276" s="5">
        <v>15</v>
      </c>
      <c r="P276" s="6">
        <f t="shared" si="20"/>
        <v>168.97499999999999</v>
      </c>
      <c r="Q276" s="6">
        <f t="shared" si="21"/>
        <v>957.52499999999998</v>
      </c>
      <c r="R276" s="2" t="str">
        <f t="shared" si="23"/>
        <v>Low</v>
      </c>
      <c r="S276" s="2" t="str" cm="1">
        <f t="array" ref="S276">_xlfn.IFS(L276&gt;=8,"High",L276&gt;=5,"Medium",L276&lt;5,"Low")</f>
        <v>Low</v>
      </c>
      <c r="T276" s="2" t="str">
        <f t="shared" si="24"/>
        <v>Low</v>
      </c>
    </row>
    <row r="277" spans="1:20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f t="shared" si="22"/>
        <v>1393.26</v>
      </c>
      <c r="O277" s="5">
        <v>20</v>
      </c>
      <c r="P277" s="6">
        <f t="shared" si="20"/>
        <v>278.65199999999999</v>
      </c>
      <c r="Q277" s="6">
        <f t="shared" si="21"/>
        <v>1114.6079999999999</v>
      </c>
      <c r="R277" s="2" t="str">
        <f t="shared" si="23"/>
        <v>Low</v>
      </c>
      <c r="S277" s="2" t="str" cm="1">
        <f t="array" ref="S277">_xlfn.IFS(L277&gt;=8,"High",L277&gt;=5,"Medium",L277&lt;5,"Low")</f>
        <v>Low</v>
      </c>
      <c r="T277" s="2" t="str">
        <f t="shared" si="24"/>
        <v>Low</v>
      </c>
    </row>
    <row r="278" spans="1:20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f t="shared" si="22"/>
        <v>14834.04</v>
      </c>
      <c r="O278" s="5">
        <v>5</v>
      </c>
      <c r="P278" s="6">
        <f t="shared" si="20"/>
        <v>741.70200000000011</v>
      </c>
      <c r="Q278" s="6">
        <f t="shared" si="21"/>
        <v>14092.338000000002</v>
      </c>
      <c r="R278" s="2" t="str">
        <f t="shared" si="23"/>
        <v>High</v>
      </c>
      <c r="S278" s="2" t="str" cm="1">
        <f t="array" ref="S278">_xlfn.IFS(L278&gt;=8,"High",L278&gt;=5,"Medium",L278&lt;5,"Low")</f>
        <v>Low</v>
      </c>
      <c r="T278" s="2" t="str">
        <f t="shared" si="24"/>
        <v>Low</v>
      </c>
    </row>
    <row r="279" spans="1:20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f t="shared" si="22"/>
        <v>2567.7199999999998</v>
      </c>
      <c r="O279" s="5">
        <v>0</v>
      </c>
      <c r="P279" s="6">
        <f t="shared" si="20"/>
        <v>0</v>
      </c>
      <c r="Q279" s="6">
        <f t="shared" si="21"/>
        <v>2567.7199999999998</v>
      </c>
      <c r="R279" s="2" t="str">
        <f t="shared" si="23"/>
        <v>Low</v>
      </c>
      <c r="S279" s="2" t="str" cm="1">
        <f t="array" ref="S279">_xlfn.IFS(L279&gt;=8,"High",L279&gt;=5,"Medium",L279&lt;5,"Low")</f>
        <v>Low</v>
      </c>
      <c r="T279" s="2" t="str">
        <f t="shared" si="24"/>
        <v>Low</v>
      </c>
    </row>
    <row r="280" spans="1:20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f t="shared" si="22"/>
        <v>9265.5499999999993</v>
      </c>
      <c r="O280" s="5">
        <v>10</v>
      </c>
      <c r="P280" s="6">
        <f t="shared" si="20"/>
        <v>926.55499999999995</v>
      </c>
      <c r="Q280" s="6">
        <f t="shared" si="21"/>
        <v>8338.994999999999</v>
      </c>
      <c r="R280" s="2" t="str">
        <f t="shared" si="23"/>
        <v>Low</v>
      </c>
      <c r="S280" s="2" t="str" cm="1">
        <f t="array" ref="S280">_xlfn.IFS(L280&gt;=8,"High",L280&gt;=5,"Medium",L280&lt;5,"Low")</f>
        <v>Medium</v>
      </c>
      <c r="T280" s="2" t="str">
        <f t="shared" si="24"/>
        <v>Low</v>
      </c>
    </row>
    <row r="281" spans="1:20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f t="shared" si="22"/>
        <v>2194.5699999999997</v>
      </c>
      <c r="O281" s="5">
        <v>0</v>
      </c>
      <c r="P281" s="6">
        <f t="shared" si="20"/>
        <v>0</v>
      </c>
      <c r="Q281" s="6">
        <f t="shared" si="21"/>
        <v>2194.5699999999997</v>
      </c>
      <c r="R281" s="2" t="str">
        <f t="shared" si="23"/>
        <v>Low</v>
      </c>
      <c r="S281" s="2" t="str" cm="1">
        <f t="array" ref="S281">_xlfn.IFS(L281&gt;=8,"High",L281&gt;=5,"Medium",L281&lt;5,"Low")</f>
        <v>Medium</v>
      </c>
      <c r="T281" s="2" t="str">
        <f t="shared" si="24"/>
        <v>Low</v>
      </c>
    </row>
    <row r="282" spans="1:20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f t="shared" si="22"/>
        <v>11143.24</v>
      </c>
      <c r="O282" s="5">
        <v>20</v>
      </c>
      <c r="P282" s="6">
        <f t="shared" si="20"/>
        <v>2228.6479999999997</v>
      </c>
      <c r="Q282" s="6">
        <f t="shared" si="21"/>
        <v>8914.5920000000006</v>
      </c>
      <c r="R282" s="2" t="str">
        <f t="shared" si="23"/>
        <v>Low</v>
      </c>
      <c r="S282" s="2" t="str" cm="1">
        <f t="array" ref="S282">_xlfn.IFS(L282&gt;=8,"High",L282&gt;=5,"Medium",L282&lt;5,"Low")</f>
        <v>Low</v>
      </c>
      <c r="T282" s="2" t="str">
        <f t="shared" si="24"/>
        <v>Medium</v>
      </c>
    </row>
    <row r="283" spans="1:20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f t="shared" si="22"/>
        <v>3625.42</v>
      </c>
      <c r="O283" s="5">
        <v>10</v>
      </c>
      <c r="P283" s="6">
        <f t="shared" si="20"/>
        <v>362.54199999999997</v>
      </c>
      <c r="Q283" s="6">
        <f t="shared" si="21"/>
        <v>3262.8780000000002</v>
      </c>
      <c r="R283" s="2" t="str">
        <f t="shared" si="23"/>
        <v>Low</v>
      </c>
      <c r="S283" s="2" t="str" cm="1">
        <f t="array" ref="S283">_xlfn.IFS(L283&gt;=8,"High",L283&gt;=5,"Medium",L283&lt;5,"Low")</f>
        <v>Low</v>
      </c>
      <c r="T283" s="2" t="str">
        <f t="shared" si="24"/>
        <v>Low</v>
      </c>
    </row>
    <row r="284" spans="1:20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f t="shared" si="22"/>
        <v>2561.48</v>
      </c>
      <c r="O284" s="5">
        <v>20</v>
      </c>
      <c r="P284" s="6">
        <f t="shared" si="20"/>
        <v>512.29599999999994</v>
      </c>
      <c r="Q284" s="6">
        <f t="shared" si="21"/>
        <v>2049.1840000000002</v>
      </c>
      <c r="R284" s="2" t="str">
        <f t="shared" si="23"/>
        <v>Low</v>
      </c>
      <c r="S284" s="2" t="str" cm="1">
        <f t="array" ref="S284">_xlfn.IFS(L284&gt;=8,"High",L284&gt;=5,"Medium",L284&lt;5,"Low")</f>
        <v>Low</v>
      </c>
      <c r="T284" s="2" t="str">
        <f t="shared" si="24"/>
        <v>Low</v>
      </c>
    </row>
    <row r="285" spans="1:20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f t="shared" si="22"/>
        <v>3708.38</v>
      </c>
      <c r="O285" s="5">
        <v>20</v>
      </c>
      <c r="P285" s="6">
        <f t="shared" si="20"/>
        <v>741.67600000000004</v>
      </c>
      <c r="Q285" s="6">
        <f t="shared" si="21"/>
        <v>2966.7040000000002</v>
      </c>
      <c r="R285" s="2" t="str">
        <f t="shared" si="23"/>
        <v>Low</v>
      </c>
      <c r="S285" s="2" t="str" cm="1">
        <f t="array" ref="S285">_xlfn.IFS(L285&gt;=8,"High",L285&gt;=5,"Medium",L285&lt;5,"Low")</f>
        <v>Low</v>
      </c>
      <c r="T285" s="2" t="str">
        <f t="shared" si="24"/>
        <v>Low</v>
      </c>
    </row>
    <row r="286" spans="1:20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f t="shared" si="22"/>
        <v>5770.74</v>
      </c>
      <c r="O286" s="5">
        <v>15</v>
      </c>
      <c r="P286" s="6">
        <f t="shared" si="20"/>
        <v>865.61099999999988</v>
      </c>
      <c r="Q286" s="6">
        <f t="shared" si="21"/>
        <v>4905.1289999999999</v>
      </c>
      <c r="R286" s="2" t="str">
        <f t="shared" si="23"/>
        <v>Low</v>
      </c>
      <c r="S286" s="2" t="str" cm="1">
        <f t="array" ref="S286">_xlfn.IFS(L286&gt;=8,"High",L286&gt;=5,"Medium",L286&lt;5,"Low")</f>
        <v>Low</v>
      </c>
      <c r="T286" s="2" t="str">
        <f t="shared" si="24"/>
        <v>Low</v>
      </c>
    </row>
    <row r="287" spans="1:20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f t="shared" si="22"/>
        <v>4142.08</v>
      </c>
      <c r="O287" s="5">
        <v>20</v>
      </c>
      <c r="P287" s="6">
        <f t="shared" si="20"/>
        <v>828.41600000000005</v>
      </c>
      <c r="Q287" s="6">
        <f t="shared" si="21"/>
        <v>3313.6639999999998</v>
      </c>
      <c r="R287" s="2" t="str">
        <f t="shared" si="23"/>
        <v>Low</v>
      </c>
      <c r="S287" s="2" t="str" cm="1">
        <f t="array" ref="S287">_xlfn.IFS(L287&gt;=8,"High",L287&gt;=5,"Medium",L287&lt;5,"Low")</f>
        <v>Low</v>
      </c>
      <c r="T287" s="2" t="str">
        <f t="shared" si="24"/>
        <v>Low</v>
      </c>
    </row>
    <row r="288" spans="1:20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f t="shared" si="22"/>
        <v>23695.920000000002</v>
      </c>
      <c r="O288" s="5">
        <v>5</v>
      </c>
      <c r="P288" s="6">
        <f t="shared" si="20"/>
        <v>1184.796</v>
      </c>
      <c r="Q288" s="6">
        <f t="shared" si="21"/>
        <v>22511.124000000003</v>
      </c>
      <c r="R288" s="2" t="str">
        <f t="shared" si="23"/>
        <v>High</v>
      </c>
      <c r="S288" s="2" t="str" cm="1">
        <f t="array" ref="S288">_xlfn.IFS(L288&gt;=8,"High",L288&gt;=5,"Medium",L288&lt;5,"Low")</f>
        <v>High</v>
      </c>
      <c r="T288" s="2" t="str">
        <f t="shared" si="24"/>
        <v>Low</v>
      </c>
    </row>
    <row r="289" spans="1:20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f t="shared" si="22"/>
        <v>11337.93</v>
      </c>
      <c r="O289" s="5">
        <v>15</v>
      </c>
      <c r="P289" s="6">
        <f t="shared" si="20"/>
        <v>1700.6895000000002</v>
      </c>
      <c r="Q289" s="6">
        <f t="shared" si="21"/>
        <v>9637.2404999999999</v>
      </c>
      <c r="R289" s="2" t="str">
        <f t="shared" si="23"/>
        <v>Low</v>
      </c>
      <c r="S289" s="2" t="str" cm="1">
        <f t="array" ref="S289">_xlfn.IFS(L289&gt;=8,"High",L289&gt;=5,"Medium",L289&lt;5,"Low")</f>
        <v>High</v>
      </c>
      <c r="T289" s="2" t="str">
        <f t="shared" si="24"/>
        <v>Medium</v>
      </c>
    </row>
    <row r="290" spans="1:20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f t="shared" si="22"/>
        <v>10402.48</v>
      </c>
      <c r="O290" s="5">
        <v>0</v>
      </c>
      <c r="P290" s="6">
        <f t="shared" si="20"/>
        <v>0</v>
      </c>
      <c r="Q290" s="6">
        <f t="shared" si="21"/>
        <v>10402.48</v>
      </c>
      <c r="R290" s="2" t="str">
        <f t="shared" si="23"/>
        <v>High</v>
      </c>
      <c r="S290" s="2" t="str" cm="1">
        <f t="array" ref="S290">_xlfn.IFS(L290&gt;=8,"High",L290&gt;=5,"Medium",L290&lt;5,"Low")</f>
        <v>High</v>
      </c>
      <c r="T290" s="2" t="str">
        <f t="shared" si="24"/>
        <v>Low</v>
      </c>
    </row>
    <row r="291" spans="1:20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f t="shared" si="22"/>
        <v>28648.959999999999</v>
      </c>
      <c r="O291" s="5">
        <v>15</v>
      </c>
      <c r="P291" s="6">
        <f t="shared" si="20"/>
        <v>4297.3440000000001</v>
      </c>
      <c r="Q291" s="6">
        <f t="shared" si="21"/>
        <v>24351.615999999998</v>
      </c>
      <c r="R291" s="2" t="str">
        <f t="shared" si="23"/>
        <v>High</v>
      </c>
      <c r="S291" s="2" t="str" cm="1">
        <f t="array" ref="S291">_xlfn.IFS(L291&gt;=8,"High",L291&gt;=5,"Medium",L291&lt;5,"Low")</f>
        <v>High</v>
      </c>
      <c r="T291" s="2" t="str">
        <f t="shared" si="24"/>
        <v>High</v>
      </c>
    </row>
    <row r="292" spans="1:20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f t="shared" si="22"/>
        <v>202.49</v>
      </c>
      <c r="O292" s="5">
        <v>5</v>
      </c>
      <c r="P292" s="6">
        <f t="shared" si="20"/>
        <v>10.124500000000001</v>
      </c>
      <c r="Q292" s="6">
        <f t="shared" si="21"/>
        <v>192.3655</v>
      </c>
      <c r="R292" s="2" t="str">
        <f t="shared" si="23"/>
        <v>Low</v>
      </c>
      <c r="S292" s="2" t="str" cm="1">
        <f t="array" ref="S292">_xlfn.IFS(L292&gt;=8,"High",L292&gt;=5,"Medium",L292&lt;5,"Low")</f>
        <v>Low</v>
      </c>
      <c r="T292" s="2" t="str">
        <f t="shared" si="24"/>
        <v>Low</v>
      </c>
    </row>
    <row r="293" spans="1:20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f t="shared" si="22"/>
        <v>11140</v>
      </c>
      <c r="O293" s="5">
        <v>15</v>
      </c>
      <c r="P293" s="6">
        <f t="shared" si="20"/>
        <v>1671</v>
      </c>
      <c r="Q293" s="6">
        <f t="shared" si="21"/>
        <v>9469</v>
      </c>
      <c r="R293" s="2" t="str">
        <f t="shared" si="23"/>
        <v>Low</v>
      </c>
      <c r="S293" s="2" t="str" cm="1">
        <f t="array" ref="S293">_xlfn.IFS(L293&gt;=8,"High",L293&gt;=5,"Medium",L293&lt;5,"Low")</f>
        <v>High</v>
      </c>
      <c r="T293" s="2" t="str">
        <f t="shared" si="24"/>
        <v>Medium</v>
      </c>
    </row>
    <row r="294" spans="1:20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f t="shared" si="22"/>
        <v>6852.8099999999995</v>
      </c>
      <c r="O294" s="5">
        <v>20</v>
      </c>
      <c r="P294" s="6">
        <f t="shared" si="20"/>
        <v>1370.5619999999999</v>
      </c>
      <c r="Q294" s="6">
        <f t="shared" si="21"/>
        <v>5482.2479999999996</v>
      </c>
      <c r="R294" s="2" t="str">
        <f t="shared" si="23"/>
        <v>Low</v>
      </c>
      <c r="S294" s="2" t="str" cm="1">
        <f t="array" ref="S294">_xlfn.IFS(L294&gt;=8,"High",L294&gt;=5,"Medium",L294&lt;5,"Low")</f>
        <v>Low</v>
      </c>
      <c r="T294" s="2" t="str">
        <f t="shared" si="24"/>
        <v>Low</v>
      </c>
    </row>
    <row r="295" spans="1:20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f t="shared" si="22"/>
        <v>17967.3</v>
      </c>
      <c r="O295" s="5">
        <v>20</v>
      </c>
      <c r="P295" s="6">
        <f t="shared" si="20"/>
        <v>3593.46</v>
      </c>
      <c r="Q295" s="6">
        <f t="shared" si="21"/>
        <v>14373.84</v>
      </c>
      <c r="R295" s="2" t="str">
        <f t="shared" si="23"/>
        <v>High</v>
      </c>
      <c r="S295" s="2" t="str" cm="1">
        <f t="array" ref="S295">_xlfn.IFS(L295&gt;=8,"High",L295&gt;=5,"Medium",L295&lt;5,"Low")</f>
        <v>Medium</v>
      </c>
      <c r="T295" s="2" t="str">
        <f t="shared" si="24"/>
        <v>High</v>
      </c>
    </row>
    <row r="296" spans="1:20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f t="shared" si="22"/>
        <v>16604.400000000001</v>
      </c>
      <c r="O296" s="5">
        <v>0</v>
      </c>
      <c r="P296" s="6">
        <f t="shared" si="20"/>
        <v>0</v>
      </c>
      <c r="Q296" s="6">
        <f t="shared" si="21"/>
        <v>16604.400000000001</v>
      </c>
      <c r="R296" s="2" t="str">
        <f t="shared" si="23"/>
        <v>High</v>
      </c>
      <c r="S296" s="2" t="str" cm="1">
        <f t="array" ref="S296">_xlfn.IFS(L296&gt;=8,"High",L296&gt;=5,"Medium",L296&lt;5,"Low")</f>
        <v>Medium</v>
      </c>
      <c r="T296" s="2" t="str">
        <f t="shared" si="24"/>
        <v>Low</v>
      </c>
    </row>
    <row r="297" spans="1:20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f t="shared" si="22"/>
        <v>28882.639999999999</v>
      </c>
      <c r="O297" s="5">
        <v>5</v>
      </c>
      <c r="P297" s="6">
        <f t="shared" si="20"/>
        <v>1444.1320000000001</v>
      </c>
      <c r="Q297" s="6">
        <f t="shared" si="21"/>
        <v>27438.507999999998</v>
      </c>
      <c r="R297" s="2" t="str">
        <f t="shared" si="23"/>
        <v>High</v>
      </c>
      <c r="S297" s="2" t="str" cm="1">
        <f t="array" ref="S297">_xlfn.IFS(L297&gt;=8,"High",L297&gt;=5,"Medium",L297&lt;5,"Low")</f>
        <v>High</v>
      </c>
      <c r="T297" s="2" t="str">
        <f t="shared" si="24"/>
        <v>Low</v>
      </c>
    </row>
    <row r="298" spans="1:20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f t="shared" si="22"/>
        <v>26217.52</v>
      </c>
      <c r="O298" s="5">
        <v>15</v>
      </c>
      <c r="P298" s="6">
        <f t="shared" si="20"/>
        <v>3932.6279999999997</v>
      </c>
      <c r="Q298" s="6">
        <f t="shared" si="21"/>
        <v>22284.892</v>
      </c>
      <c r="R298" s="2" t="str">
        <f t="shared" si="23"/>
        <v>High</v>
      </c>
      <c r="S298" s="2" t="str" cm="1">
        <f t="array" ref="S298">_xlfn.IFS(L298&gt;=8,"High",L298&gt;=5,"Medium",L298&lt;5,"Low")</f>
        <v>High</v>
      </c>
      <c r="T298" s="2" t="str">
        <f t="shared" si="24"/>
        <v>High</v>
      </c>
    </row>
    <row r="299" spans="1:20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f t="shared" si="22"/>
        <v>9771.36</v>
      </c>
      <c r="O299" s="5">
        <v>0</v>
      </c>
      <c r="P299" s="6">
        <f t="shared" si="20"/>
        <v>0</v>
      </c>
      <c r="Q299" s="6">
        <f t="shared" si="21"/>
        <v>9771.36</v>
      </c>
      <c r="R299" s="2" t="str">
        <f t="shared" si="23"/>
        <v>Low</v>
      </c>
      <c r="S299" s="2" t="str" cm="1">
        <f t="array" ref="S299">_xlfn.IFS(L299&gt;=8,"High",L299&gt;=5,"Medium",L299&lt;5,"Low")</f>
        <v>Medium</v>
      </c>
      <c r="T299" s="2" t="str">
        <f t="shared" si="24"/>
        <v>Low</v>
      </c>
    </row>
    <row r="300" spans="1:20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f t="shared" si="22"/>
        <v>16290.78</v>
      </c>
      <c r="O300" s="5">
        <v>20</v>
      </c>
      <c r="P300" s="6">
        <f t="shared" si="20"/>
        <v>3258.1560000000004</v>
      </c>
      <c r="Q300" s="6">
        <f t="shared" si="21"/>
        <v>13032.624</v>
      </c>
      <c r="R300" s="2" t="str">
        <f t="shared" si="23"/>
        <v>High</v>
      </c>
      <c r="S300" s="2" t="str" cm="1">
        <f t="array" ref="S300">_xlfn.IFS(L300&gt;=8,"High",L300&gt;=5,"Medium",L300&lt;5,"Low")</f>
        <v>Medium</v>
      </c>
      <c r="T300" s="2" t="str">
        <f t="shared" si="24"/>
        <v>High</v>
      </c>
    </row>
    <row r="301" spans="1:20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f t="shared" si="22"/>
        <v>7914.04</v>
      </c>
      <c r="O301" s="5">
        <v>5</v>
      </c>
      <c r="P301" s="6">
        <f t="shared" si="20"/>
        <v>395.702</v>
      </c>
      <c r="Q301" s="6">
        <f t="shared" si="21"/>
        <v>7518.3379999999997</v>
      </c>
      <c r="R301" s="2" t="str">
        <f t="shared" si="23"/>
        <v>Low</v>
      </c>
      <c r="S301" s="2" t="str" cm="1">
        <f t="array" ref="S301">_xlfn.IFS(L301&gt;=8,"High",L301&gt;=5,"Medium",L301&lt;5,"Low")</f>
        <v>Low</v>
      </c>
      <c r="T301" s="2" t="str">
        <f t="shared" si="24"/>
        <v>Low</v>
      </c>
    </row>
    <row r="302" spans="1:20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f t="shared" si="22"/>
        <v>6114.2999999999993</v>
      </c>
      <c r="O302" s="5">
        <v>0</v>
      </c>
      <c r="P302" s="6">
        <f t="shared" si="20"/>
        <v>0</v>
      </c>
      <c r="Q302" s="6">
        <f t="shared" si="21"/>
        <v>6114.2999999999993</v>
      </c>
      <c r="R302" s="2" t="str">
        <f t="shared" si="23"/>
        <v>Low</v>
      </c>
      <c r="S302" s="2" t="str" cm="1">
        <f t="array" ref="S302">_xlfn.IFS(L302&gt;=8,"High",L302&gt;=5,"Medium",L302&lt;5,"Low")</f>
        <v>Medium</v>
      </c>
      <c r="T302" s="2" t="str">
        <f t="shared" si="24"/>
        <v>Low</v>
      </c>
    </row>
    <row r="303" spans="1:20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f t="shared" si="22"/>
        <v>8255.5499999999993</v>
      </c>
      <c r="O303" s="5">
        <v>20</v>
      </c>
      <c r="P303" s="6">
        <f t="shared" si="20"/>
        <v>1651.11</v>
      </c>
      <c r="Q303" s="6">
        <f t="shared" si="21"/>
        <v>6604.44</v>
      </c>
      <c r="R303" s="2" t="str">
        <f t="shared" si="23"/>
        <v>Low</v>
      </c>
      <c r="S303" s="2" t="str" cm="1">
        <f t="array" ref="S303">_xlfn.IFS(L303&gt;=8,"High",L303&gt;=5,"Medium",L303&lt;5,"Low")</f>
        <v>Medium</v>
      </c>
      <c r="T303" s="2" t="str">
        <f t="shared" si="24"/>
        <v>Medium</v>
      </c>
    </row>
    <row r="304" spans="1:20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f t="shared" si="22"/>
        <v>4088.16</v>
      </c>
      <c r="O304" s="5">
        <v>15</v>
      </c>
      <c r="P304" s="6">
        <f t="shared" si="20"/>
        <v>613.22399999999993</v>
      </c>
      <c r="Q304" s="6">
        <f t="shared" si="21"/>
        <v>3474.9359999999997</v>
      </c>
      <c r="R304" s="2" t="str">
        <f t="shared" si="23"/>
        <v>Low</v>
      </c>
      <c r="S304" s="2" t="str" cm="1">
        <f t="array" ref="S304">_xlfn.IFS(L304&gt;=8,"High",L304&gt;=5,"Medium",L304&lt;5,"Low")</f>
        <v>Medium</v>
      </c>
      <c r="T304" s="2" t="str">
        <f t="shared" si="24"/>
        <v>Low</v>
      </c>
    </row>
    <row r="305" spans="1:20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f t="shared" si="22"/>
        <v>3910.66</v>
      </c>
      <c r="O305" s="5">
        <v>5</v>
      </c>
      <c r="P305" s="6">
        <f t="shared" si="20"/>
        <v>195.53299999999999</v>
      </c>
      <c r="Q305" s="6">
        <f t="shared" si="21"/>
        <v>3715.127</v>
      </c>
      <c r="R305" s="2" t="str">
        <f t="shared" si="23"/>
        <v>Low</v>
      </c>
      <c r="S305" s="2" t="str" cm="1">
        <f t="array" ref="S305">_xlfn.IFS(L305&gt;=8,"High",L305&gt;=5,"Medium",L305&lt;5,"Low")</f>
        <v>Low</v>
      </c>
      <c r="T305" s="2" t="str">
        <f t="shared" si="24"/>
        <v>Low</v>
      </c>
    </row>
    <row r="306" spans="1:20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f t="shared" si="22"/>
        <v>1462.35</v>
      </c>
      <c r="O306" s="5">
        <v>5</v>
      </c>
      <c r="P306" s="6">
        <f t="shared" si="20"/>
        <v>73.117500000000007</v>
      </c>
      <c r="Q306" s="6">
        <f t="shared" si="21"/>
        <v>1389.2324999999998</v>
      </c>
      <c r="R306" s="2" t="str">
        <f t="shared" si="23"/>
        <v>Low</v>
      </c>
      <c r="S306" s="2" t="str" cm="1">
        <f t="array" ref="S306">_xlfn.IFS(L306&gt;=8,"High",L306&gt;=5,"Medium",L306&lt;5,"Low")</f>
        <v>Low</v>
      </c>
      <c r="T306" s="2" t="str">
        <f t="shared" si="24"/>
        <v>Low</v>
      </c>
    </row>
    <row r="307" spans="1:20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f t="shared" si="22"/>
        <v>3581.58</v>
      </c>
      <c r="O307" s="5">
        <v>15</v>
      </c>
      <c r="P307" s="6">
        <f t="shared" si="20"/>
        <v>537.23699999999997</v>
      </c>
      <c r="Q307" s="6">
        <f t="shared" si="21"/>
        <v>3044.3429999999998</v>
      </c>
      <c r="R307" s="2" t="str">
        <f t="shared" si="23"/>
        <v>Low</v>
      </c>
      <c r="S307" s="2" t="str" cm="1">
        <f t="array" ref="S307">_xlfn.IFS(L307&gt;=8,"High",L307&gt;=5,"Medium",L307&lt;5,"Low")</f>
        <v>Low</v>
      </c>
      <c r="T307" s="2" t="str">
        <f t="shared" si="24"/>
        <v>Low</v>
      </c>
    </row>
    <row r="308" spans="1:20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f t="shared" si="22"/>
        <v>9678.4</v>
      </c>
      <c r="O308" s="5">
        <v>20</v>
      </c>
      <c r="P308" s="6">
        <f t="shared" si="20"/>
        <v>1935.68</v>
      </c>
      <c r="Q308" s="6">
        <f t="shared" si="21"/>
        <v>7742.7199999999993</v>
      </c>
      <c r="R308" s="2" t="str">
        <f t="shared" si="23"/>
        <v>Low</v>
      </c>
      <c r="S308" s="2" t="str" cm="1">
        <f t="array" ref="S308">_xlfn.IFS(L308&gt;=8,"High",L308&gt;=5,"Medium",L308&lt;5,"Low")</f>
        <v>Medium</v>
      </c>
      <c r="T308" s="2" t="str">
        <f t="shared" si="24"/>
        <v>Medium</v>
      </c>
    </row>
    <row r="309" spans="1:20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f t="shared" si="22"/>
        <v>4146.33</v>
      </c>
      <c r="O309" s="5">
        <v>10</v>
      </c>
      <c r="P309" s="6">
        <f t="shared" si="20"/>
        <v>414.63300000000004</v>
      </c>
      <c r="Q309" s="6">
        <f t="shared" si="21"/>
        <v>3731.6970000000001</v>
      </c>
      <c r="R309" s="2" t="str">
        <f t="shared" si="23"/>
        <v>Low</v>
      </c>
      <c r="S309" s="2" t="str" cm="1">
        <f t="array" ref="S309">_xlfn.IFS(L309&gt;=8,"High",L309&gt;=5,"Medium",L309&lt;5,"Low")</f>
        <v>Low</v>
      </c>
      <c r="T309" s="2" t="str">
        <f t="shared" si="24"/>
        <v>Low</v>
      </c>
    </row>
    <row r="310" spans="1:20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f t="shared" si="22"/>
        <v>3968.76</v>
      </c>
      <c r="O310" s="5">
        <v>10</v>
      </c>
      <c r="P310" s="6">
        <f t="shared" si="20"/>
        <v>396.87600000000003</v>
      </c>
      <c r="Q310" s="6">
        <f t="shared" si="21"/>
        <v>3571.884</v>
      </c>
      <c r="R310" s="2" t="str">
        <f t="shared" si="23"/>
        <v>Low</v>
      </c>
      <c r="S310" s="2" t="str" cm="1">
        <f t="array" ref="S310">_xlfn.IFS(L310&gt;=8,"High",L310&gt;=5,"Medium",L310&lt;5,"Low")</f>
        <v>Low</v>
      </c>
      <c r="T310" s="2" t="str">
        <f t="shared" si="24"/>
        <v>Low</v>
      </c>
    </row>
    <row r="311" spans="1:20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f t="shared" si="22"/>
        <v>11003.76</v>
      </c>
      <c r="O311" s="5">
        <v>15</v>
      </c>
      <c r="P311" s="6">
        <f t="shared" si="20"/>
        <v>1650.5639999999999</v>
      </c>
      <c r="Q311" s="6">
        <f t="shared" si="21"/>
        <v>9353.1959999999999</v>
      </c>
      <c r="R311" s="2" t="str">
        <f t="shared" si="23"/>
        <v>Low</v>
      </c>
      <c r="S311" s="2" t="str" cm="1">
        <f t="array" ref="S311">_xlfn.IFS(L311&gt;=8,"High",L311&gt;=5,"Medium",L311&lt;5,"Low")</f>
        <v>High</v>
      </c>
      <c r="T311" s="2" t="str">
        <f t="shared" si="24"/>
        <v>Medium</v>
      </c>
    </row>
    <row r="312" spans="1:20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f t="shared" si="22"/>
        <v>6098.37</v>
      </c>
      <c r="O312" s="5">
        <v>10</v>
      </c>
      <c r="P312" s="6">
        <f t="shared" si="20"/>
        <v>609.83699999999999</v>
      </c>
      <c r="Q312" s="6">
        <f t="shared" si="21"/>
        <v>5488.5329999999994</v>
      </c>
      <c r="R312" s="2" t="str">
        <f t="shared" si="23"/>
        <v>Low</v>
      </c>
      <c r="S312" s="2" t="str" cm="1">
        <f t="array" ref="S312">_xlfn.IFS(L312&gt;=8,"High",L312&gt;=5,"Medium",L312&lt;5,"Low")</f>
        <v>Low</v>
      </c>
      <c r="T312" s="2" t="str">
        <f t="shared" si="24"/>
        <v>Low</v>
      </c>
    </row>
    <row r="313" spans="1:20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f t="shared" si="22"/>
        <v>2430.36</v>
      </c>
      <c r="O313" s="5">
        <v>15</v>
      </c>
      <c r="P313" s="6">
        <f t="shared" si="20"/>
        <v>364.55400000000003</v>
      </c>
      <c r="Q313" s="6">
        <f t="shared" si="21"/>
        <v>2065.806</v>
      </c>
      <c r="R313" s="2" t="str">
        <f t="shared" si="23"/>
        <v>Low</v>
      </c>
      <c r="S313" s="2" t="str" cm="1">
        <f t="array" ref="S313">_xlfn.IFS(L313&gt;=8,"High",L313&gt;=5,"Medium",L313&lt;5,"Low")</f>
        <v>Low</v>
      </c>
      <c r="T313" s="2" t="str">
        <f t="shared" si="24"/>
        <v>Low</v>
      </c>
    </row>
    <row r="314" spans="1:20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f t="shared" si="22"/>
        <v>4661.9400000000005</v>
      </c>
      <c r="O314" s="5">
        <v>15</v>
      </c>
      <c r="P314" s="6">
        <f t="shared" si="20"/>
        <v>699.29100000000005</v>
      </c>
      <c r="Q314" s="6">
        <f t="shared" si="21"/>
        <v>3962.6490000000003</v>
      </c>
      <c r="R314" s="2" t="str">
        <f t="shared" si="23"/>
        <v>Low</v>
      </c>
      <c r="S314" s="2" t="str" cm="1">
        <f t="array" ref="S314">_xlfn.IFS(L314&gt;=8,"High",L314&gt;=5,"Medium",L314&lt;5,"Low")</f>
        <v>Low</v>
      </c>
      <c r="T314" s="2" t="str">
        <f t="shared" si="24"/>
        <v>Low</v>
      </c>
    </row>
    <row r="315" spans="1:20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f t="shared" si="22"/>
        <v>23946</v>
      </c>
      <c r="O315" s="5">
        <v>10</v>
      </c>
      <c r="P315" s="6">
        <f t="shared" si="20"/>
        <v>2394.6</v>
      </c>
      <c r="Q315" s="6">
        <f t="shared" si="21"/>
        <v>21551.4</v>
      </c>
      <c r="R315" s="2" t="str">
        <f t="shared" si="23"/>
        <v>High</v>
      </c>
      <c r="S315" s="2" t="str" cm="1">
        <f t="array" ref="S315">_xlfn.IFS(L315&gt;=8,"High",L315&gt;=5,"Medium",L315&lt;5,"Low")</f>
        <v>High</v>
      </c>
      <c r="T315" s="2" t="str">
        <f t="shared" si="24"/>
        <v>Medium</v>
      </c>
    </row>
    <row r="316" spans="1:20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f t="shared" si="22"/>
        <v>16298.880000000001</v>
      </c>
      <c r="O316" s="5">
        <v>0</v>
      </c>
      <c r="P316" s="6">
        <f t="shared" si="20"/>
        <v>0</v>
      </c>
      <c r="Q316" s="6">
        <f t="shared" si="21"/>
        <v>16298.880000000001</v>
      </c>
      <c r="R316" s="2" t="str">
        <f t="shared" si="23"/>
        <v>High</v>
      </c>
      <c r="S316" s="2" t="str" cm="1">
        <f t="array" ref="S316">_xlfn.IFS(L316&gt;=8,"High",L316&gt;=5,"Medium",L316&lt;5,"Low")</f>
        <v>Medium</v>
      </c>
      <c r="T316" s="2" t="str">
        <f t="shared" si="24"/>
        <v>Low</v>
      </c>
    </row>
    <row r="317" spans="1:20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f t="shared" si="22"/>
        <v>1220.6199999999999</v>
      </c>
      <c r="O317" s="5">
        <v>10</v>
      </c>
      <c r="P317" s="6">
        <f t="shared" si="20"/>
        <v>122.06199999999998</v>
      </c>
      <c r="Q317" s="6">
        <f t="shared" si="21"/>
        <v>1098.558</v>
      </c>
      <c r="R317" s="2" t="str">
        <f t="shared" si="23"/>
        <v>Low</v>
      </c>
      <c r="S317" s="2" t="str" cm="1">
        <f t="array" ref="S317">_xlfn.IFS(L317&gt;=8,"High",L317&gt;=5,"Medium",L317&lt;5,"Low")</f>
        <v>Low</v>
      </c>
      <c r="T317" s="2" t="str">
        <f t="shared" si="24"/>
        <v>Low</v>
      </c>
    </row>
    <row r="318" spans="1:20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f t="shared" si="22"/>
        <v>14128.02</v>
      </c>
      <c r="O318" s="5">
        <v>15</v>
      </c>
      <c r="P318" s="6">
        <f t="shared" si="20"/>
        <v>2119.203</v>
      </c>
      <c r="Q318" s="6">
        <f t="shared" si="21"/>
        <v>12008.817000000001</v>
      </c>
      <c r="R318" s="2" t="str">
        <f t="shared" si="23"/>
        <v>High</v>
      </c>
      <c r="S318" s="2" t="str" cm="1">
        <f t="array" ref="S318">_xlfn.IFS(L318&gt;=8,"High",L318&gt;=5,"Medium",L318&lt;5,"Low")</f>
        <v>Medium</v>
      </c>
      <c r="T318" s="2" t="str">
        <f t="shared" si="24"/>
        <v>Medium</v>
      </c>
    </row>
    <row r="319" spans="1:20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f t="shared" si="22"/>
        <v>16228.85</v>
      </c>
      <c r="O319" s="5">
        <v>0</v>
      </c>
      <c r="P319" s="6">
        <f t="shared" si="20"/>
        <v>0</v>
      </c>
      <c r="Q319" s="6">
        <f t="shared" si="21"/>
        <v>16228.85</v>
      </c>
      <c r="R319" s="2" t="str">
        <f t="shared" si="23"/>
        <v>High</v>
      </c>
      <c r="S319" s="2" t="str" cm="1">
        <f t="array" ref="S319">_xlfn.IFS(L319&gt;=8,"High",L319&gt;=5,"Medium",L319&lt;5,"Low")</f>
        <v>Medium</v>
      </c>
      <c r="T319" s="2" t="str">
        <f t="shared" si="24"/>
        <v>Low</v>
      </c>
    </row>
    <row r="320" spans="1:20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f t="shared" si="22"/>
        <v>5369.58</v>
      </c>
      <c r="O320" s="5">
        <v>0</v>
      </c>
      <c r="P320" s="6">
        <f t="shared" si="20"/>
        <v>0</v>
      </c>
      <c r="Q320" s="6">
        <f t="shared" si="21"/>
        <v>5369.58</v>
      </c>
      <c r="R320" s="2" t="str">
        <f t="shared" si="23"/>
        <v>Low</v>
      </c>
      <c r="S320" s="2" t="str" cm="1">
        <f t="array" ref="S320">_xlfn.IFS(L320&gt;=8,"High",L320&gt;=5,"Medium",L320&lt;5,"Low")</f>
        <v>Low</v>
      </c>
      <c r="T320" s="2" t="str">
        <f t="shared" si="24"/>
        <v>Low</v>
      </c>
    </row>
    <row r="321" spans="1:20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f t="shared" si="22"/>
        <v>2743.75</v>
      </c>
      <c r="O321" s="5">
        <v>15</v>
      </c>
      <c r="P321" s="6">
        <f t="shared" si="20"/>
        <v>411.5625</v>
      </c>
      <c r="Q321" s="6">
        <f t="shared" si="21"/>
        <v>2332.1875</v>
      </c>
      <c r="R321" s="2" t="str">
        <f t="shared" si="23"/>
        <v>Low</v>
      </c>
      <c r="S321" s="2" t="str" cm="1">
        <f t="array" ref="S321">_xlfn.IFS(L321&gt;=8,"High",L321&gt;=5,"Medium",L321&lt;5,"Low")</f>
        <v>Low</v>
      </c>
      <c r="T321" s="2" t="str">
        <f t="shared" si="24"/>
        <v>Low</v>
      </c>
    </row>
    <row r="322" spans="1:20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f t="shared" si="22"/>
        <v>5335.96</v>
      </c>
      <c r="O322" s="5">
        <v>5</v>
      </c>
      <c r="P322" s="6">
        <f t="shared" ref="P322:P373" si="25">N322*O322/100</f>
        <v>266.798</v>
      </c>
      <c r="Q322" s="6">
        <f t="shared" ref="Q322:Q373" si="26">N322-P322</f>
        <v>5069.1620000000003</v>
      </c>
      <c r="R322" s="2" t="str">
        <f t="shared" si="23"/>
        <v>Low</v>
      </c>
      <c r="S322" s="2" t="str" cm="1">
        <f t="array" ref="S322">_xlfn.IFS(L322&gt;=8,"High",L322&gt;=5,"Medium",L322&lt;5,"Low")</f>
        <v>Low</v>
      </c>
      <c r="T322" s="2" t="str">
        <f t="shared" si="24"/>
        <v>Low</v>
      </c>
    </row>
    <row r="323" spans="1:20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f t="shared" ref="N323:N373" si="27">L323*M323</f>
        <v>2044.41</v>
      </c>
      <c r="O323" s="5">
        <v>0</v>
      </c>
      <c r="P323" s="6">
        <f t="shared" si="25"/>
        <v>0</v>
      </c>
      <c r="Q323" s="6">
        <f t="shared" si="26"/>
        <v>2044.41</v>
      </c>
      <c r="R323" s="2" t="str">
        <f t="shared" ref="R323:R373" si="28">IF(Q323&gt;=10000,"High","Low")</f>
        <v>Low</v>
      </c>
      <c r="S323" s="2" t="str" cm="1">
        <f t="array" ref="S323">_xlfn.IFS(L323&gt;=8,"High",L323&gt;=5,"Medium",L323&lt;5,"Low")</f>
        <v>Low</v>
      </c>
      <c r="T323" s="2" t="str">
        <f t="shared" ref="T323:T373" si="29">IF(P323&gt;=3000,"High",IF(P323&gt;=1500,"Medium","Low"))</f>
        <v>Low</v>
      </c>
    </row>
    <row r="324" spans="1:20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f t="shared" si="27"/>
        <v>28949.040000000001</v>
      </c>
      <c r="O324" s="5">
        <v>20</v>
      </c>
      <c r="P324" s="6">
        <f t="shared" si="25"/>
        <v>5789.8080000000009</v>
      </c>
      <c r="Q324" s="6">
        <f t="shared" si="26"/>
        <v>23159.232</v>
      </c>
      <c r="R324" s="2" t="str">
        <f t="shared" si="28"/>
        <v>High</v>
      </c>
      <c r="S324" s="2" t="str" cm="1">
        <f t="array" ref="S324">_xlfn.IFS(L324&gt;=8,"High",L324&gt;=5,"Medium",L324&lt;5,"Low")</f>
        <v>High</v>
      </c>
      <c r="T324" s="2" t="str">
        <f t="shared" si="29"/>
        <v>High</v>
      </c>
    </row>
    <row r="325" spans="1:20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f t="shared" si="27"/>
        <v>7141.6100000000006</v>
      </c>
      <c r="O325" s="5">
        <v>10</v>
      </c>
      <c r="P325" s="6">
        <f t="shared" si="25"/>
        <v>714.16100000000006</v>
      </c>
      <c r="Q325" s="6">
        <f t="shared" si="26"/>
        <v>6427.4490000000005</v>
      </c>
      <c r="R325" s="2" t="str">
        <f t="shared" si="28"/>
        <v>Low</v>
      </c>
      <c r="S325" s="2" t="str" cm="1">
        <f t="array" ref="S325">_xlfn.IFS(L325&gt;=8,"High",L325&gt;=5,"Medium",L325&lt;5,"Low")</f>
        <v>Medium</v>
      </c>
      <c r="T325" s="2" t="str">
        <f t="shared" si="29"/>
        <v>Low</v>
      </c>
    </row>
    <row r="326" spans="1:20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f t="shared" si="27"/>
        <v>6497.16</v>
      </c>
      <c r="O326" s="5">
        <v>5</v>
      </c>
      <c r="P326" s="6">
        <f t="shared" si="25"/>
        <v>324.858</v>
      </c>
      <c r="Q326" s="6">
        <f t="shared" si="26"/>
        <v>6172.3019999999997</v>
      </c>
      <c r="R326" s="2" t="str">
        <f t="shared" si="28"/>
        <v>Low</v>
      </c>
      <c r="S326" s="2" t="str" cm="1">
        <f t="array" ref="S326">_xlfn.IFS(L326&gt;=8,"High",L326&gt;=5,"Medium",L326&lt;5,"Low")</f>
        <v>Low</v>
      </c>
      <c r="T326" s="2" t="str">
        <f t="shared" si="29"/>
        <v>Low</v>
      </c>
    </row>
    <row r="327" spans="1:20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f t="shared" si="27"/>
        <v>10380.719999999999</v>
      </c>
      <c r="O327" s="5">
        <v>0</v>
      </c>
      <c r="P327" s="6">
        <f t="shared" si="25"/>
        <v>0</v>
      </c>
      <c r="Q327" s="6">
        <f t="shared" si="26"/>
        <v>10380.719999999999</v>
      </c>
      <c r="R327" s="2" t="str">
        <f t="shared" si="28"/>
        <v>High</v>
      </c>
      <c r="S327" s="2" t="str" cm="1">
        <f t="array" ref="S327">_xlfn.IFS(L327&gt;=8,"High",L327&gt;=5,"Medium",L327&lt;5,"Low")</f>
        <v>High</v>
      </c>
      <c r="T327" s="2" t="str">
        <f t="shared" si="29"/>
        <v>Low</v>
      </c>
    </row>
    <row r="328" spans="1:20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f t="shared" si="27"/>
        <v>1219.7</v>
      </c>
      <c r="O328" s="5">
        <v>5</v>
      </c>
      <c r="P328" s="6">
        <f t="shared" si="25"/>
        <v>60.984999999999999</v>
      </c>
      <c r="Q328" s="6">
        <f t="shared" si="26"/>
        <v>1158.7150000000001</v>
      </c>
      <c r="R328" s="2" t="str">
        <f t="shared" si="28"/>
        <v>Low</v>
      </c>
      <c r="S328" s="2" t="str" cm="1">
        <f t="array" ref="S328">_xlfn.IFS(L328&gt;=8,"High",L328&gt;=5,"Medium",L328&lt;5,"Low")</f>
        <v>Low</v>
      </c>
      <c r="T328" s="2" t="str">
        <f t="shared" si="29"/>
        <v>Low</v>
      </c>
    </row>
    <row r="329" spans="1:20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f t="shared" si="27"/>
        <v>3354.81</v>
      </c>
      <c r="O329" s="5">
        <v>0</v>
      </c>
      <c r="P329" s="6">
        <f t="shared" si="25"/>
        <v>0</v>
      </c>
      <c r="Q329" s="6">
        <f t="shared" si="26"/>
        <v>3354.81</v>
      </c>
      <c r="R329" s="2" t="str">
        <f t="shared" si="28"/>
        <v>Low</v>
      </c>
      <c r="S329" s="2" t="str" cm="1">
        <f t="array" ref="S329">_xlfn.IFS(L329&gt;=8,"High",L329&gt;=5,"Medium",L329&lt;5,"Low")</f>
        <v>Low</v>
      </c>
      <c r="T329" s="2" t="str">
        <f t="shared" si="29"/>
        <v>Low</v>
      </c>
    </row>
    <row r="330" spans="1:20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f t="shared" si="27"/>
        <v>31244.560000000001</v>
      </c>
      <c r="O330" s="5">
        <v>10</v>
      </c>
      <c r="P330" s="6">
        <f t="shared" si="25"/>
        <v>3124.4560000000001</v>
      </c>
      <c r="Q330" s="6">
        <f t="shared" si="26"/>
        <v>28120.103999999999</v>
      </c>
      <c r="R330" s="2" t="str">
        <f t="shared" si="28"/>
        <v>High</v>
      </c>
      <c r="S330" s="2" t="str" cm="1">
        <f t="array" ref="S330">_xlfn.IFS(L330&gt;=8,"High",L330&gt;=5,"Medium",L330&lt;5,"Low")</f>
        <v>High</v>
      </c>
      <c r="T330" s="2" t="str">
        <f t="shared" si="29"/>
        <v>High</v>
      </c>
    </row>
    <row r="331" spans="1:20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f t="shared" si="27"/>
        <v>7729.86</v>
      </c>
      <c r="O331" s="5">
        <v>15</v>
      </c>
      <c r="P331" s="6">
        <f t="shared" si="25"/>
        <v>1159.479</v>
      </c>
      <c r="Q331" s="6">
        <f t="shared" si="26"/>
        <v>6570.3809999999994</v>
      </c>
      <c r="R331" s="2" t="str">
        <f t="shared" si="28"/>
        <v>Low</v>
      </c>
      <c r="S331" s="2" t="str" cm="1">
        <f t="array" ref="S331">_xlfn.IFS(L331&gt;=8,"High",L331&gt;=5,"Medium",L331&lt;5,"Low")</f>
        <v>Medium</v>
      </c>
      <c r="T331" s="2" t="str">
        <f t="shared" si="29"/>
        <v>Low</v>
      </c>
    </row>
    <row r="332" spans="1:20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f t="shared" si="27"/>
        <v>33662.700000000004</v>
      </c>
      <c r="O332" s="5">
        <v>10</v>
      </c>
      <c r="P332" s="6">
        <f t="shared" si="25"/>
        <v>3366.2700000000004</v>
      </c>
      <c r="Q332" s="6">
        <f t="shared" si="26"/>
        <v>30296.430000000004</v>
      </c>
      <c r="R332" s="2" t="str">
        <f t="shared" si="28"/>
        <v>High</v>
      </c>
      <c r="S332" s="2" t="str" cm="1">
        <f t="array" ref="S332">_xlfn.IFS(L332&gt;=8,"High",L332&gt;=5,"Medium",L332&lt;5,"Low")</f>
        <v>High</v>
      </c>
      <c r="T332" s="2" t="str">
        <f t="shared" si="29"/>
        <v>High</v>
      </c>
    </row>
    <row r="333" spans="1:20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f t="shared" si="27"/>
        <v>22091.31</v>
      </c>
      <c r="O333" s="5">
        <v>5</v>
      </c>
      <c r="P333" s="6">
        <f t="shared" si="25"/>
        <v>1104.5654999999999</v>
      </c>
      <c r="Q333" s="6">
        <f t="shared" si="26"/>
        <v>20986.744500000001</v>
      </c>
      <c r="R333" s="2" t="str">
        <f t="shared" si="28"/>
        <v>High</v>
      </c>
      <c r="S333" s="2" t="str" cm="1">
        <f t="array" ref="S333">_xlfn.IFS(L333&gt;=8,"High",L333&gt;=5,"Medium",L333&lt;5,"Low")</f>
        <v>High</v>
      </c>
      <c r="T333" s="2" t="str">
        <f t="shared" si="29"/>
        <v>Low</v>
      </c>
    </row>
    <row r="334" spans="1:20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f t="shared" si="27"/>
        <v>13484.22</v>
      </c>
      <c r="O334" s="5">
        <v>15</v>
      </c>
      <c r="P334" s="6">
        <f t="shared" si="25"/>
        <v>2022.6329999999998</v>
      </c>
      <c r="Q334" s="6">
        <f t="shared" si="26"/>
        <v>11461.587</v>
      </c>
      <c r="R334" s="2" t="str">
        <f t="shared" si="28"/>
        <v>High</v>
      </c>
      <c r="S334" s="2" t="str" cm="1">
        <f t="array" ref="S334">_xlfn.IFS(L334&gt;=8,"High",L334&gt;=5,"Medium",L334&lt;5,"Low")</f>
        <v>Medium</v>
      </c>
      <c r="T334" s="2" t="str">
        <f t="shared" si="29"/>
        <v>Medium</v>
      </c>
    </row>
    <row r="335" spans="1:20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f t="shared" si="27"/>
        <v>3498.88</v>
      </c>
      <c r="O335" s="5">
        <v>20</v>
      </c>
      <c r="P335" s="6">
        <f t="shared" si="25"/>
        <v>699.77600000000007</v>
      </c>
      <c r="Q335" s="6">
        <f t="shared" si="26"/>
        <v>2799.1040000000003</v>
      </c>
      <c r="R335" s="2" t="str">
        <f t="shared" si="28"/>
        <v>Low</v>
      </c>
      <c r="S335" s="2" t="str" cm="1">
        <f t="array" ref="S335">_xlfn.IFS(L335&gt;=8,"High",L335&gt;=5,"Medium",L335&lt;5,"Low")</f>
        <v>High</v>
      </c>
      <c r="T335" s="2" t="str">
        <f t="shared" si="29"/>
        <v>Low</v>
      </c>
    </row>
    <row r="336" spans="1:20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f t="shared" si="27"/>
        <v>10934.34</v>
      </c>
      <c r="O336" s="5">
        <v>0</v>
      </c>
      <c r="P336" s="6">
        <f t="shared" si="25"/>
        <v>0</v>
      </c>
      <c r="Q336" s="6">
        <f t="shared" si="26"/>
        <v>10934.34</v>
      </c>
      <c r="R336" s="2" t="str">
        <f t="shared" si="28"/>
        <v>High</v>
      </c>
      <c r="S336" s="2" t="str" cm="1">
        <f t="array" ref="S336">_xlfn.IFS(L336&gt;=8,"High",L336&gt;=5,"Medium",L336&lt;5,"Low")</f>
        <v>Low</v>
      </c>
      <c r="T336" s="2" t="str">
        <f t="shared" si="29"/>
        <v>Low</v>
      </c>
    </row>
    <row r="337" spans="1:20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f t="shared" si="27"/>
        <v>11960.34</v>
      </c>
      <c r="O337" s="5">
        <v>20</v>
      </c>
      <c r="P337" s="6">
        <f t="shared" si="25"/>
        <v>2392.0679999999998</v>
      </c>
      <c r="Q337" s="6">
        <f t="shared" si="26"/>
        <v>9568.2720000000008</v>
      </c>
      <c r="R337" s="2" t="str">
        <f t="shared" si="28"/>
        <v>Low</v>
      </c>
      <c r="S337" s="2" t="str" cm="1">
        <f t="array" ref="S337">_xlfn.IFS(L337&gt;=8,"High",L337&gt;=5,"Medium",L337&lt;5,"Low")</f>
        <v>Low</v>
      </c>
      <c r="T337" s="2" t="str">
        <f t="shared" si="29"/>
        <v>Medium</v>
      </c>
    </row>
    <row r="338" spans="1:20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f t="shared" si="27"/>
        <v>15581.099999999999</v>
      </c>
      <c r="O338" s="5">
        <v>10</v>
      </c>
      <c r="P338" s="6">
        <f t="shared" si="25"/>
        <v>1558.11</v>
      </c>
      <c r="Q338" s="6">
        <f t="shared" si="26"/>
        <v>14022.989999999998</v>
      </c>
      <c r="R338" s="2" t="str">
        <f t="shared" si="28"/>
        <v>High</v>
      </c>
      <c r="S338" s="2" t="str" cm="1">
        <f t="array" ref="S338">_xlfn.IFS(L338&gt;=8,"High",L338&gt;=5,"Medium",L338&lt;5,"Low")</f>
        <v>Medium</v>
      </c>
      <c r="T338" s="2" t="str">
        <f t="shared" si="29"/>
        <v>Medium</v>
      </c>
    </row>
    <row r="339" spans="1:20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f t="shared" si="27"/>
        <v>4345.8599999999997</v>
      </c>
      <c r="O339" s="5">
        <v>10</v>
      </c>
      <c r="P339" s="6">
        <f t="shared" si="25"/>
        <v>434.58600000000001</v>
      </c>
      <c r="Q339" s="6">
        <f t="shared" si="26"/>
        <v>3911.2739999999994</v>
      </c>
      <c r="R339" s="2" t="str">
        <f t="shared" si="28"/>
        <v>Low</v>
      </c>
      <c r="S339" s="2" t="str" cm="1">
        <f t="array" ref="S339">_xlfn.IFS(L339&gt;=8,"High",L339&gt;=5,"Medium",L339&lt;5,"Low")</f>
        <v>Low</v>
      </c>
      <c r="T339" s="2" t="str">
        <f t="shared" si="29"/>
        <v>Low</v>
      </c>
    </row>
    <row r="340" spans="1:20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f t="shared" si="27"/>
        <v>3775.07</v>
      </c>
      <c r="O340" s="5">
        <v>10</v>
      </c>
      <c r="P340" s="6">
        <f t="shared" si="25"/>
        <v>377.50700000000006</v>
      </c>
      <c r="Q340" s="6">
        <f t="shared" si="26"/>
        <v>3397.5630000000001</v>
      </c>
      <c r="R340" s="2" t="str">
        <f t="shared" si="28"/>
        <v>Low</v>
      </c>
      <c r="S340" s="2" t="str" cm="1">
        <f t="array" ref="S340">_xlfn.IFS(L340&gt;=8,"High",L340&gt;=5,"Medium",L340&lt;5,"Low")</f>
        <v>Low</v>
      </c>
      <c r="T340" s="2" t="str">
        <f t="shared" si="29"/>
        <v>Low</v>
      </c>
    </row>
    <row r="341" spans="1:20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f t="shared" si="27"/>
        <v>6568.2000000000007</v>
      </c>
      <c r="O341" s="5">
        <v>20</v>
      </c>
      <c r="P341" s="6">
        <f t="shared" si="25"/>
        <v>1313.64</v>
      </c>
      <c r="Q341" s="6">
        <f t="shared" si="26"/>
        <v>5254.56</v>
      </c>
      <c r="R341" s="2" t="str">
        <f t="shared" si="28"/>
        <v>Low</v>
      </c>
      <c r="S341" s="2" t="str" cm="1">
        <f t="array" ref="S341">_xlfn.IFS(L341&gt;=8,"High",L341&gt;=5,"Medium",L341&lt;5,"Low")</f>
        <v>Low</v>
      </c>
      <c r="T341" s="2" t="str">
        <f t="shared" si="29"/>
        <v>Low</v>
      </c>
    </row>
    <row r="342" spans="1:20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f t="shared" si="27"/>
        <v>26727.3</v>
      </c>
      <c r="O342" s="5">
        <v>10</v>
      </c>
      <c r="P342" s="6">
        <f t="shared" si="25"/>
        <v>2672.73</v>
      </c>
      <c r="Q342" s="6">
        <f t="shared" si="26"/>
        <v>24054.57</v>
      </c>
      <c r="R342" s="2" t="str">
        <f t="shared" si="28"/>
        <v>High</v>
      </c>
      <c r="S342" s="2" t="str" cm="1">
        <f t="array" ref="S342">_xlfn.IFS(L342&gt;=8,"High",L342&gt;=5,"Medium",L342&lt;5,"Low")</f>
        <v>High</v>
      </c>
      <c r="T342" s="2" t="str">
        <f t="shared" si="29"/>
        <v>Medium</v>
      </c>
    </row>
    <row r="343" spans="1:20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f t="shared" si="27"/>
        <v>7808.88</v>
      </c>
      <c r="O343" s="5">
        <v>10</v>
      </c>
      <c r="P343" s="6">
        <f t="shared" si="25"/>
        <v>780.88800000000003</v>
      </c>
      <c r="Q343" s="6">
        <f t="shared" si="26"/>
        <v>7027.9920000000002</v>
      </c>
      <c r="R343" s="2" t="str">
        <f t="shared" si="28"/>
        <v>Low</v>
      </c>
      <c r="S343" s="2" t="str" cm="1">
        <f t="array" ref="S343">_xlfn.IFS(L343&gt;=8,"High",L343&gt;=5,"Medium",L343&lt;5,"Low")</f>
        <v>Low</v>
      </c>
      <c r="T343" s="2" t="str">
        <f t="shared" si="29"/>
        <v>Low</v>
      </c>
    </row>
    <row r="344" spans="1:20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f t="shared" si="27"/>
        <v>15484.84</v>
      </c>
      <c r="O344" s="5">
        <v>10</v>
      </c>
      <c r="P344" s="6">
        <f t="shared" si="25"/>
        <v>1548.4839999999999</v>
      </c>
      <c r="Q344" s="6">
        <f t="shared" si="26"/>
        <v>13936.356</v>
      </c>
      <c r="R344" s="2" t="str">
        <f t="shared" si="28"/>
        <v>High</v>
      </c>
      <c r="S344" s="2" t="str" cm="1">
        <f t="array" ref="S344">_xlfn.IFS(L344&gt;=8,"High",L344&gt;=5,"Medium",L344&lt;5,"Low")</f>
        <v>Low</v>
      </c>
      <c r="T344" s="2" t="str">
        <f t="shared" si="29"/>
        <v>Medium</v>
      </c>
    </row>
    <row r="345" spans="1:20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f t="shared" si="27"/>
        <v>17977.82</v>
      </c>
      <c r="O345" s="5">
        <v>10</v>
      </c>
      <c r="P345" s="6">
        <f t="shared" si="25"/>
        <v>1797.7820000000002</v>
      </c>
      <c r="Q345" s="6">
        <f t="shared" si="26"/>
        <v>16180.038</v>
      </c>
      <c r="R345" s="2" t="str">
        <f t="shared" si="28"/>
        <v>High</v>
      </c>
      <c r="S345" s="2" t="str" cm="1">
        <f t="array" ref="S345">_xlfn.IFS(L345&gt;=8,"High",L345&gt;=5,"Medium",L345&lt;5,"Low")</f>
        <v>Medium</v>
      </c>
      <c r="T345" s="2" t="str">
        <f t="shared" si="29"/>
        <v>Medium</v>
      </c>
    </row>
    <row r="346" spans="1:20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f t="shared" si="27"/>
        <v>1574.59</v>
      </c>
      <c r="O346" s="5">
        <v>5</v>
      </c>
      <c r="P346" s="6">
        <f t="shared" si="25"/>
        <v>78.729500000000002</v>
      </c>
      <c r="Q346" s="6">
        <f t="shared" si="26"/>
        <v>1495.8605</v>
      </c>
      <c r="R346" s="2" t="str">
        <f t="shared" si="28"/>
        <v>Low</v>
      </c>
      <c r="S346" s="2" t="str" cm="1">
        <f t="array" ref="S346">_xlfn.IFS(L346&gt;=8,"High",L346&gt;=5,"Medium",L346&lt;5,"Low")</f>
        <v>Low</v>
      </c>
      <c r="T346" s="2" t="str">
        <f t="shared" si="29"/>
        <v>Low</v>
      </c>
    </row>
    <row r="347" spans="1:20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f t="shared" si="27"/>
        <v>28724.04</v>
      </c>
      <c r="O347" s="5">
        <v>20</v>
      </c>
      <c r="P347" s="6">
        <f t="shared" si="25"/>
        <v>5744.8080000000009</v>
      </c>
      <c r="Q347" s="6">
        <f t="shared" si="26"/>
        <v>22979.232</v>
      </c>
      <c r="R347" s="2" t="str">
        <f t="shared" si="28"/>
        <v>High</v>
      </c>
      <c r="S347" s="2" t="str" cm="1">
        <f t="array" ref="S347">_xlfn.IFS(L347&gt;=8,"High",L347&gt;=5,"Medium",L347&lt;5,"Low")</f>
        <v>High</v>
      </c>
      <c r="T347" s="2" t="str">
        <f t="shared" si="29"/>
        <v>High</v>
      </c>
    </row>
    <row r="348" spans="1:20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f t="shared" si="27"/>
        <v>2748.46</v>
      </c>
      <c r="O348" s="5">
        <v>0</v>
      </c>
      <c r="P348" s="6">
        <f t="shared" si="25"/>
        <v>0</v>
      </c>
      <c r="Q348" s="6">
        <f t="shared" si="26"/>
        <v>2748.46</v>
      </c>
      <c r="R348" s="2" t="str">
        <f t="shared" si="28"/>
        <v>Low</v>
      </c>
      <c r="S348" s="2" t="str" cm="1">
        <f t="array" ref="S348">_xlfn.IFS(L348&gt;=8,"High",L348&gt;=5,"Medium",L348&lt;5,"Low")</f>
        <v>Low</v>
      </c>
      <c r="T348" s="2" t="str">
        <f t="shared" si="29"/>
        <v>Low</v>
      </c>
    </row>
    <row r="349" spans="1:20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f t="shared" si="27"/>
        <v>7403.3</v>
      </c>
      <c r="O349" s="5">
        <v>0</v>
      </c>
      <c r="P349" s="6">
        <f t="shared" si="25"/>
        <v>0</v>
      </c>
      <c r="Q349" s="6">
        <f t="shared" si="26"/>
        <v>7403.3</v>
      </c>
      <c r="R349" s="2" t="str">
        <f t="shared" si="28"/>
        <v>Low</v>
      </c>
      <c r="S349" s="2" t="str" cm="1">
        <f t="array" ref="S349">_xlfn.IFS(L349&gt;=8,"High",L349&gt;=5,"Medium",L349&lt;5,"Low")</f>
        <v>Medium</v>
      </c>
      <c r="T349" s="2" t="str">
        <f t="shared" si="29"/>
        <v>Low</v>
      </c>
    </row>
    <row r="350" spans="1:20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f t="shared" si="27"/>
        <v>445.38</v>
      </c>
      <c r="O350" s="5">
        <v>10</v>
      </c>
      <c r="P350" s="6">
        <f t="shared" si="25"/>
        <v>44.538000000000004</v>
      </c>
      <c r="Q350" s="6">
        <f t="shared" si="26"/>
        <v>400.84199999999998</v>
      </c>
      <c r="R350" s="2" t="str">
        <f t="shared" si="28"/>
        <v>Low</v>
      </c>
      <c r="S350" s="2" t="str" cm="1">
        <f t="array" ref="S350">_xlfn.IFS(L350&gt;=8,"High",L350&gt;=5,"Medium",L350&lt;5,"Low")</f>
        <v>Low</v>
      </c>
      <c r="T350" s="2" t="str">
        <f t="shared" si="29"/>
        <v>Low</v>
      </c>
    </row>
    <row r="351" spans="1:20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f t="shared" si="27"/>
        <v>10361.6</v>
      </c>
      <c r="O351" s="5">
        <v>15</v>
      </c>
      <c r="P351" s="6">
        <f t="shared" si="25"/>
        <v>1554.24</v>
      </c>
      <c r="Q351" s="6">
        <f t="shared" si="26"/>
        <v>8807.36</v>
      </c>
      <c r="R351" s="2" t="str">
        <f t="shared" si="28"/>
        <v>Low</v>
      </c>
      <c r="S351" s="2" t="str" cm="1">
        <f t="array" ref="S351">_xlfn.IFS(L351&gt;=8,"High",L351&gt;=5,"Medium",L351&lt;5,"Low")</f>
        <v>Medium</v>
      </c>
      <c r="T351" s="2" t="str">
        <f t="shared" si="29"/>
        <v>Medium</v>
      </c>
    </row>
    <row r="352" spans="1:20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f t="shared" si="27"/>
        <v>559.4</v>
      </c>
      <c r="O352" s="5">
        <v>20</v>
      </c>
      <c r="P352" s="6">
        <f t="shared" si="25"/>
        <v>111.88</v>
      </c>
      <c r="Q352" s="6">
        <f t="shared" si="26"/>
        <v>447.52</v>
      </c>
      <c r="R352" s="2" t="str">
        <f t="shared" si="28"/>
        <v>Low</v>
      </c>
      <c r="S352" s="2" t="str" cm="1">
        <f t="array" ref="S352">_xlfn.IFS(L352&gt;=8,"High",L352&gt;=5,"Medium",L352&lt;5,"Low")</f>
        <v>Low</v>
      </c>
      <c r="T352" s="2" t="str">
        <f t="shared" si="29"/>
        <v>Low</v>
      </c>
    </row>
    <row r="353" spans="1:20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f t="shared" si="27"/>
        <v>2357.7600000000002</v>
      </c>
      <c r="O353" s="5">
        <v>20</v>
      </c>
      <c r="P353" s="6">
        <f t="shared" si="25"/>
        <v>471.55200000000002</v>
      </c>
      <c r="Q353" s="6">
        <f t="shared" si="26"/>
        <v>1886.2080000000001</v>
      </c>
      <c r="R353" s="2" t="str">
        <f t="shared" si="28"/>
        <v>Low</v>
      </c>
      <c r="S353" s="2" t="str" cm="1">
        <f t="array" ref="S353">_xlfn.IFS(L353&gt;=8,"High",L353&gt;=5,"Medium",L353&lt;5,"Low")</f>
        <v>Low</v>
      </c>
      <c r="T353" s="2" t="str">
        <f t="shared" si="29"/>
        <v>Low</v>
      </c>
    </row>
    <row r="354" spans="1:20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f t="shared" si="27"/>
        <v>22638.239999999998</v>
      </c>
      <c r="O354" s="5">
        <v>0</v>
      </c>
      <c r="P354" s="6">
        <f t="shared" si="25"/>
        <v>0</v>
      </c>
      <c r="Q354" s="6">
        <f t="shared" si="26"/>
        <v>22638.239999999998</v>
      </c>
      <c r="R354" s="2" t="str">
        <f t="shared" si="28"/>
        <v>High</v>
      </c>
      <c r="S354" s="2" t="str" cm="1">
        <f t="array" ref="S354">_xlfn.IFS(L354&gt;=8,"High",L354&gt;=5,"Medium",L354&lt;5,"Low")</f>
        <v>Medium</v>
      </c>
      <c r="T354" s="2" t="str">
        <f t="shared" si="29"/>
        <v>Low</v>
      </c>
    </row>
    <row r="355" spans="1:20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f t="shared" si="27"/>
        <v>17014.77</v>
      </c>
      <c r="O355" s="5">
        <v>15</v>
      </c>
      <c r="P355" s="6">
        <f t="shared" si="25"/>
        <v>2552.2155000000002</v>
      </c>
      <c r="Q355" s="6">
        <f t="shared" si="26"/>
        <v>14462.5545</v>
      </c>
      <c r="R355" s="2" t="str">
        <f t="shared" si="28"/>
        <v>High</v>
      </c>
      <c r="S355" s="2" t="str" cm="1">
        <f t="array" ref="S355">_xlfn.IFS(L355&gt;=8,"High",L355&gt;=5,"Medium",L355&lt;5,"Low")</f>
        <v>High</v>
      </c>
      <c r="T355" s="2" t="str">
        <f t="shared" si="29"/>
        <v>Medium</v>
      </c>
    </row>
    <row r="356" spans="1:20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f t="shared" si="27"/>
        <v>1205.76</v>
      </c>
      <c r="O356" s="5">
        <v>5</v>
      </c>
      <c r="P356" s="6">
        <f t="shared" si="25"/>
        <v>60.288000000000004</v>
      </c>
      <c r="Q356" s="6">
        <f t="shared" si="26"/>
        <v>1145.472</v>
      </c>
      <c r="R356" s="2" t="str">
        <f t="shared" si="28"/>
        <v>Low</v>
      </c>
      <c r="S356" s="2" t="str" cm="1">
        <f t="array" ref="S356">_xlfn.IFS(L356&gt;=8,"High",L356&gt;=5,"Medium",L356&lt;5,"Low")</f>
        <v>High</v>
      </c>
      <c r="T356" s="2" t="str">
        <f t="shared" si="29"/>
        <v>Low</v>
      </c>
    </row>
    <row r="357" spans="1:20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f t="shared" si="27"/>
        <v>12616.25</v>
      </c>
      <c r="O357" s="5">
        <v>10</v>
      </c>
      <c r="P357" s="6">
        <f t="shared" si="25"/>
        <v>1261.625</v>
      </c>
      <c r="Q357" s="6">
        <f t="shared" si="26"/>
        <v>11354.625</v>
      </c>
      <c r="R357" s="2" t="str">
        <f t="shared" si="28"/>
        <v>High</v>
      </c>
      <c r="S357" s="2" t="str" cm="1">
        <f t="array" ref="S357">_xlfn.IFS(L357&gt;=8,"High",L357&gt;=5,"Medium",L357&lt;5,"Low")</f>
        <v>Medium</v>
      </c>
      <c r="T357" s="2" t="str">
        <f t="shared" si="29"/>
        <v>Low</v>
      </c>
    </row>
    <row r="358" spans="1:20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f t="shared" si="27"/>
        <v>5070</v>
      </c>
      <c r="O358" s="5">
        <v>15</v>
      </c>
      <c r="P358" s="6">
        <f t="shared" si="25"/>
        <v>760.5</v>
      </c>
      <c r="Q358" s="6">
        <f t="shared" si="26"/>
        <v>4309.5</v>
      </c>
      <c r="R358" s="2" t="str">
        <f t="shared" si="28"/>
        <v>Low</v>
      </c>
      <c r="S358" s="2" t="str" cm="1">
        <f t="array" ref="S358">_xlfn.IFS(L358&gt;=8,"High",L358&gt;=5,"Medium",L358&lt;5,"Low")</f>
        <v>Medium</v>
      </c>
      <c r="T358" s="2" t="str">
        <f t="shared" si="29"/>
        <v>Low</v>
      </c>
    </row>
    <row r="359" spans="1:20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f t="shared" si="27"/>
        <v>9284.08</v>
      </c>
      <c r="O359" s="5">
        <v>0</v>
      </c>
      <c r="P359" s="6">
        <f t="shared" si="25"/>
        <v>0</v>
      </c>
      <c r="Q359" s="6">
        <f t="shared" si="26"/>
        <v>9284.08</v>
      </c>
      <c r="R359" s="2" t="str">
        <f t="shared" si="28"/>
        <v>Low</v>
      </c>
      <c r="S359" s="2" t="str" cm="1">
        <f t="array" ref="S359">_xlfn.IFS(L359&gt;=8,"High",L359&gt;=5,"Medium",L359&lt;5,"Low")</f>
        <v>High</v>
      </c>
      <c r="T359" s="2" t="str">
        <f t="shared" si="29"/>
        <v>Low</v>
      </c>
    </row>
    <row r="360" spans="1:20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f t="shared" si="27"/>
        <v>15205.679999999998</v>
      </c>
      <c r="O360" s="5">
        <v>20</v>
      </c>
      <c r="P360" s="6">
        <f t="shared" si="25"/>
        <v>3041.136</v>
      </c>
      <c r="Q360" s="6">
        <f t="shared" si="26"/>
        <v>12164.543999999998</v>
      </c>
      <c r="R360" s="2" t="str">
        <f t="shared" si="28"/>
        <v>High</v>
      </c>
      <c r="S360" s="2" t="str" cm="1">
        <f t="array" ref="S360">_xlfn.IFS(L360&gt;=8,"High",L360&gt;=5,"Medium",L360&lt;5,"Low")</f>
        <v>Medium</v>
      </c>
      <c r="T360" s="2" t="str">
        <f t="shared" si="29"/>
        <v>High</v>
      </c>
    </row>
    <row r="361" spans="1:20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f t="shared" si="27"/>
        <v>2589.6799999999998</v>
      </c>
      <c r="O361" s="5">
        <v>15</v>
      </c>
      <c r="P361" s="6">
        <f t="shared" si="25"/>
        <v>388.452</v>
      </c>
      <c r="Q361" s="6">
        <f t="shared" si="26"/>
        <v>2201.2280000000001</v>
      </c>
      <c r="R361" s="2" t="str">
        <f t="shared" si="28"/>
        <v>Low</v>
      </c>
      <c r="S361" s="2" t="str" cm="1">
        <f t="array" ref="S361">_xlfn.IFS(L361&gt;=8,"High",L361&gt;=5,"Medium",L361&lt;5,"Low")</f>
        <v>Low</v>
      </c>
      <c r="T361" s="2" t="str">
        <f t="shared" si="29"/>
        <v>Low</v>
      </c>
    </row>
    <row r="362" spans="1:20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f t="shared" si="27"/>
        <v>6981.93</v>
      </c>
      <c r="O362" s="5">
        <v>0</v>
      </c>
      <c r="P362" s="6">
        <f t="shared" si="25"/>
        <v>0</v>
      </c>
      <c r="Q362" s="6">
        <f t="shared" si="26"/>
        <v>6981.93</v>
      </c>
      <c r="R362" s="2" t="str">
        <f t="shared" si="28"/>
        <v>Low</v>
      </c>
      <c r="S362" s="2" t="str" cm="1">
        <f t="array" ref="S362">_xlfn.IFS(L362&gt;=8,"High",L362&gt;=5,"Medium",L362&lt;5,"Low")</f>
        <v>High</v>
      </c>
      <c r="T362" s="2" t="str">
        <f t="shared" si="29"/>
        <v>Low</v>
      </c>
    </row>
    <row r="363" spans="1:20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f t="shared" si="27"/>
        <v>11004.56</v>
      </c>
      <c r="O363" s="5">
        <v>20</v>
      </c>
      <c r="P363" s="6">
        <f t="shared" si="25"/>
        <v>2200.9119999999998</v>
      </c>
      <c r="Q363" s="6">
        <f t="shared" si="26"/>
        <v>8803.6479999999992</v>
      </c>
      <c r="R363" s="2" t="str">
        <f t="shared" si="28"/>
        <v>Low</v>
      </c>
      <c r="S363" s="2" t="str" cm="1">
        <f t="array" ref="S363">_xlfn.IFS(L363&gt;=8,"High",L363&gt;=5,"Medium",L363&lt;5,"Low")</f>
        <v>Low</v>
      </c>
      <c r="T363" s="2" t="str">
        <f t="shared" si="29"/>
        <v>Medium</v>
      </c>
    </row>
    <row r="364" spans="1:20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f t="shared" si="27"/>
        <v>20295.04</v>
      </c>
      <c r="O364" s="5">
        <v>5</v>
      </c>
      <c r="P364" s="6">
        <f t="shared" si="25"/>
        <v>1014.7520000000001</v>
      </c>
      <c r="Q364" s="6">
        <f t="shared" si="26"/>
        <v>19280.288</v>
      </c>
      <c r="R364" s="2" t="str">
        <f t="shared" si="28"/>
        <v>High</v>
      </c>
      <c r="S364" s="2" t="str" cm="1">
        <f t="array" ref="S364">_xlfn.IFS(L364&gt;=8,"High",L364&gt;=5,"Medium",L364&lt;5,"Low")</f>
        <v>High</v>
      </c>
      <c r="T364" s="2" t="str">
        <f t="shared" si="29"/>
        <v>Low</v>
      </c>
    </row>
    <row r="365" spans="1:20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f t="shared" si="27"/>
        <v>19866.419999999998</v>
      </c>
      <c r="O365" s="5">
        <v>20</v>
      </c>
      <c r="P365" s="6">
        <f t="shared" si="25"/>
        <v>3973.2839999999997</v>
      </c>
      <c r="Q365" s="6">
        <f t="shared" si="26"/>
        <v>15893.135999999999</v>
      </c>
      <c r="R365" s="2" t="str">
        <f t="shared" si="28"/>
        <v>High</v>
      </c>
      <c r="S365" s="2" t="str" cm="1">
        <f t="array" ref="S365">_xlfn.IFS(L365&gt;=8,"High",L365&gt;=5,"Medium",L365&lt;5,"Low")</f>
        <v>Medium</v>
      </c>
      <c r="T365" s="2" t="str">
        <f t="shared" si="29"/>
        <v>High</v>
      </c>
    </row>
    <row r="366" spans="1:20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f t="shared" si="27"/>
        <v>4887.1499999999996</v>
      </c>
      <c r="O366" s="5">
        <v>20</v>
      </c>
      <c r="P366" s="6">
        <f t="shared" si="25"/>
        <v>977.43</v>
      </c>
      <c r="Q366" s="6">
        <f t="shared" si="26"/>
        <v>3909.72</v>
      </c>
      <c r="R366" s="2" t="str">
        <f t="shared" si="28"/>
        <v>Low</v>
      </c>
      <c r="S366" s="2" t="str" cm="1">
        <f t="array" ref="S366">_xlfn.IFS(L366&gt;=8,"High",L366&gt;=5,"Medium",L366&lt;5,"Low")</f>
        <v>Medium</v>
      </c>
      <c r="T366" s="2" t="str">
        <f t="shared" si="29"/>
        <v>Low</v>
      </c>
    </row>
    <row r="367" spans="1:20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f t="shared" si="27"/>
        <v>10850.21</v>
      </c>
      <c r="O367" s="5">
        <v>10</v>
      </c>
      <c r="P367" s="6">
        <f t="shared" si="25"/>
        <v>1085.021</v>
      </c>
      <c r="Q367" s="6">
        <f t="shared" si="26"/>
        <v>9765.1889999999985</v>
      </c>
      <c r="R367" s="2" t="str">
        <f t="shared" si="28"/>
        <v>Low</v>
      </c>
      <c r="S367" s="2" t="str" cm="1">
        <f t="array" ref="S367">_xlfn.IFS(L367&gt;=8,"High",L367&gt;=5,"Medium",L367&lt;5,"Low")</f>
        <v>Medium</v>
      </c>
      <c r="T367" s="2" t="str">
        <f t="shared" si="29"/>
        <v>Low</v>
      </c>
    </row>
    <row r="368" spans="1:20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f t="shared" si="27"/>
        <v>2647.9500000000003</v>
      </c>
      <c r="O368" s="5">
        <v>5</v>
      </c>
      <c r="P368" s="6">
        <f t="shared" si="25"/>
        <v>132.39750000000001</v>
      </c>
      <c r="Q368" s="6">
        <f t="shared" si="26"/>
        <v>2515.5525000000002</v>
      </c>
      <c r="R368" s="2" t="str">
        <f t="shared" si="28"/>
        <v>Low</v>
      </c>
      <c r="S368" s="2" t="str" cm="1">
        <f t="array" ref="S368">_xlfn.IFS(L368&gt;=8,"High",L368&gt;=5,"Medium",L368&lt;5,"Low")</f>
        <v>Medium</v>
      </c>
      <c r="T368" s="2" t="str">
        <f t="shared" si="29"/>
        <v>Low</v>
      </c>
    </row>
    <row r="369" spans="1:20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f t="shared" si="27"/>
        <v>4787.5200000000004</v>
      </c>
      <c r="O369" s="5">
        <v>0</v>
      </c>
      <c r="P369" s="6">
        <f t="shared" si="25"/>
        <v>0</v>
      </c>
      <c r="Q369" s="6">
        <f t="shared" si="26"/>
        <v>4787.5200000000004</v>
      </c>
      <c r="R369" s="2" t="str">
        <f t="shared" si="28"/>
        <v>Low</v>
      </c>
      <c r="S369" s="2" t="str" cm="1">
        <f t="array" ref="S369">_xlfn.IFS(L369&gt;=8,"High",L369&gt;=5,"Medium",L369&lt;5,"Low")</f>
        <v>High</v>
      </c>
      <c r="T369" s="2" t="str">
        <f t="shared" si="29"/>
        <v>Low</v>
      </c>
    </row>
    <row r="370" spans="1:20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f t="shared" si="27"/>
        <v>6773.4600000000009</v>
      </c>
      <c r="O370" s="5">
        <v>20</v>
      </c>
      <c r="P370" s="6">
        <f t="shared" si="25"/>
        <v>1354.692</v>
      </c>
      <c r="Q370" s="6">
        <f t="shared" si="26"/>
        <v>5418.7680000000009</v>
      </c>
      <c r="R370" s="2" t="str">
        <f t="shared" si="28"/>
        <v>Low</v>
      </c>
      <c r="S370" s="2" t="str" cm="1">
        <f t="array" ref="S370">_xlfn.IFS(L370&gt;=8,"High",L370&gt;=5,"Medium",L370&lt;5,"Low")</f>
        <v>Medium</v>
      </c>
      <c r="T370" s="2" t="str">
        <f t="shared" si="29"/>
        <v>Low</v>
      </c>
    </row>
    <row r="371" spans="1:20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f t="shared" si="27"/>
        <v>6437.75</v>
      </c>
      <c r="O371" s="5">
        <v>0</v>
      </c>
      <c r="P371" s="6">
        <f t="shared" si="25"/>
        <v>0</v>
      </c>
      <c r="Q371" s="6">
        <f t="shared" si="26"/>
        <v>6437.75</v>
      </c>
      <c r="R371" s="2" t="str">
        <f t="shared" si="28"/>
        <v>Low</v>
      </c>
      <c r="S371" s="2" t="str" cm="1">
        <f t="array" ref="S371">_xlfn.IFS(L371&gt;=8,"High",L371&gt;=5,"Medium",L371&lt;5,"Low")</f>
        <v>Medium</v>
      </c>
      <c r="T371" s="2" t="str">
        <f t="shared" si="29"/>
        <v>Low</v>
      </c>
    </row>
    <row r="372" spans="1:20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f t="shared" si="27"/>
        <v>19713.509999999998</v>
      </c>
      <c r="O372" s="5">
        <v>20</v>
      </c>
      <c r="P372" s="6">
        <f t="shared" si="25"/>
        <v>3942.7019999999993</v>
      </c>
      <c r="Q372" s="6">
        <f t="shared" si="26"/>
        <v>15770.807999999999</v>
      </c>
      <c r="R372" s="2" t="str">
        <f t="shared" si="28"/>
        <v>High</v>
      </c>
      <c r="S372" s="2" t="str" cm="1">
        <f t="array" ref="S372">_xlfn.IFS(L372&gt;=8,"High",L372&gt;=5,"Medium",L372&lt;5,"Low")</f>
        <v>High</v>
      </c>
      <c r="T372" s="2" t="str">
        <f t="shared" si="29"/>
        <v>High</v>
      </c>
    </row>
    <row r="373" spans="1:20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f t="shared" si="27"/>
        <v>2432.17</v>
      </c>
      <c r="O373" s="5">
        <v>20</v>
      </c>
      <c r="P373" s="6">
        <f t="shared" si="25"/>
        <v>486.43400000000003</v>
      </c>
      <c r="Q373" s="6">
        <f t="shared" si="26"/>
        <v>1945.7360000000001</v>
      </c>
      <c r="R373" s="2" t="str">
        <f t="shared" si="28"/>
        <v>Low</v>
      </c>
      <c r="S373" s="2" t="str" cm="1">
        <f t="array" ref="S373">_xlfn.IFS(L373&gt;=8,"High",L373&gt;=5,"Medium",L373&lt;5,"Low")</f>
        <v>Low</v>
      </c>
      <c r="T373" s="2" t="str">
        <f t="shared" si="29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C1E1-0033-4586-BCA6-5841B0A41612}">
  <dimension ref="A1:AC481"/>
  <sheetViews>
    <sheetView workbookViewId="0">
      <selection activeCell="D9"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5" max="15" width="8" bestFit="1" customWidth="1"/>
    <col min="16" max="16" width="11.33203125" bestFit="1" customWidth="1"/>
    <col min="17" max="17" width="12.5546875" bestFit="1" customWidth="1"/>
    <col min="18" max="19" width="10.33203125" bestFit="1" customWidth="1"/>
    <col min="20" max="20" width="11.44140625" bestFit="1" customWidth="1"/>
    <col min="21" max="21" width="12.5546875" bestFit="1" customWidth="1"/>
    <col min="22" max="22" width="15.88671875" bestFit="1" customWidth="1"/>
    <col min="23" max="23" width="15.77734375" bestFit="1" customWidth="1"/>
    <col min="24" max="24" width="13.21875" bestFit="1" customWidth="1"/>
    <col min="25" max="25" width="7" bestFit="1" customWidth="1"/>
    <col min="26" max="26" width="9.44140625" bestFit="1" customWidth="1"/>
    <col min="27" max="27" width="9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  <c r="O2" s="1" t="s">
        <v>4</v>
      </c>
      <c r="Q2" s="1" t="s">
        <v>6</v>
      </c>
      <c r="S2" s="1" t="s">
        <v>12</v>
      </c>
    </row>
    <row r="3" spans="1:27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O3" s="2" t="s">
        <v>40</v>
      </c>
      <c r="Q3" s="2" t="s">
        <v>20</v>
      </c>
      <c r="S3" s="2" t="s">
        <v>135</v>
      </c>
    </row>
    <row r="4" spans="1:27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</row>
    <row r="5" spans="1:27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</row>
    <row r="6" spans="1:27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 t="s">
        <v>33</v>
      </c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</row>
    <row r="7" spans="1:27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</row>
    <row r="8" spans="1:27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  <c r="O8" s="1" t="s">
        <v>0</v>
      </c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  <c r="V8" s="1" t="s">
        <v>7</v>
      </c>
      <c r="W8" s="1" t="s">
        <v>8</v>
      </c>
      <c r="X8" s="1" t="s">
        <v>9</v>
      </c>
      <c r="Y8" s="1" t="s">
        <v>10</v>
      </c>
      <c r="Z8" s="1" t="s">
        <v>11</v>
      </c>
      <c r="AA8" s="1" t="s">
        <v>12</v>
      </c>
    </row>
    <row r="9" spans="1:27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  <c r="O9" s="2">
        <v>10102</v>
      </c>
      <c r="P9" s="2">
        <v>1161</v>
      </c>
      <c r="Q9" s="3">
        <v>44996</v>
      </c>
      <c r="R9" s="3">
        <v>45002</v>
      </c>
      <c r="S9" s="2" t="s">
        <v>40</v>
      </c>
      <c r="T9" s="13" t="s">
        <v>57</v>
      </c>
      <c r="U9" s="2" t="s">
        <v>33</v>
      </c>
      <c r="V9" s="2" t="s">
        <v>28</v>
      </c>
      <c r="W9" s="2" t="s">
        <v>34</v>
      </c>
      <c r="X9" s="2" t="s">
        <v>42</v>
      </c>
      <c r="Y9" s="2" t="s">
        <v>24</v>
      </c>
      <c r="Z9" s="2">
        <v>2</v>
      </c>
      <c r="AA9" s="2">
        <v>1859.03</v>
      </c>
    </row>
    <row r="10" spans="1:2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  <c r="O10" s="2">
        <v>10027</v>
      </c>
      <c r="P10" s="2">
        <v>1805</v>
      </c>
      <c r="Q10" s="3">
        <v>45286</v>
      </c>
      <c r="R10" s="3">
        <v>45290</v>
      </c>
      <c r="S10" s="2" t="s">
        <v>40</v>
      </c>
      <c r="T10" s="2" t="s">
        <v>44</v>
      </c>
      <c r="U10" s="2" t="s">
        <v>27</v>
      </c>
      <c r="V10" s="2" t="s">
        <v>38</v>
      </c>
      <c r="W10" s="2" t="s">
        <v>60</v>
      </c>
      <c r="X10" s="2" t="s">
        <v>61</v>
      </c>
      <c r="Y10" s="2" t="s">
        <v>24</v>
      </c>
      <c r="Z10" s="2">
        <v>3</v>
      </c>
      <c r="AA10" s="2">
        <v>3599.15</v>
      </c>
    </row>
    <row r="11" spans="1:2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  <c r="O11" s="2">
        <v>10037</v>
      </c>
      <c r="P11" s="2">
        <v>1747</v>
      </c>
      <c r="Q11" s="3">
        <v>45161</v>
      </c>
      <c r="R11" s="3">
        <v>45165</v>
      </c>
      <c r="S11" s="2" t="s">
        <v>40</v>
      </c>
      <c r="T11" s="2" t="s">
        <v>19</v>
      </c>
      <c r="U11" s="2" t="s">
        <v>27</v>
      </c>
      <c r="V11" s="2" t="s">
        <v>21</v>
      </c>
      <c r="W11" s="2" t="s">
        <v>22</v>
      </c>
      <c r="X11" s="2" t="s">
        <v>58</v>
      </c>
      <c r="Y11" s="2" t="s">
        <v>24</v>
      </c>
      <c r="Z11" s="2">
        <v>4</v>
      </c>
      <c r="AA11" s="2">
        <v>853.29</v>
      </c>
    </row>
    <row r="12" spans="1:2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  <c r="O12" s="2">
        <v>10112</v>
      </c>
      <c r="P12" s="2">
        <v>1726</v>
      </c>
      <c r="Q12" s="3">
        <v>45153</v>
      </c>
      <c r="R12" s="3">
        <v>45154</v>
      </c>
      <c r="S12" s="2" t="s">
        <v>40</v>
      </c>
      <c r="T12" s="2" t="s">
        <v>44</v>
      </c>
      <c r="U12" s="2" t="s">
        <v>33</v>
      </c>
      <c r="V12" s="2" t="s">
        <v>21</v>
      </c>
      <c r="W12" s="2" t="s">
        <v>29</v>
      </c>
      <c r="X12" s="2" t="s">
        <v>39</v>
      </c>
      <c r="Y12" s="2" t="s">
        <v>24</v>
      </c>
      <c r="Z12" s="2">
        <v>4</v>
      </c>
      <c r="AA12" s="2">
        <v>1110.5899999999999</v>
      </c>
    </row>
    <row r="13" spans="1:2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  <c r="O13" s="2">
        <v>10127</v>
      </c>
      <c r="P13" s="2">
        <v>1379</v>
      </c>
      <c r="Q13" s="3">
        <v>44930</v>
      </c>
      <c r="R13" s="3">
        <v>44935</v>
      </c>
      <c r="S13" s="2" t="s">
        <v>40</v>
      </c>
      <c r="T13" s="2" t="s">
        <v>57</v>
      </c>
      <c r="U13" s="2" t="s">
        <v>27</v>
      </c>
      <c r="V13" s="2" t="s">
        <v>21</v>
      </c>
      <c r="W13" s="2" t="s">
        <v>34</v>
      </c>
      <c r="X13" s="2" t="s">
        <v>42</v>
      </c>
      <c r="Y13" s="2" t="s">
        <v>24</v>
      </c>
      <c r="Z13" s="2">
        <v>6</v>
      </c>
      <c r="AA13" s="2">
        <v>1846.21</v>
      </c>
    </row>
    <row r="14" spans="1:2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  <c r="O14" s="2">
        <v>10216</v>
      </c>
      <c r="P14" s="2">
        <v>1085</v>
      </c>
      <c r="Q14" s="3">
        <v>45221</v>
      </c>
      <c r="R14" s="3">
        <v>45227</v>
      </c>
      <c r="S14" s="2" t="s">
        <v>40</v>
      </c>
      <c r="T14" s="2" t="s">
        <v>26</v>
      </c>
      <c r="U14" s="2" t="s">
        <v>27</v>
      </c>
      <c r="V14" s="2" t="s">
        <v>21</v>
      </c>
      <c r="W14" s="2" t="s">
        <v>60</v>
      </c>
      <c r="X14" s="2" t="s">
        <v>69</v>
      </c>
      <c r="Y14" s="2" t="s">
        <v>24</v>
      </c>
      <c r="Z14" s="2">
        <v>6</v>
      </c>
      <c r="AA14" s="2">
        <v>809.49</v>
      </c>
    </row>
    <row r="15" spans="1:2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  <c r="O15" s="2">
        <v>10303</v>
      </c>
      <c r="P15" s="2">
        <v>1246</v>
      </c>
      <c r="Q15" s="3">
        <v>45124</v>
      </c>
      <c r="R15" s="3">
        <v>45125</v>
      </c>
      <c r="S15" s="2" t="s">
        <v>40</v>
      </c>
      <c r="T15" s="2" t="s">
        <v>32</v>
      </c>
      <c r="U15" s="2" t="s">
        <v>20</v>
      </c>
      <c r="V15" s="2" t="s">
        <v>28</v>
      </c>
      <c r="W15" s="2" t="s">
        <v>60</v>
      </c>
      <c r="X15" s="2" t="s">
        <v>69</v>
      </c>
      <c r="Y15" s="2" t="s">
        <v>24</v>
      </c>
      <c r="Z15" s="2">
        <v>6</v>
      </c>
      <c r="AA15" s="2">
        <v>257.2</v>
      </c>
    </row>
    <row r="16" spans="1:2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  <c r="O16" s="2">
        <v>10005</v>
      </c>
      <c r="P16" s="2">
        <v>1106</v>
      </c>
      <c r="Q16" s="3">
        <v>45241</v>
      </c>
      <c r="R16" s="3">
        <v>45244</v>
      </c>
      <c r="S16" s="2" t="s">
        <v>40</v>
      </c>
      <c r="T16" s="2" t="s">
        <v>41</v>
      </c>
      <c r="U16" s="2" t="s">
        <v>33</v>
      </c>
      <c r="V16" s="2" t="s">
        <v>21</v>
      </c>
      <c r="W16" s="2" t="s">
        <v>34</v>
      </c>
      <c r="X16" s="2" t="s">
        <v>42</v>
      </c>
      <c r="Y16" s="2" t="s">
        <v>24</v>
      </c>
      <c r="Z16" s="2">
        <v>7</v>
      </c>
      <c r="AA16" s="2">
        <v>3511.47</v>
      </c>
    </row>
    <row r="17" spans="1:27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  <c r="O17" s="2">
        <v>10143</v>
      </c>
      <c r="P17" s="2">
        <v>1498</v>
      </c>
      <c r="Q17" s="3">
        <v>44986</v>
      </c>
      <c r="R17" s="3">
        <v>44993</v>
      </c>
      <c r="S17" s="2" t="s">
        <v>40</v>
      </c>
      <c r="T17" s="2" t="s">
        <v>57</v>
      </c>
      <c r="U17" s="2" t="s">
        <v>33</v>
      </c>
      <c r="V17" s="2" t="s">
        <v>28</v>
      </c>
      <c r="W17" s="2" t="s">
        <v>60</v>
      </c>
      <c r="X17" s="2" t="s">
        <v>61</v>
      </c>
      <c r="Y17" s="2" t="s">
        <v>24</v>
      </c>
      <c r="Z17" s="2">
        <v>7</v>
      </c>
      <c r="AA17" s="2">
        <v>3680.23</v>
      </c>
    </row>
    <row r="18" spans="1:27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  <c r="O18" s="2">
        <v>10289</v>
      </c>
      <c r="P18" s="2">
        <v>1854</v>
      </c>
      <c r="Q18" s="3">
        <v>45012</v>
      </c>
      <c r="R18" s="3">
        <v>45014</v>
      </c>
      <c r="S18" s="2" t="s">
        <v>40</v>
      </c>
      <c r="T18" s="2" t="s">
        <v>57</v>
      </c>
      <c r="U18" s="2" t="s">
        <v>20</v>
      </c>
      <c r="V18" s="2" t="s">
        <v>28</v>
      </c>
      <c r="W18" s="2" t="s">
        <v>60</v>
      </c>
      <c r="X18" s="2" t="s">
        <v>61</v>
      </c>
      <c r="Y18" s="2" t="s">
        <v>24</v>
      </c>
      <c r="Z18" s="2">
        <v>7</v>
      </c>
      <c r="AA18" s="2">
        <v>1396.71</v>
      </c>
    </row>
    <row r="19" spans="1:27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  <c r="O19" s="2">
        <v>10330</v>
      </c>
      <c r="P19" s="2">
        <v>1659</v>
      </c>
      <c r="Q19" s="3">
        <v>44958</v>
      </c>
      <c r="R19" s="3">
        <v>44966</v>
      </c>
      <c r="S19" s="2" t="s">
        <v>40</v>
      </c>
      <c r="T19" s="2" t="s">
        <v>57</v>
      </c>
      <c r="U19" s="2" t="s">
        <v>20</v>
      </c>
      <c r="V19" s="2" t="s">
        <v>47</v>
      </c>
      <c r="W19" s="2" t="s">
        <v>55</v>
      </c>
      <c r="X19" s="2" t="s">
        <v>67</v>
      </c>
      <c r="Y19" s="2" t="s">
        <v>24</v>
      </c>
      <c r="Z19" s="2">
        <v>7</v>
      </c>
      <c r="AA19" s="2">
        <v>3978.5</v>
      </c>
    </row>
    <row r="20" spans="1:27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  <c r="O20" s="2">
        <v>10041</v>
      </c>
      <c r="P20" s="2">
        <v>1058</v>
      </c>
      <c r="Q20" s="3">
        <v>45211</v>
      </c>
      <c r="R20" s="3">
        <v>45220</v>
      </c>
      <c r="S20" s="2" t="s">
        <v>40</v>
      </c>
      <c r="T20" s="2" t="s">
        <v>19</v>
      </c>
      <c r="U20" s="2" t="s">
        <v>20</v>
      </c>
      <c r="V20" s="2" t="s">
        <v>28</v>
      </c>
      <c r="W20" s="2" t="s">
        <v>55</v>
      </c>
      <c r="X20" s="2" t="s">
        <v>67</v>
      </c>
      <c r="Y20" s="2" t="s">
        <v>24</v>
      </c>
      <c r="Z20" s="2">
        <v>8</v>
      </c>
      <c r="AA20" s="2">
        <v>3158.8</v>
      </c>
    </row>
    <row r="21" spans="1:27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  <c r="O21" s="2">
        <v>10083</v>
      </c>
      <c r="P21" s="2">
        <v>1942</v>
      </c>
      <c r="Q21" s="3">
        <v>45228</v>
      </c>
      <c r="R21" s="3">
        <v>45232</v>
      </c>
      <c r="S21" s="2" t="s">
        <v>40</v>
      </c>
      <c r="T21" s="2" t="s">
        <v>26</v>
      </c>
      <c r="U21" s="2" t="s">
        <v>20</v>
      </c>
      <c r="V21" s="2" t="s">
        <v>28</v>
      </c>
      <c r="W21" s="2" t="s">
        <v>60</v>
      </c>
      <c r="X21" s="2" t="s">
        <v>65</v>
      </c>
      <c r="Y21" s="2" t="s">
        <v>24</v>
      </c>
      <c r="Z21" s="2">
        <v>8</v>
      </c>
      <c r="AA21" s="2">
        <v>997.34</v>
      </c>
    </row>
    <row r="22" spans="1:27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  <c r="O22" s="2">
        <v>10196</v>
      </c>
      <c r="P22" s="2">
        <v>1863</v>
      </c>
      <c r="Q22" s="3">
        <v>45124</v>
      </c>
      <c r="R22" s="3">
        <v>45133</v>
      </c>
      <c r="S22" s="2" t="s">
        <v>40</v>
      </c>
      <c r="T22" s="2" t="s">
        <v>32</v>
      </c>
      <c r="U22" s="2" t="s">
        <v>33</v>
      </c>
      <c r="V22" s="2" t="s">
        <v>47</v>
      </c>
      <c r="W22" s="2" t="s">
        <v>55</v>
      </c>
      <c r="X22" s="2" t="s">
        <v>56</v>
      </c>
      <c r="Y22" s="2" t="s">
        <v>24</v>
      </c>
      <c r="Z22" s="2">
        <v>8</v>
      </c>
      <c r="AA22" s="2">
        <v>2561.86</v>
      </c>
    </row>
    <row r="23" spans="1:27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  <c r="O23" s="2">
        <v>10220</v>
      </c>
      <c r="P23" s="2">
        <v>1556</v>
      </c>
      <c r="Q23" s="3">
        <v>45026</v>
      </c>
      <c r="R23" s="3">
        <v>45035</v>
      </c>
      <c r="S23" s="2" t="s">
        <v>40</v>
      </c>
      <c r="T23" s="2" t="s">
        <v>19</v>
      </c>
      <c r="U23" s="2" t="s">
        <v>27</v>
      </c>
      <c r="V23" s="2" t="s">
        <v>21</v>
      </c>
      <c r="W23" s="2" t="s">
        <v>22</v>
      </c>
      <c r="X23" s="2" t="s">
        <v>58</v>
      </c>
      <c r="Y23" s="2" t="s">
        <v>24</v>
      </c>
      <c r="Z23" s="2">
        <v>8</v>
      </c>
      <c r="AA23" s="2">
        <v>3240.98</v>
      </c>
    </row>
    <row r="24" spans="1:27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  <c r="O24" s="2">
        <v>10179</v>
      </c>
      <c r="P24" s="2">
        <v>1768</v>
      </c>
      <c r="Q24" s="3">
        <v>44973</v>
      </c>
      <c r="R24" s="3">
        <v>44976</v>
      </c>
      <c r="S24" s="2" t="s">
        <v>40</v>
      </c>
      <c r="T24" s="2" t="s">
        <v>19</v>
      </c>
      <c r="U24" s="2" t="s">
        <v>33</v>
      </c>
      <c r="V24" s="2" t="s">
        <v>28</v>
      </c>
      <c r="W24" s="2" t="s">
        <v>34</v>
      </c>
      <c r="X24" s="2" t="s">
        <v>35</v>
      </c>
      <c r="Y24" s="2" t="s">
        <v>24</v>
      </c>
      <c r="Z24" s="2">
        <v>9</v>
      </c>
      <c r="AA24" s="2">
        <v>388.26</v>
      </c>
    </row>
    <row r="25" spans="1:27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  <c r="O25" s="2">
        <v>10355</v>
      </c>
      <c r="P25" s="2">
        <v>1945</v>
      </c>
      <c r="Q25" s="3">
        <v>45188</v>
      </c>
      <c r="R25" s="3">
        <v>45191</v>
      </c>
      <c r="S25" s="2" t="s">
        <v>40</v>
      </c>
      <c r="T25" s="2" t="s">
        <v>26</v>
      </c>
      <c r="U25" s="2" t="s">
        <v>33</v>
      </c>
      <c r="V25" s="2" t="s">
        <v>38</v>
      </c>
      <c r="W25" s="2" t="s">
        <v>55</v>
      </c>
      <c r="X25" s="2" t="s">
        <v>56</v>
      </c>
      <c r="Y25" s="2" t="s">
        <v>24</v>
      </c>
      <c r="Z25" s="2">
        <v>9</v>
      </c>
      <c r="AA25" s="2">
        <v>2632.88</v>
      </c>
    </row>
    <row r="26" spans="1:27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  <c r="O26" s="2">
        <v>10152</v>
      </c>
      <c r="P26" s="2">
        <v>1230</v>
      </c>
      <c r="Q26" s="3">
        <v>45043</v>
      </c>
      <c r="R26" s="3">
        <v>45050</v>
      </c>
      <c r="S26" s="2" t="s">
        <v>40</v>
      </c>
      <c r="T26" s="2" t="s">
        <v>19</v>
      </c>
      <c r="U26" s="2" t="s">
        <v>27</v>
      </c>
      <c r="V26" s="2" t="s">
        <v>47</v>
      </c>
      <c r="W26" s="2" t="s">
        <v>55</v>
      </c>
      <c r="X26" s="2" t="s">
        <v>59</v>
      </c>
      <c r="Y26" s="2" t="s">
        <v>50</v>
      </c>
      <c r="Z26" s="2">
        <v>1</v>
      </c>
      <c r="AA26" s="2">
        <v>3249.11</v>
      </c>
    </row>
    <row r="27" spans="1:27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  <c r="O27" s="2">
        <v>10186</v>
      </c>
      <c r="P27" s="2">
        <v>1794</v>
      </c>
      <c r="Q27" s="3">
        <v>45251</v>
      </c>
      <c r="R27" s="3">
        <v>45254</v>
      </c>
      <c r="S27" s="2" t="s">
        <v>40</v>
      </c>
      <c r="T27" s="2" t="s">
        <v>44</v>
      </c>
      <c r="U27" s="2" t="s">
        <v>33</v>
      </c>
      <c r="V27" s="2" t="s">
        <v>28</v>
      </c>
      <c r="W27" s="2" t="s">
        <v>55</v>
      </c>
      <c r="X27" s="2" t="s">
        <v>59</v>
      </c>
      <c r="Y27" s="2" t="s">
        <v>50</v>
      </c>
      <c r="Z27" s="2">
        <v>1</v>
      </c>
      <c r="AA27" s="2">
        <v>508.81</v>
      </c>
    </row>
    <row r="28" spans="1:27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  <c r="O28" s="2">
        <v>10214</v>
      </c>
      <c r="P28" s="2">
        <v>1698</v>
      </c>
      <c r="Q28" s="3">
        <v>45052</v>
      </c>
      <c r="R28" s="3">
        <v>45061</v>
      </c>
      <c r="S28" s="2" t="s">
        <v>40</v>
      </c>
      <c r="T28" s="2" t="s">
        <v>32</v>
      </c>
      <c r="U28" s="2" t="s">
        <v>27</v>
      </c>
      <c r="V28" s="2" t="s">
        <v>47</v>
      </c>
      <c r="W28" s="2" t="s">
        <v>52</v>
      </c>
      <c r="X28" s="2" t="s">
        <v>66</v>
      </c>
      <c r="Y28" s="2" t="s">
        <v>50</v>
      </c>
      <c r="Z28" s="2">
        <v>4</v>
      </c>
      <c r="AA28" s="2">
        <v>1719.71</v>
      </c>
    </row>
    <row r="29" spans="1:27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  <c r="O29" s="2">
        <v>10145</v>
      </c>
      <c r="P29" s="2">
        <v>1391</v>
      </c>
      <c r="Q29" s="3">
        <v>45245</v>
      </c>
      <c r="R29" s="3">
        <v>45246</v>
      </c>
      <c r="S29" s="2" t="s">
        <v>40</v>
      </c>
      <c r="T29" s="2" t="s">
        <v>41</v>
      </c>
      <c r="U29" s="2" t="s">
        <v>27</v>
      </c>
      <c r="V29" s="2" t="s">
        <v>38</v>
      </c>
      <c r="W29" s="2" t="s">
        <v>60</v>
      </c>
      <c r="X29" s="2" t="s">
        <v>62</v>
      </c>
      <c r="Y29" s="2" t="s">
        <v>50</v>
      </c>
      <c r="Z29" s="2">
        <v>6</v>
      </c>
      <c r="AA29" s="2">
        <v>652.42999999999995</v>
      </c>
    </row>
    <row r="30" spans="1:27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  <c r="O30" s="2">
        <v>10055</v>
      </c>
      <c r="P30" s="2">
        <v>1243</v>
      </c>
      <c r="Q30" s="3">
        <v>45110</v>
      </c>
      <c r="R30" s="3">
        <v>45115</v>
      </c>
      <c r="S30" s="2" t="s">
        <v>40</v>
      </c>
      <c r="T30" s="2" t="s">
        <v>19</v>
      </c>
      <c r="U30" s="2" t="s">
        <v>27</v>
      </c>
      <c r="V30" s="2" t="s">
        <v>21</v>
      </c>
      <c r="W30" s="2" t="s">
        <v>55</v>
      </c>
      <c r="X30" s="2" t="s">
        <v>67</v>
      </c>
      <c r="Y30" s="2" t="s">
        <v>48</v>
      </c>
      <c r="Z30" s="2">
        <v>2</v>
      </c>
      <c r="AA30" s="2">
        <v>3723.19</v>
      </c>
    </row>
    <row r="31" spans="1:27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  <c r="O31" s="2">
        <v>10218</v>
      </c>
      <c r="P31" s="2">
        <v>1577</v>
      </c>
      <c r="Q31" s="3">
        <v>45206</v>
      </c>
      <c r="R31" s="3">
        <v>45209</v>
      </c>
      <c r="S31" s="2" t="s">
        <v>40</v>
      </c>
      <c r="T31" s="2" t="s">
        <v>32</v>
      </c>
      <c r="U31" s="2" t="s">
        <v>20</v>
      </c>
      <c r="V31" s="2" t="s">
        <v>47</v>
      </c>
      <c r="W31" s="2" t="s">
        <v>29</v>
      </c>
      <c r="X31" s="2" t="s">
        <v>71</v>
      </c>
      <c r="Y31" s="2" t="s">
        <v>48</v>
      </c>
      <c r="Z31" s="2">
        <v>2</v>
      </c>
      <c r="AA31" s="2">
        <v>2401.63</v>
      </c>
    </row>
    <row r="32" spans="1:27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  <c r="O32" s="2">
        <v>10098</v>
      </c>
      <c r="P32" s="2">
        <v>1702</v>
      </c>
      <c r="Q32" s="3">
        <v>44946</v>
      </c>
      <c r="R32" s="3">
        <v>44947</v>
      </c>
      <c r="S32" s="2" t="s">
        <v>40</v>
      </c>
      <c r="T32" s="2" t="s">
        <v>57</v>
      </c>
      <c r="U32" s="2" t="s">
        <v>27</v>
      </c>
      <c r="V32" s="2" t="s">
        <v>45</v>
      </c>
      <c r="W32" s="2" t="s">
        <v>29</v>
      </c>
      <c r="X32" s="2" t="s">
        <v>39</v>
      </c>
      <c r="Y32" s="2" t="s">
        <v>48</v>
      </c>
      <c r="Z32" s="2">
        <v>4</v>
      </c>
      <c r="AA32" s="2">
        <v>1362.08</v>
      </c>
    </row>
    <row r="33" spans="1:27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  <c r="O33" s="2">
        <v>10308</v>
      </c>
      <c r="P33" s="2">
        <v>1122</v>
      </c>
      <c r="Q33" s="3">
        <v>44931</v>
      </c>
      <c r="R33" s="3">
        <v>44940</v>
      </c>
      <c r="S33" s="2" t="s">
        <v>40</v>
      </c>
      <c r="T33" s="2" t="s">
        <v>26</v>
      </c>
      <c r="U33" s="2" t="s">
        <v>33</v>
      </c>
      <c r="V33" s="2" t="s">
        <v>28</v>
      </c>
      <c r="W33" s="2" t="s">
        <v>55</v>
      </c>
      <c r="X33" s="2" t="s">
        <v>56</v>
      </c>
      <c r="Y33" s="2" t="s">
        <v>48</v>
      </c>
      <c r="Z33" s="2">
        <v>4</v>
      </c>
      <c r="AA33" s="2">
        <v>3143.2</v>
      </c>
    </row>
    <row r="34" spans="1:27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  <c r="O34" s="2">
        <v>10043</v>
      </c>
      <c r="P34" s="2">
        <v>1681</v>
      </c>
      <c r="Q34" s="3">
        <v>45184</v>
      </c>
      <c r="R34" s="3">
        <v>45188</v>
      </c>
      <c r="S34" s="2" t="s">
        <v>40</v>
      </c>
      <c r="T34" s="2" t="s">
        <v>26</v>
      </c>
      <c r="U34" s="2" t="s">
        <v>27</v>
      </c>
      <c r="V34" s="2" t="s">
        <v>38</v>
      </c>
      <c r="W34" s="2" t="s">
        <v>34</v>
      </c>
      <c r="X34" s="2" t="s">
        <v>51</v>
      </c>
      <c r="Y34" s="2" t="s">
        <v>48</v>
      </c>
      <c r="Z34" s="2">
        <v>5</v>
      </c>
      <c r="AA34" s="2">
        <v>936.35</v>
      </c>
    </row>
    <row r="35" spans="1:27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  <c r="O35" s="2">
        <v>10226</v>
      </c>
      <c r="P35" s="2">
        <v>1619</v>
      </c>
      <c r="Q35" s="3">
        <v>45290</v>
      </c>
      <c r="R35" s="3">
        <v>45291</v>
      </c>
      <c r="S35" s="2" t="s">
        <v>40</v>
      </c>
      <c r="T35" s="2" t="s">
        <v>41</v>
      </c>
      <c r="U35" s="2" t="s">
        <v>20</v>
      </c>
      <c r="V35" s="2" t="s">
        <v>45</v>
      </c>
      <c r="W35" s="2" t="s">
        <v>52</v>
      </c>
      <c r="X35" s="2" t="s">
        <v>66</v>
      </c>
      <c r="Y35" s="2" t="s">
        <v>48</v>
      </c>
      <c r="Z35" s="2">
        <v>5</v>
      </c>
      <c r="AA35" s="2">
        <v>620.13</v>
      </c>
    </row>
    <row r="36" spans="1:27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  <c r="O36" s="2">
        <v>10494</v>
      </c>
      <c r="P36" s="2">
        <v>1322</v>
      </c>
      <c r="Q36" s="3">
        <v>45151</v>
      </c>
      <c r="R36" s="3">
        <v>45154</v>
      </c>
      <c r="S36" s="2" t="s">
        <v>40</v>
      </c>
      <c r="T36" s="2" t="s">
        <v>44</v>
      </c>
      <c r="U36" s="2" t="s">
        <v>20</v>
      </c>
      <c r="V36" s="2" t="s">
        <v>47</v>
      </c>
      <c r="W36" s="2" t="s">
        <v>60</v>
      </c>
      <c r="X36" s="2" t="s">
        <v>69</v>
      </c>
      <c r="Y36" s="2" t="s">
        <v>48</v>
      </c>
      <c r="Z36" s="2">
        <v>5</v>
      </c>
      <c r="AA36" s="2">
        <v>529.59</v>
      </c>
    </row>
    <row r="37" spans="1:27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  <c r="O37" s="2">
        <v>10025</v>
      </c>
      <c r="P37" s="2">
        <v>1491</v>
      </c>
      <c r="Q37" s="3">
        <v>45052</v>
      </c>
      <c r="R37" s="3">
        <v>45061</v>
      </c>
      <c r="S37" s="2" t="s">
        <v>40</v>
      </c>
      <c r="T37" s="2" t="s">
        <v>41</v>
      </c>
      <c r="U37" s="2" t="s">
        <v>33</v>
      </c>
      <c r="V37" s="2" t="s">
        <v>47</v>
      </c>
      <c r="W37" s="2" t="s">
        <v>60</v>
      </c>
      <c r="X37" s="2" t="s">
        <v>62</v>
      </c>
      <c r="Y37" s="2" t="s">
        <v>48</v>
      </c>
      <c r="Z37" s="2">
        <v>6</v>
      </c>
      <c r="AA37" s="2">
        <v>3018.94</v>
      </c>
    </row>
    <row r="38" spans="1:27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  <c r="O38" s="2">
        <v>10056</v>
      </c>
      <c r="P38" s="2">
        <v>1831</v>
      </c>
      <c r="Q38" s="3">
        <v>44929</v>
      </c>
      <c r="R38" s="3">
        <v>44934</v>
      </c>
      <c r="S38" s="2" t="s">
        <v>40</v>
      </c>
      <c r="T38" s="2" t="s">
        <v>32</v>
      </c>
      <c r="U38" s="2" t="s">
        <v>20</v>
      </c>
      <c r="V38" s="2" t="s">
        <v>45</v>
      </c>
      <c r="W38" s="2" t="s">
        <v>60</v>
      </c>
      <c r="X38" s="2" t="s">
        <v>65</v>
      </c>
      <c r="Y38" s="2" t="s">
        <v>48</v>
      </c>
      <c r="Z38" s="2">
        <v>6</v>
      </c>
      <c r="AA38" s="2">
        <v>3402.72</v>
      </c>
    </row>
    <row r="39" spans="1:27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  <c r="O39" s="2">
        <v>10376</v>
      </c>
      <c r="P39" s="2">
        <v>1008</v>
      </c>
      <c r="Q39" s="3">
        <v>45242</v>
      </c>
      <c r="R39" s="3">
        <v>45251</v>
      </c>
      <c r="S39" s="2" t="s">
        <v>40</v>
      </c>
      <c r="T39" s="2" t="s">
        <v>57</v>
      </c>
      <c r="U39" s="2" t="s">
        <v>33</v>
      </c>
      <c r="V39" s="2" t="s">
        <v>21</v>
      </c>
      <c r="W39" s="2" t="s">
        <v>60</v>
      </c>
      <c r="X39" s="2" t="s">
        <v>62</v>
      </c>
      <c r="Y39" s="2" t="s">
        <v>48</v>
      </c>
      <c r="Z39" s="2">
        <v>6</v>
      </c>
      <c r="AA39" s="2">
        <v>681.36</v>
      </c>
    </row>
    <row r="40" spans="1:27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  <c r="O40" s="2">
        <v>10061</v>
      </c>
      <c r="P40" s="2">
        <v>1646</v>
      </c>
      <c r="Q40" s="3">
        <v>44956</v>
      </c>
      <c r="R40" s="3">
        <v>44957</v>
      </c>
      <c r="S40" s="2" t="s">
        <v>40</v>
      </c>
      <c r="T40" s="2" t="s">
        <v>57</v>
      </c>
      <c r="U40" s="2" t="s">
        <v>27</v>
      </c>
      <c r="V40" s="2" t="s">
        <v>45</v>
      </c>
      <c r="W40" s="2" t="s">
        <v>29</v>
      </c>
      <c r="X40" s="2" t="s">
        <v>39</v>
      </c>
      <c r="Y40" s="2" t="s">
        <v>48</v>
      </c>
      <c r="Z40" s="2">
        <v>7</v>
      </c>
      <c r="AA40" s="2">
        <v>319.56</v>
      </c>
    </row>
    <row r="41" spans="1:27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  <c r="O41" s="2">
        <v>10321</v>
      </c>
      <c r="P41" s="2">
        <v>1143</v>
      </c>
      <c r="Q41" s="3">
        <v>45270</v>
      </c>
      <c r="R41" s="3">
        <v>45275</v>
      </c>
      <c r="S41" s="2" t="s">
        <v>40</v>
      </c>
      <c r="T41" s="2" t="s">
        <v>19</v>
      </c>
      <c r="U41" s="2" t="s">
        <v>33</v>
      </c>
      <c r="V41" s="2" t="s">
        <v>45</v>
      </c>
      <c r="W41" s="2" t="s">
        <v>55</v>
      </c>
      <c r="X41" s="2" t="s">
        <v>63</v>
      </c>
      <c r="Y41" s="2" t="s">
        <v>48</v>
      </c>
      <c r="Z41" s="2">
        <v>7</v>
      </c>
      <c r="AA41" s="2">
        <v>3383.31</v>
      </c>
    </row>
    <row r="42" spans="1:27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  <c r="O42" s="2">
        <v>10325</v>
      </c>
      <c r="P42" s="2">
        <v>1186</v>
      </c>
      <c r="Q42" s="3">
        <v>45025</v>
      </c>
      <c r="R42" s="3">
        <v>45030</v>
      </c>
      <c r="S42" s="2" t="s">
        <v>40</v>
      </c>
      <c r="T42" s="2" t="s">
        <v>41</v>
      </c>
      <c r="U42" s="2" t="s">
        <v>33</v>
      </c>
      <c r="V42" s="2" t="s">
        <v>38</v>
      </c>
      <c r="W42" s="2" t="s">
        <v>55</v>
      </c>
      <c r="X42" s="2" t="s">
        <v>67</v>
      </c>
      <c r="Y42" s="2" t="s">
        <v>48</v>
      </c>
      <c r="Z42" s="2">
        <v>7</v>
      </c>
      <c r="AA42" s="2">
        <v>730.15</v>
      </c>
    </row>
    <row r="43" spans="1:27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  <c r="O43" s="2">
        <v>10046</v>
      </c>
      <c r="P43" s="2">
        <v>1975</v>
      </c>
      <c r="Q43" s="3">
        <v>45209</v>
      </c>
      <c r="R43" s="3">
        <v>45211</v>
      </c>
      <c r="S43" s="2" t="s">
        <v>40</v>
      </c>
      <c r="T43" s="2" t="s">
        <v>57</v>
      </c>
      <c r="U43" s="2" t="s">
        <v>27</v>
      </c>
      <c r="V43" s="2" t="s">
        <v>21</v>
      </c>
      <c r="W43" s="2" t="s">
        <v>52</v>
      </c>
      <c r="X43" s="2" t="s">
        <v>54</v>
      </c>
      <c r="Y43" s="2" t="s">
        <v>48</v>
      </c>
      <c r="Z43" s="2">
        <v>8</v>
      </c>
      <c r="AA43" s="2">
        <v>444.79</v>
      </c>
    </row>
    <row r="44" spans="1:27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  <c r="O44" s="2">
        <v>10168</v>
      </c>
      <c r="P44" s="2">
        <v>1683</v>
      </c>
      <c r="Q44" s="3">
        <v>45229</v>
      </c>
      <c r="R44" s="3">
        <v>45232</v>
      </c>
      <c r="S44" s="2" t="s">
        <v>40</v>
      </c>
      <c r="T44" s="2" t="s">
        <v>19</v>
      </c>
      <c r="U44" s="2" t="s">
        <v>33</v>
      </c>
      <c r="V44" s="2" t="s">
        <v>47</v>
      </c>
      <c r="W44" s="2" t="s">
        <v>55</v>
      </c>
      <c r="X44" s="2" t="s">
        <v>59</v>
      </c>
      <c r="Y44" s="2" t="s">
        <v>48</v>
      </c>
      <c r="Z44" s="2">
        <v>8</v>
      </c>
      <c r="AA44" s="2">
        <v>187.29</v>
      </c>
    </row>
    <row r="45" spans="1:27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  <c r="O45" s="2">
        <v>10315</v>
      </c>
      <c r="P45" s="2">
        <v>1609</v>
      </c>
      <c r="Q45" s="3">
        <v>45024</v>
      </c>
      <c r="R45" s="3">
        <v>45029</v>
      </c>
      <c r="S45" s="2" t="s">
        <v>40</v>
      </c>
      <c r="T45" s="2" t="s">
        <v>32</v>
      </c>
      <c r="U45" s="2" t="s">
        <v>27</v>
      </c>
      <c r="V45" s="2" t="s">
        <v>21</v>
      </c>
      <c r="W45" s="2" t="s">
        <v>52</v>
      </c>
      <c r="X45" s="2" t="s">
        <v>53</v>
      </c>
      <c r="Y45" s="2" t="s">
        <v>48</v>
      </c>
      <c r="Z45" s="2">
        <v>8</v>
      </c>
      <c r="AA45" s="2">
        <v>3253.02</v>
      </c>
    </row>
    <row r="46" spans="1:27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  <c r="O46" s="2">
        <v>10268</v>
      </c>
      <c r="P46" s="2">
        <v>1112</v>
      </c>
      <c r="Q46" s="3">
        <v>45069</v>
      </c>
      <c r="R46" s="3">
        <v>45072</v>
      </c>
      <c r="S46" s="2" t="s">
        <v>40</v>
      </c>
      <c r="T46" s="2" t="s">
        <v>19</v>
      </c>
      <c r="U46" s="2" t="s">
        <v>33</v>
      </c>
      <c r="V46" s="2" t="s">
        <v>45</v>
      </c>
      <c r="W46" s="2" t="s">
        <v>34</v>
      </c>
      <c r="X46" s="2" t="s">
        <v>42</v>
      </c>
      <c r="Y46" s="2" t="s">
        <v>31</v>
      </c>
      <c r="Z46" s="2">
        <v>1</v>
      </c>
      <c r="AA46" s="2">
        <v>2660.56</v>
      </c>
    </row>
    <row r="47" spans="1:27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  <c r="O47" s="2">
        <v>10314</v>
      </c>
      <c r="P47" s="2">
        <v>1883</v>
      </c>
      <c r="Q47" s="3">
        <v>45256</v>
      </c>
      <c r="R47" s="3">
        <v>45264</v>
      </c>
      <c r="S47" s="2" t="s">
        <v>40</v>
      </c>
      <c r="T47" s="2" t="s">
        <v>19</v>
      </c>
      <c r="U47" s="2" t="s">
        <v>27</v>
      </c>
      <c r="V47" s="2" t="s">
        <v>28</v>
      </c>
      <c r="W47" s="2" t="s">
        <v>29</v>
      </c>
      <c r="X47" s="2" t="s">
        <v>71</v>
      </c>
      <c r="Y47" s="2" t="s">
        <v>31</v>
      </c>
      <c r="Z47" s="2">
        <v>1</v>
      </c>
      <c r="AA47" s="2">
        <v>1681.85</v>
      </c>
    </row>
    <row r="48" spans="1:27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  <c r="O48" s="2">
        <v>10141</v>
      </c>
      <c r="P48" s="2">
        <v>1062</v>
      </c>
      <c r="Q48" s="3">
        <v>45085</v>
      </c>
      <c r="R48" s="3">
        <v>45092</v>
      </c>
      <c r="S48" s="2" t="s">
        <v>40</v>
      </c>
      <c r="T48" s="2" t="s">
        <v>32</v>
      </c>
      <c r="U48" s="2" t="s">
        <v>20</v>
      </c>
      <c r="V48" s="2" t="s">
        <v>28</v>
      </c>
      <c r="W48" s="2" t="s">
        <v>34</v>
      </c>
      <c r="X48" s="2" t="s">
        <v>42</v>
      </c>
      <c r="Y48" s="2" t="s">
        <v>31</v>
      </c>
      <c r="Z48" s="2">
        <v>2</v>
      </c>
      <c r="AA48" s="2">
        <v>1766.42</v>
      </c>
    </row>
    <row r="49" spans="1:27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  <c r="O49" s="2">
        <v>10243</v>
      </c>
      <c r="P49" s="2">
        <v>1632</v>
      </c>
      <c r="Q49" s="3">
        <v>45108</v>
      </c>
      <c r="R49" s="3">
        <v>45109</v>
      </c>
      <c r="S49" s="2" t="s">
        <v>40</v>
      </c>
      <c r="T49" s="2" t="s">
        <v>26</v>
      </c>
      <c r="U49" s="2" t="s">
        <v>33</v>
      </c>
      <c r="V49" s="2" t="s">
        <v>21</v>
      </c>
      <c r="W49" s="2" t="s">
        <v>60</v>
      </c>
      <c r="X49" s="2" t="s">
        <v>62</v>
      </c>
      <c r="Y49" s="2" t="s">
        <v>31</v>
      </c>
      <c r="Z49" s="2">
        <v>2</v>
      </c>
      <c r="AA49" s="2">
        <v>601.53</v>
      </c>
    </row>
    <row r="50" spans="1:27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  <c r="O50" s="2">
        <v>10217</v>
      </c>
      <c r="P50" s="2">
        <v>1795</v>
      </c>
      <c r="Q50" s="3">
        <v>45055</v>
      </c>
      <c r="R50" s="3">
        <v>45057</v>
      </c>
      <c r="S50" s="2" t="s">
        <v>40</v>
      </c>
      <c r="T50" s="2" t="s">
        <v>44</v>
      </c>
      <c r="U50" s="2" t="s">
        <v>27</v>
      </c>
      <c r="V50" s="2" t="s">
        <v>45</v>
      </c>
      <c r="W50" s="2" t="s">
        <v>52</v>
      </c>
      <c r="X50" s="2" t="s">
        <v>53</v>
      </c>
      <c r="Y50" s="2" t="s">
        <v>31</v>
      </c>
      <c r="Z50" s="2">
        <v>4</v>
      </c>
      <c r="AA50" s="2">
        <v>3335.32</v>
      </c>
    </row>
    <row r="51" spans="1:27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  <c r="O51" s="2">
        <v>10091</v>
      </c>
      <c r="P51" s="2">
        <v>1001</v>
      </c>
      <c r="Q51" s="3">
        <v>45016</v>
      </c>
      <c r="R51" s="3">
        <v>45019</v>
      </c>
      <c r="S51" s="2" t="s">
        <v>40</v>
      </c>
      <c r="T51" s="2" t="s">
        <v>19</v>
      </c>
      <c r="U51" s="2" t="s">
        <v>20</v>
      </c>
      <c r="V51" s="2" t="s">
        <v>47</v>
      </c>
      <c r="W51" s="2" t="s">
        <v>29</v>
      </c>
      <c r="X51" s="2" t="s">
        <v>30</v>
      </c>
      <c r="Y51" s="2" t="s">
        <v>31</v>
      </c>
      <c r="Z51" s="2">
        <v>5</v>
      </c>
      <c r="AA51" s="2">
        <v>3370.52</v>
      </c>
    </row>
    <row r="52" spans="1:27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  <c r="O52" s="2">
        <v>10014</v>
      </c>
      <c r="P52" s="2">
        <v>1458</v>
      </c>
      <c r="Q52" s="3">
        <v>45039</v>
      </c>
      <c r="R52" s="3">
        <v>45045</v>
      </c>
      <c r="S52" s="2" t="s">
        <v>40</v>
      </c>
      <c r="T52" s="2" t="s">
        <v>41</v>
      </c>
      <c r="U52" s="2" t="s">
        <v>33</v>
      </c>
      <c r="V52" s="2" t="s">
        <v>38</v>
      </c>
      <c r="W52" s="2" t="s">
        <v>29</v>
      </c>
      <c r="X52" s="2" t="s">
        <v>39</v>
      </c>
      <c r="Y52" s="2" t="s">
        <v>31</v>
      </c>
      <c r="Z52" s="2">
        <v>8</v>
      </c>
      <c r="AA52" s="2">
        <v>1074.27</v>
      </c>
    </row>
    <row r="53" spans="1:27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  <c r="O53" s="2">
        <v>10290</v>
      </c>
      <c r="P53" s="2">
        <v>1996</v>
      </c>
      <c r="Q53" s="3">
        <v>45215</v>
      </c>
      <c r="R53" s="3">
        <v>45218</v>
      </c>
      <c r="S53" s="2" t="s">
        <v>40</v>
      </c>
      <c r="T53" s="2" t="s">
        <v>44</v>
      </c>
      <c r="U53" s="2" t="s">
        <v>33</v>
      </c>
      <c r="V53" s="2" t="s">
        <v>21</v>
      </c>
      <c r="W53" s="2" t="s">
        <v>22</v>
      </c>
      <c r="X53" s="2" t="s">
        <v>23</v>
      </c>
      <c r="Y53" s="2" t="s">
        <v>31</v>
      </c>
      <c r="Z53" s="2">
        <v>8</v>
      </c>
      <c r="AA53" s="2">
        <v>2695.39</v>
      </c>
    </row>
    <row r="54" spans="1:27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  <c r="O54" s="2">
        <v>10357</v>
      </c>
      <c r="P54" s="2">
        <v>1414</v>
      </c>
      <c r="Q54" s="3">
        <v>45205</v>
      </c>
      <c r="R54" s="3">
        <v>45213</v>
      </c>
      <c r="S54" s="2" t="s">
        <v>40</v>
      </c>
      <c r="T54" s="2" t="s">
        <v>41</v>
      </c>
      <c r="U54" s="2" t="s">
        <v>20</v>
      </c>
      <c r="V54" s="2" t="s">
        <v>28</v>
      </c>
      <c r="W54" s="2" t="s">
        <v>60</v>
      </c>
      <c r="X54" s="2" t="s">
        <v>61</v>
      </c>
      <c r="Y54" s="2" t="s">
        <v>31</v>
      </c>
      <c r="Z54" s="2">
        <v>8</v>
      </c>
      <c r="AA54" s="2">
        <v>1300.31</v>
      </c>
    </row>
    <row r="55" spans="1:27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  <c r="O55" s="2">
        <v>10413</v>
      </c>
      <c r="P55" s="2">
        <v>1956</v>
      </c>
      <c r="Q55" s="3">
        <v>45054</v>
      </c>
      <c r="R55" s="3">
        <v>45056</v>
      </c>
      <c r="S55" s="2" t="s">
        <v>40</v>
      </c>
      <c r="T55" s="2" t="s">
        <v>57</v>
      </c>
      <c r="U55" s="2" t="s">
        <v>27</v>
      </c>
      <c r="V55" s="2" t="s">
        <v>21</v>
      </c>
      <c r="W55" s="2" t="s">
        <v>55</v>
      </c>
      <c r="X55" s="2" t="s">
        <v>56</v>
      </c>
      <c r="Y55" s="2" t="s">
        <v>31</v>
      </c>
      <c r="Z55" s="2">
        <v>8</v>
      </c>
      <c r="AA55" s="2">
        <v>1297.5899999999999</v>
      </c>
    </row>
    <row r="56" spans="1:27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  <c r="O56" s="2">
        <v>10097</v>
      </c>
      <c r="P56" s="2">
        <v>1476</v>
      </c>
      <c r="Q56" s="3">
        <v>45047</v>
      </c>
      <c r="R56" s="3">
        <v>45056</v>
      </c>
      <c r="S56" s="2" t="s">
        <v>40</v>
      </c>
      <c r="T56" s="2" t="s">
        <v>26</v>
      </c>
      <c r="U56" s="2" t="s">
        <v>27</v>
      </c>
      <c r="V56" s="2" t="s">
        <v>21</v>
      </c>
      <c r="W56" s="2" t="s">
        <v>55</v>
      </c>
      <c r="X56" s="2" t="s">
        <v>63</v>
      </c>
      <c r="Y56" s="2" t="s">
        <v>31</v>
      </c>
      <c r="Z56" s="2">
        <v>9</v>
      </c>
      <c r="AA56" s="2">
        <v>501.79</v>
      </c>
    </row>
    <row r="57" spans="1:27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  <c r="O57" s="2">
        <v>10383</v>
      </c>
      <c r="P57" s="2">
        <v>1403</v>
      </c>
      <c r="Q57" s="3">
        <v>45040</v>
      </c>
      <c r="R57" s="3">
        <v>45042</v>
      </c>
      <c r="S57" s="2" t="s">
        <v>40</v>
      </c>
      <c r="T57" s="2" t="s">
        <v>26</v>
      </c>
      <c r="U57" s="2" t="s">
        <v>27</v>
      </c>
      <c r="V57" s="2" t="s">
        <v>45</v>
      </c>
      <c r="W57" s="2" t="s">
        <v>34</v>
      </c>
      <c r="X57" s="2" t="s">
        <v>51</v>
      </c>
      <c r="Y57" s="2" t="s">
        <v>36</v>
      </c>
      <c r="Z57" s="2">
        <v>1</v>
      </c>
      <c r="AA57" s="2">
        <v>3581.58</v>
      </c>
    </row>
    <row r="58" spans="1:27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  <c r="O58" s="2">
        <v>10440</v>
      </c>
      <c r="P58" s="2">
        <v>1037</v>
      </c>
      <c r="Q58" s="3">
        <v>45144</v>
      </c>
      <c r="R58" s="3">
        <v>45149</v>
      </c>
      <c r="S58" s="2" t="s">
        <v>40</v>
      </c>
      <c r="T58" s="2" t="s">
        <v>57</v>
      </c>
      <c r="U58" s="2" t="s">
        <v>20</v>
      </c>
      <c r="V58" s="2" t="s">
        <v>45</v>
      </c>
      <c r="W58" s="2" t="s">
        <v>52</v>
      </c>
      <c r="X58" s="2" t="s">
        <v>53</v>
      </c>
      <c r="Y58" s="2" t="s">
        <v>36</v>
      </c>
      <c r="Z58" s="2">
        <v>1</v>
      </c>
      <c r="AA58" s="2">
        <v>3775.07</v>
      </c>
    </row>
    <row r="59" spans="1:27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  <c r="O59" s="2">
        <v>10326</v>
      </c>
      <c r="P59" s="2">
        <v>1325</v>
      </c>
      <c r="Q59" s="3">
        <v>45118</v>
      </c>
      <c r="R59" s="3">
        <v>45124</v>
      </c>
      <c r="S59" s="2" t="s">
        <v>40</v>
      </c>
      <c r="T59" s="2" t="s">
        <v>19</v>
      </c>
      <c r="U59" s="2" t="s">
        <v>27</v>
      </c>
      <c r="V59" s="2" t="s">
        <v>47</v>
      </c>
      <c r="W59" s="2" t="s">
        <v>55</v>
      </c>
      <c r="X59" s="2" t="s">
        <v>63</v>
      </c>
      <c r="Y59" s="2" t="s">
        <v>36</v>
      </c>
      <c r="Z59" s="2">
        <v>2</v>
      </c>
      <c r="AA59" s="2">
        <v>3428.64</v>
      </c>
    </row>
    <row r="60" spans="1:27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  <c r="O60" s="2">
        <v>10252</v>
      </c>
      <c r="P60" s="2">
        <v>1648</v>
      </c>
      <c r="Q60" s="3">
        <v>45110</v>
      </c>
      <c r="R60" s="3">
        <v>45114</v>
      </c>
      <c r="S60" s="2" t="s">
        <v>40</v>
      </c>
      <c r="T60" s="2" t="s">
        <v>41</v>
      </c>
      <c r="U60" s="2" t="s">
        <v>27</v>
      </c>
      <c r="V60" s="2" t="s">
        <v>45</v>
      </c>
      <c r="W60" s="2" t="s">
        <v>55</v>
      </c>
      <c r="X60" s="2" t="s">
        <v>63</v>
      </c>
      <c r="Y60" s="2" t="s">
        <v>36</v>
      </c>
      <c r="Z60" s="2">
        <v>4</v>
      </c>
      <c r="AA60" s="2">
        <v>1868.8</v>
      </c>
    </row>
    <row r="61" spans="1:27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  <c r="O61" s="2">
        <v>10274</v>
      </c>
      <c r="P61" s="2">
        <v>1509</v>
      </c>
      <c r="Q61" s="3">
        <v>45240</v>
      </c>
      <c r="R61" s="3">
        <v>45241</v>
      </c>
      <c r="S61" s="2" t="s">
        <v>40</v>
      </c>
      <c r="T61" s="2" t="s">
        <v>19</v>
      </c>
      <c r="U61" s="2" t="s">
        <v>27</v>
      </c>
      <c r="V61" s="2" t="s">
        <v>47</v>
      </c>
      <c r="W61" s="2" t="s">
        <v>55</v>
      </c>
      <c r="X61" s="2" t="s">
        <v>63</v>
      </c>
      <c r="Y61" s="2" t="s">
        <v>36</v>
      </c>
      <c r="Z61" s="2">
        <v>4</v>
      </c>
      <c r="AA61" s="2">
        <v>1258.1500000000001</v>
      </c>
    </row>
    <row r="62" spans="1:27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  <c r="O62" s="2">
        <v>10465</v>
      </c>
      <c r="P62" s="2">
        <v>1016</v>
      </c>
      <c r="Q62" s="3">
        <v>45082</v>
      </c>
      <c r="R62" s="3">
        <v>45089</v>
      </c>
      <c r="S62" s="2" t="s">
        <v>40</v>
      </c>
      <c r="T62" s="2" t="s">
        <v>26</v>
      </c>
      <c r="U62" s="2" t="s">
        <v>33</v>
      </c>
      <c r="V62" s="2" t="s">
        <v>47</v>
      </c>
      <c r="W62" s="2" t="s">
        <v>22</v>
      </c>
      <c r="X62" s="2" t="s">
        <v>46</v>
      </c>
      <c r="Y62" s="2" t="s">
        <v>36</v>
      </c>
      <c r="Z62" s="2">
        <v>4</v>
      </c>
      <c r="AA62" s="2">
        <v>589.44000000000005</v>
      </c>
    </row>
    <row r="63" spans="1:27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  <c r="O63" s="2">
        <v>10374</v>
      </c>
      <c r="P63" s="2">
        <v>1036</v>
      </c>
      <c r="Q63" s="3">
        <v>45136</v>
      </c>
      <c r="R63" s="3">
        <v>45141</v>
      </c>
      <c r="S63" s="2" t="s">
        <v>40</v>
      </c>
      <c r="T63" s="2" t="s">
        <v>19</v>
      </c>
      <c r="U63" s="2" t="s">
        <v>20</v>
      </c>
      <c r="V63" s="2" t="s">
        <v>45</v>
      </c>
      <c r="W63" s="2" t="s">
        <v>60</v>
      </c>
      <c r="X63" s="2" t="s">
        <v>61</v>
      </c>
      <c r="Y63" s="2" t="s">
        <v>36</v>
      </c>
      <c r="Z63" s="2">
        <v>5</v>
      </c>
      <c r="AA63" s="2">
        <v>1651.11</v>
      </c>
    </row>
    <row r="64" spans="1:27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  <c r="O64" s="2">
        <v>10022</v>
      </c>
      <c r="P64" s="2">
        <v>1308</v>
      </c>
      <c r="Q64" s="3">
        <v>44944</v>
      </c>
      <c r="R64" s="3">
        <v>44951</v>
      </c>
      <c r="S64" s="2" t="s">
        <v>40</v>
      </c>
      <c r="T64" s="2" t="s">
        <v>26</v>
      </c>
      <c r="U64" s="2" t="s">
        <v>33</v>
      </c>
      <c r="V64" s="2" t="s">
        <v>38</v>
      </c>
      <c r="W64" s="2" t="s">
        <v>60</v>
      </c>
      <c r="X64" s="2" t="s">
        <v>61</v>
      </c>
      <c r="Y64" s="2" t="s">
        <v>36</v>
      </c>
      <c r="Z64" s="2">
        <v>7</v>
      </c>
      <c r="AA64" s="2">
        <v>680.86</v>
      </c>
    </row>
    <row r="65" spans="1:28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  <c r="O65" s="2">
        <v>10170</v>
      </c>
      <c r="P65" s="2">
        <v>1725</v>
      </c>
      <c r="Q65" s="3">
        <v>45044</v>
      </c>
      <c r="R65" s="3">
        <v>45048</v>
      </c>
      <c r="S65" s="2" t="s">
        <v>40</v>
      </c>
      <c r="T65" s="2" t="s">
        <v>19</v>
      </c>
      <c r="U65" s="2" t="s">
        <v>27</v>
      </c>
      <c r="V65" s="2" t="s">
        <v>21</v>
      </c>
      <c r="W65" s="2" t="s">
        <v>34</v>
      </c>
      <c r="X65" s="2" t="s">
        <v>68</v>
      </c>
      <c r="Y65" s="2" t="s">
        <v>36</v>
      </c>
      <c r="Z65" s="2">
        <v>7</v>
      </c>
      <c r="AA65" s="2">
        <v>2964.96</v>
      </c>
    </row>
    <row r="66" spans="1:28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  <c r="O66" s="2">
        <v>10207</v>
      </c>
      <c r="P66" s="2">
        <v>1654</v>
      </c>
      <c r="Q66" s="3">
        <v>45000</v>
      </c>
      <c r="R66" s="3">
        <v>45006</v>
      </c>
      <c r="S66" s="2" t="s">
        <v>40</v>
      </c>
      <c r="T66" s="2" t="s">
        <v>44</v>
      </c>
      <c r="U66" s="2" t="s">
        <v>27</v>
      </c>
      <c r="V66" s="2" t="s">
        <v>47</v>
      </c>
      <c r="W66" s="2" t="s">
        <v>52</v>
      </c>
      <c r="X66" s="2" t="s">
        <v>54</v>
      </c>
      <c r="Y66" s="2" t="s">
        <v>36</v>
      </c>
      <c r="Z66" s="2">
        <v>7</v>
      </c>
      <c r="AA66" s="2">
        <v>982.56</v>
      </c>
    </row>
    <row r="67" spans="1:28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  <c r="O67" s="2">
        <v>10234</v>
      </c>
      <c r="P67" s="2">
        <v>1347</v>
      </c>
      <c r="Q67" s="3">
        <v>45290</v>
      </c>
      <c r="R67" s="3">
        <v>45295</v>
      </c>
      <c r="S67" s="2" t="s">
        <v>40</v>
      </c>
      <c r="T67" s="2" t="s">
        <v>19</v>
      </c>
      <c r="U67" s="2" t="s">
        <v>33</v>
      </c>
      <c r="V67" s="2" t="s">
        <v>47</v>
      </c>
      <c r="W67" s="2" t="s">
        <v>34</v>
      </c>
      <c r="X67" s="2" t="s">
        <v>51</v>
      </c>
      <c r="Y67" s="2" t="s">
        <v>36</v>
      </c>
      <c r="Z67" s="2">
        <v>7</v>
      </c>
      <c r="AA67" s="2">
        <v>324.38</v>
      </c>
    </row>
    <row r="68" spans="1:28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  <c r="O68" s="2">
        <v>10409</v>
      </c>
      <c r="P68" s="2">
        <v>1705</v>
      </c>
      <c r="Q68" s="3">
        <v>45028</v>
      </c>
      <c r="R68" s="3">
        <v>45034</v>
      </c>
      <c r="S68" s="2" t="s">
        <v>40</v>
      </c>
      <c r="T68" s="2" t="s">
        <v>19</v>
      </c>
      <c r="U68" s="2" t="s">
        <v>27</v>
      </c>
      <c r="V68" s="2" t="s">
        <v>21</v>
      </c>
      <c r="W68" s="2" t="s">
        <v>34</v>
      </c>
      <c r="X68" s="2" t="s">
        <v>42</v>
      </c>
      <c r="Y68" s="2" t="s">
        <v>36</v>
      </c>
      <c r="Z68" s="2">
        <v>7</v>
      </c>
      <c r="AA68" s="2">
        <v>1020.23</v>
      </c>
    </row>
    <row r="69" spans="1:28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  <c r="O69" s="2">
        <v>10162</v>
      </c>
      <c r="P69" s="2">
        <v>1502</v>
      </c>
      <c r="Q69" s="3">
        <v>45072</v>
      </c>
      <c r="R69" s="3">
        <v>45074</v>
      </c>
      <c r="S69" s="2" t="s">
        <v>40</v>
      </c>
      <c r="T69" s="2" t="s">
        <v>32</v>
      </c>
      <c r="U69" s="2" t="s">
        <v>27</v>
      </c>
      <c r="V69" s="2" t="s">
        <v>47</v>
      </c>
      <c r="W69" s="2" t="s">
        <v>60</v>
      </c>
      <c r="X69" s="2" t="s">
        <v>61</v>
      </c>
      <c r="Y69" s="2" t="s">
        <v>36</v>
      </c>
      <c r="Z69" s="2">
        <v>8</v>
      </c>
      <c r="AA69" s="2">
        <v>1227.5899999999999</v>
      </c>
    </row>
    <row r="70" spans="1:28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  <c r="O70" s="2">
        <v>10057</v>
      </c>
      <c r="P70" s="2">
        <v>1504</v>
      </c>
      <c r="Q70" s="3">
        <v>45117</v>
      </c>
      <c r="R70" s="3">
        <v>45122</v>
      </c>
      <c r="S70" s="2" t="s">
        <v>40</v>
      </c>
      <c r="T70" s="2" t="s">
        <v>32</v>
      </c>
      <c r="U70" s="2" t="s">
        <v>20</v>
      </c>
      <c r="V70" s="2" t="s">
        <v>28</v>
      </c>
      <c r="W70" s="2" t="s">
        <v>60</v>
      </c>
      <c r="X70" s="2" t="s">
        <v>61</v>
      </c>
      <c r="Y70" s="2" t="s">
        <v>36</v>
      </c>
      <c r="Z70" s="2">
        <v>9</v>
      </c>
      <c r="AA70" s="2">
        <v>1012.33</v>
      </c>
    </row>
    <row r="71" spans="1:28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28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28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28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  <c r="P74" s="1" t="s">
        <v>0</v>
      </c>
      <c r="Q74" s="1" t="s">
        <v>1</v>
      </c>
      <c r="R74" s="1" t="s">
        <v>2</v>
      </c>
      <c r="S74" s="1" t="s">
        <v>3</v>
      </c>
      <c r="T74" s="1" t="s">
        <v>4</v>
      </c>
      <c r="U74" s="1" t="s">
        <v>5</v>
      </c>
      <c r="V74" s="1" t="s">
        <v>6</v>
      </c>
      <c r="W74" s="1" t="s">
        <v>7</v>
      </c>
      <c r="X74" s="1" t="s">
        <v>8</v>
      </c>
      <c r="Y74" s="1" t="s">
        <v>9</v>
      </c>
      <c r="Z74" s="1" t="s">
        <v>10</v>
      </c>
      <c r="AA74" s="1" t="s">
        <v>11</v>
      </c>
      <c r="AB74" s="1" t="s">
        <v>12</v>
      </c>
    </row>
    <row r="75" spans="1:28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  <c r="P75" s="2">
        <v>10020</v>
      </c>
      <c r="Q75" s="2">
        <v>1130</v>
      </c>
      <c r="R75" s="3">
        <v>45194</v>
      </c>
      <c r="S75" s="3">
        <v>45203</v>
      </c>
      <c r="T75" s="2" t="s">
        <v>49</v>
      </c>
      <c r="U75" s="13" t="s">
        <v>41</v>
      </c>
      <c r="V75" s="2" t="s">
        <v>20</v>
      </c>
      <c r="W75" s="2" t="s">
        <v>21</v>
      </c>
      <c r="X75" s="2" t="s">
        <v>52</v>
      </c>
      <c r="Y75" s="2" t="s">
        <v>54</v>
      </c>
      <c r="Z75" s="2" t="s">
        <v>24</v>
      </c>
      <c r="AA75" s="2">
        <v>2</v>
      </c>
      <c r="AB75" s="2">
        <v>3959.31</v>
      </c>
    </row>
    <row r="76" spans="1:28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  <c r="P76" s="2">
        <v>10073</v>
      </c>
      <c r="Q76" s="2">
        <v>1564</v>
      </c>
      <c r="R76" s="3">
        <v>45055</v>
      </c>
      <c r="S76" s="3">
        <v>45063</v>
      </c>
      <c r="T76" s="2" t="s">
        <v>43</v>
      </c>
      <c r="U76" s="13" t="s">
        <v>19</v>
      </c>
      <c r="V76" s="2" t="s">
        <v>20</v>
      </c>
      <c r="W76" s="2" t="s">
        <v>28</v>
      </c>
      <c r="X76" s="2" t="s">
        <v>52</v>
      </c>
      <c r="Y76" s="2" t="s">
        <v>70</v>
      </c>
      <c r="Z76" s="2" t="s">
        <v>24</v>
      </c>
      <c r="AA76" s="2">
        <v>1</v>
      </c>
      <c r="AB76" s="2">
        <v>3037.61</v>
      </c>
    </row>
    <row r="77" spans="1:28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  <c r="P77" s="2">
        <v>10138</v>
      </c>
      <c r="Q77" s="2">
        <v>1128</v>
      </c>
      <c r="R77" s="3">
        <v>45088</v>
      </c>
      <c r="S77" s="3">
        <v>45093</v>
      </c>
      <c r="T77" s="2" t="s">
        <v>25</v>
      </c>
      <c r="U77" s="13" t="s">
        <v>32</v>
      </c>
      <c r="V77" s="2" t="s">
        <v>20</v>
      </c>
      <c r="W77" s="2" t="s">
        <v>38</v>
      </c>
      <c r="X77" s="2" t="s">
        <v>55</v>
      </c>
      <c r="Y77" s="2" t="s">
        <v>56</v>
      </c>
      <c r="Z77" s="2" t="s">
        <v>24</v>
      </c>
      <c r="AA77" s="2">
        <v>1</v>
      </c>
      <c r="AB77" s="2">
        <v>912.67</v>
      </c>
    </row>
    <row r="78" spans="1:28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  <c r="P78" s="2">
        <v>10232</v>
      </c>
      <c r="Q78" s="2">
        <v>1639</v>
      </c>
      <c r="R78" s="3">
        <v>44962</v>
      </c>
      <c r="S78" s="3">
        <v>44969</v>
      </c>
      <c r="T78" s="2" t="s">
        <v>25</v>
      </c>
      <c r="U78" s="13" t="s">
        <v>32</v>
      </c>
      <c r="V78" s="2" t="s">
        <v>20</v>
      </c>
      <c r="W78" s="2" t="s">
        <v>21</v>
      </c>
      <c r="X78" s="2" t="s">
        <v>60</v>
      </c>
      <c r="Y78" s="2" t="s">
        <v>62</v>
      </c>
      <c r="Z78" s="2" t="s">
        <v>24</v>
      </c>
      <c r="AA78" s="2">
        <v>1</v>
      </c>
      <c r="AB78" s="2">
        <v>2250.4899999999998</v>
      </c>
    </row>
    <row r="79" spans="1:28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  <c r="P79" s="2">
        <v>10350</v>
      </c>
      <c r="Q79" s="2">
        <v>1640</v>
      </c>
      <c r="R79" s="3">
        <v>45180</v>
      </c>
      <c r="S79" s="3">
        <v>45185</v>
      </c>
      <c r="T79" s="2" t="s">
        <v>18</v>
      </c>
      <c r="U79" s="13" t="s">
        <v>44</v>
      </c>
      <c r="V79" s="2" t="s">
        <v>20</v>
      </c>
      <c r="W79" s="2" t="s">
        <v>47</v>
      </c>
      <c r="X79" s="2" t="s">
        <v>60</v>
      </c>
      <c r="Y79" s="2" t="s">
        <v>65</v>
      </c>
      <c r="Z79" s="2" t="s">
        <v>24</v>
      </c>
      <c r="AA79" s="2">
        <v>1</v>
      </c>
      <c r="AB79" s="2">
        <v>3708.38</v>
      </c>
    </row>
    <row r="80" spans="1:28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  <c r="P80" s="2">
        <v>10305</v>
      </c>
      <c r="Q80" s="2">
        <v>1438</v>
      </c>
      <c r="R80" s="3">
        <v>44991</v>
      </c>
      <c r="S80" s="3">
        <v>44993</v>
      </c>
      <c r="T80" s="2" t="s">
        <v>49</v>
      </c>
      <c r="U80" s="2" t="s">
        <v>44</v>
      </c>
      <c r="V80" s="2" t="s">
        <v>20</v>
      </c>
      <c r="W80" s="2" t="s">
        <v>38</v>
      </c>
      <c r="X80" s="2" t="s">
        <v>34</v>
      </c>
      <c r="Y80" s="2" t="s">
        <v>51</v>
      </c>
      <c r="Z80" s="2" t="s">
        <v>24</v>
      </c>
      <c r="AA80" s="2">
        <v>2</v>
      </c>
      <c r="AB80" s="2">
        <v>3256.02</v>
      </c>
    </row>
    <row r="81" spans="1:28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  <c r="P81" s="2">
        <v>10332</v>
      </c>
      <c r="Q81" s="2">
        <v>1954</v>
      </c>
      <c r="R81" s="3">
        <v>44946</v>
      </c>
      <c r="S81" s="3">
        <v>44955</v>
      </c>
      <c r="T81" s="2" t="s">
        <v>18</v>
      </c>
      <c r="U81" s="2" t="s">
        <v>26</v>
      </c>
      <c r="V81" s="2" t="s">
        <v>20</v>
      </c>
      <c r="W81" s="2" t="s">
        <v>45</v>
      </c>
      <c r="X81" s="2" t="s">
        <v>60</v>
      </c>
      <c r="Y81" s="2" t="s">
        <v>69</v>
      </c>
      <c r="Z81" s="2" t="s">
        <v>24</v>
      </c>
      <c r="AA81" s="2">
        <v>2</v>
      </c>
      <c r="AB81" s="2">
        <v>1335.36</v>
      </c>
    </row>
    <row r="82" spans="1:28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  <c r="P82" s="2">
        <v>10188</v>
      </c>
      <c r="Q82" s="2">
        <v>1206</v>
      </c>
      <c r="R82" s="3">
        <v>45064</v>
      </c>
      <c r="S82" s="3">
        <v>45070</v>
      </c>
      <c r="T82" s="2" t="s">
        <v>43</v>
      </c>
      <c r="U82" s="2" t="s">
        <v>57</v>
      </c>
      <c r="V82" s="2" t="s">
        <v>20</v>
      </c>
      <c r="W82" s="2" t="s">
        <v>28</v>
      </c>
      <c r="X82" s="2" t="s">
        <v>55</v>
      </c>
      <c r="Y82" s="2" t="s">
        <v>56</v>
      </c>
      <c r="Z82" s="2" t="s">
        <v>24</v>
      </c>
      <c r="AA82" s="2">
        <v>3</v>
      </c>
      <c r="AB82" s="2">
        <v>778.85</v>
      </c>
    </row>
    <row r="83" spans="1:28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  <c r="P83" s="2">
        <v>10339</v>
      </c>
      <c r="Q83" s="2">
        <v>1147</v>
      </c>
      <c r="R83" s="3">
        <v>45005</v>
      </c>
      <c r="S83" s="3">
        <v>45012</v>
      </c>
      <c r="T83" s="2" t="s">
        <v>18</v>
      </c>
      <c r="U83" s="2" t="s">
        <v>57</v>
      </c>
      <c r="V83" s="2" t="s">
        <v>20</v>
      </c>
      <c r="W83" s="2" t="s">
        <v>28</v>
      </c>
      <c r="X83" s="2" t="s">
        <v>34</v>
      </c>
      <c r="Y83" s="2" t="s">
        <v>35</v>
      </c>
      <c r="Z83" s="2" t="s">
        <v>24</v>
      </c>
      <c r="AA83" s="2">
        <v>4</v>
      </c>
      <c r="AB83" s="2">
        <v>3708.51</v>
      </c>
    </row>
    <row r="84" spans="1:28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  <c r="P84" s="2">
        <v>10053</v>
      </c>
      <c r="Q84" s="2">
        <v>1875</v>
      </c>
      <c r="R84" s="3">
        <v>45115</v>
      </c>
      <c r="S84" s="3">
        <v>45118</v>
      </c>
      <c r="T84" s="2" t="s">
        <v>49</v>
      </c>
      <c r="U84" s="2" t="s">
        <v>19</v>
      </c>
      <c r="V84" s="2" t="s">
        <v>20</v>
      </c>
      <c r="W84" s="2" t="s">
        <v>38</v>
      </c>
      <c r="X84" s="2" t="s">
        <v>55</v>
      </c>
      <c r="Y84" s="2" t="s">
        <v>67</v>
      </c>
      <c r="Z84" s="2" t="s">
        <v>24</v>
      </c>
      <c r="AA84" s="2">
        <v>5</v>
      </c>
      <c r="AB84" s="2">
        <v>2534.0700000000002</v>
      </c>
    </row>
    <row r="85" spans="1:28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  <c r="P85" s="2">
        <v>10184</v>
      </c>
      <c r="Q85" s="2">
        <v>1397</v>
      </c>
      <c r="R85" s="3">
        <v>45063</v>
      </c>
      <c r="S85" s="3">
        <v>45072</v>
      </c>
      <c r="T85" s="2" t="s">
        <v>25</v>
      </c>
      <c r="U85" s="2" t="s">
        <v>57</v>
      </c>
      <c r="V85" s="2" t="s">
        <v>20</v>
      </c>
      <c r="W85" s="2" t="s">
        <v>47</v>
      </c>
      <c r="X85" s="2" t="s">
        <v>55</v>
      </c>
      <c r="Y85" s="2" t="s">
        <v>67</v>
      </c>
      <c r="Z85" s="2" t="s">
        <v>24</v>
      </c>
      <c r="AA85" s="2">
        <v>5</v>
      </c>
      <c r="AB85" s="2">
        <v>2125.75</v>
      </c>
    </row>
    <row r="86" spans="1:28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  <c r="P86" s="2">
        <v>10215</v>
      </c>
      <c r="Q86" s="2">
        <v>1242</v>
      </c>
      <c r="R86" s="3">
        <v>45157</v>
      </c>
      <c r="S86" s="3">
        <v>45162</v>
      </c>
      <c r="T86" s="2" t="s">
        <v>18</v>
      </c>
      <c r="U86" s="2" t="s">
        <v>19</v>
      </c>
      <c r="V86" s="2" t="s">
        <v>20</v>
      </c>
      <c r="W86" s="2" t="s">
        <v>28</v>
      </c>
      <c r="X86" s="2" t="s">
        <v>29</v>
      </c>
      <c r="Y86" s="2" t="s">
        <v>30</v>
      </c>
      <c r="Z86" s="2" t="s">
        <v>24</v>
      </c>
      <c r="AA86" s="2">
        <v>5</v>
      </c>
      <c r="AB86" s="2">
        <v>633.42999999999995</v>
      </c>
    </row>
    <row r="87" spans="1:28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  <c r="P87" s="2">
        <v>10049</v>
      </c>
      <c r="Q87" s="2">
        <v>1957</v>
      </c>
      <c r="R87" s="3">
        <v>45014</v>
      </c>
      <c r="S87" s="3">
        <v>45023</v>
      </c>
      <c r="T87" s="2" t="s">
        <v>49</v>
      </c>
      <c r="U87" s="2" t="s">
        <v>32</v>
      </c>
      <c r="V87" s="2" t="s">
        <v>20</v>
      </c>
      <c r="W87" s="2" t="s">
        <v>21</v>
      </c>
      <c r="X87" s="2" t="s">
        <v>29</v>
      </c>
      <c r="Y87" s="2" t="s">
        <v>30</v>
      </c>
      <c r="Z87" s="2" t="s">
        <v>24</v>
      </c>
      <c r="AA87" s="2">
        <v>6</v>
      </c>
      <c r="AB87" s="2">
        <v>3757.87</v>
      </c>
    </row>
    <row r="88" spans="1:28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  <c r="P88" s="2">
        <v>10113</v>
      </c>
      <c r="Q88" s="2">
        <v>1251</v>
      </c>
      <c r="R88" s="3">
        <v>45080</v>
      </c>
      <c r="S88" s="3">
        <v>45083</v>
      </c>
      <c r="T88" s="2" t="s">
        <v>19</v>
      </c>
      <c r="U88" s="2" t="s">
        <v>26</v>
      </c>
      <c r="V88" s="2" t="s">
        <v>20</v>
      </c>
      <c r="W88" s="2" t="s">
        <v>21</v>
      </c>
      <c r="X88" s="2" t="s">
        <v>29</v>
      </c>
      <c r="Y88" s="2" t="s">
        <v>64</v>
      </c>
      <c r="Z88" s="2" t="s">
        <v>24</v>
      </c>
      <c r="AA88" s="2">
        <v>6</v>
      </c>
      <c r="AB88" s="2">
        <v>2257.77</v>
      </c>
    </row>
    <row r="89" spans="1:28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  <c r="P89" s="2">
        <v>10303</v>
      </c>
      <c r="Q89" s="2">
        <v>1246</v>
      </c>
      <c r="R89" s="3">
        <v>45124</v>
      </c>
      <c r="S89" s="3">
        <v>45125</v>
      </c>
      <c r="T89" s="2" t="s">
        <v>40</v>
      </c>
      <c r="U89" s="2" t="s">
        <v>32</v>
      </c>
      <c r="V89" s="2" t="s">
        <v>20</v>
      </c>
      <c r="W89" s="2" t="s">
        <v>28</v>
      </c>
      <c r="X89" s="2" t="s">
        <v>60</v>
      </c>
      <c r="Y89" s="2" t="s">
        <v>69</v>
      </c>
      <c r="Z89" s="2" t="s">
        <v>24</v>
      </c>
      <c r="AA89" s="2">
        <v>6</v>
      </c>
      <c r="AB89" s="2">
        <v>257.2</v>
      </c>
    </row>
    <row r="90" spans="1:28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  <c r="P90" s="2">
        <v>10001</v>
      </c>
      <c r="Q90" s="2">
        <v>1102</v>
      </c>
      <c r="R90" s="3">
        <v>45197</v>
      </c>
      <c r="S90" s="3">
        <v>45203</v>
      </c>
      <c r="T90" s="2" t="s">
        <v>18</v>
      </c>
      <c r="U90" s="2" t="s">
        <v>19</v>
      </c>
      <c r="V90" s="2" t="s">
        <v>20</v>
      </c>
      <c r="W90" s="2" t="s">
        <v>21</v>
      </c>
      <c r="X90" s="2" t="s">
        <v>22</v>
      </c>
      <c r="Y90" s="2" t="s">
        <v>23</v>
      </c>
      <c r="Z90" s="2" t="s">
        <v>24</v>
      </c>
      <c r="AA90" s="2">
        <v>7</v>
      </c>
      <c r="AB90" s="2">
        <v>2843.87</v>
      </c>
    </row>
    <row r="91" spans="1:28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  <c r="P91" s="2">
        <v>10262</v>
      </c>
      <c r="Q91" s="2">
        <v>1373</v>
      </c>
      <c r="R91" s="3">
        <v>44996</v>
      </c>
      <c r="S91" s="3">
        <v>44998</v>
      </c>
      <c r="T91" s="2" t="s">
        <v>18</v>
      </c>
      <c r="U91" s="2" t="s">
        <v>26</v>
      </c>
      <c r="V91" s="2" t="s">
        <v>20</v>
      </c>
      <c r="W91" s="2" t="s">
        <v>47</v>
      </c>
      <c r="X91" s="2" t="s">
        <v>60</v>
      </c>
      <c r="Y91" s="2" t="s">
        <v>62</v>
      </c>
      <c r="Z91" s="2" t="s">
        <v>24</v>
      </c>
      <c r="AA91" s="2">
        <v>7</v>
      </c>
      <c r="AB91" s="2">
        <v>2472.29</v>
      </c>
    </row>
    <row r="92" spans="1:28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  <c r="P92" s="2">
        <v>10289</v>
      </c>
      <c r="Q92" s="2">
        <v>1854</v>
      </c>
      <c r="R92" s="3">
        <v>45012</v>
      </c>
      <c r="S92" s="3">
        <v>45014</v>
      </c>
      <c r="T92" s="2" t="s">
        <v>40</v>
      </c>
      <c r="U92" s="2" t="s">
        <v>57</v>
      </c>
      <c r="V92" s="2" t="s">
        <v>20</v>
      </c>
      <c r="W92" s="2" t="s">
        <v>28</v>
      </c>
      <c r="X92" s="2" t="s">
        <v>60</v>
      </c>
      <c r="Y92" s="2" t="s">
        <v>61</v>
      </c>
      <c r="Z92" s="2" t="s">
        <v>24</v>
      </c>
      <c r="AA92" s="2">
        <v>7</v>
      </c>
      <c r="AB92" s="2">
        <v>1396.71</v>
      </c>
    </row>
    <row r="93" spans="1:28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  <c r="P93" s="2">
        <v>10330</v>
      </c>
      <c r="Q93" s="2">
        <v>1659</v>
      </c>
      <c r="R93" s="3">
        <v>44958</v>
      </c>
      <c r="S93" s="3">
        <v>44966</v>
      </c>
      <c r="T93" s="2" t="s">
        <v>40</v>
      </c>
      <c r="U93" s="2" t="s">
        <v>57</v>
      </c>
      <c r="V93" s="2" t="s">
        <v>20</v>
      </c>
      <c r="W93" s="2" t="s">
        <v>47</v>
      </c>
      <c r="X93" s="2" t="s">
        <v>55</v>
      </c>
      <c r="Y93" s="2" t="s">
        <v>67</v>
      </c>
      <c r="Z93" s="2" t="s">
        <v>24</v>
      </c>
      <c r="AA93" s="2">
        <v>7</v>
      </c>
      <c r="AB93" s="2">
        <v>3978.5</v>
      </c>
    </row>
    <row r="94" spans="1:28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  <c r="P94" s="2">
        <v>10343</v>
      </c>
      <c r="Q94" s="2">
        <v>1488</v>
      </c>
      <c r="R94" s="3">
        <v>45196</v>
      </c>
      <c r="S94" s="3">
        <v>45204</v>
      </c>
      <c r="T94" s="2" t="s">
        <v>49</v>
      </c>
      <c r="U94" s="2" t="s">
        <v>26</v>
      </c>
      <c r="V94" s="2" t="s">
        <v>20</v>
      </c>
      <c r="W94" s="2" t="s">
        <v>21</v>
      </c>
      <c r="X94" s="2" t="s">
        <v>52</v>
      </c>
      <c r="Y94" s="2" t="s">
        <v>54</v>
      </c>
      <c r="Z94" s="2" t="s">
        <v>24</v>
      </c>
      <c r="AA94" s="2">
        <v>7</v>
      </c>
      <c r="AB94" s="2">
        <v>313.51</v>
      </c>
    </row>
    <row r="95" spans="1:28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  <c r="P95" s="2">
        <v>10013</v>
      </c>
      <c r="Q95" s="2">
        <v>1330</v>
      </c>
      <c r="R95" s="3">
        <v>45100</v>
      </c>
      <c r="S95" s="3">
        <v>45107</v>
      </c>
      <c r="T95" s="2" t="s">
        <v>19</v>
      </c>
      <c r="U95" s="2" t="s">
        <v>26</v>
      </c>
      <c r="V95" s="2" t="s">
        <v>20</v>
      </c>
      <c r="W95" s="2" t="s">
        <v>38</v>
      </c>
      <c r="X95" s="2" t="s">
        <v>22</v>
      </c>
      <c r="Y95" s="2" t="s">
        <v>46</v>
      </c>
      <c r="Z95" s="2" t="s">
        <v>24</v>
      </c>
      <c r="AA95" s="2">
        <v>8</v>
      </c>
      <c r="AB95" s="2">
        <v>3160.9</v>
      </c>
    </row>
    <row r="96" spans="1:28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  <c r="P96" s="2">
        <v>10016</v>
      </c>
      <c r="Q96" s="2">
        <v>1372</v>
      </c>
      <c r="R96" s="3">
        <v>44958</v>
      </c>
      <c r="S96" s="3">
        <v>44961</v>
      </c>
      <c r="T96" s="2" t="s">
        <v>25</v>
      </c>
      <c r="U96" s="2" t="s">
        <v>32</v>
      </c>
      <c r="V96" s="2" t="s">
        <v>20</v>
      </c>
      <c r="W96" s="2" t="s">
        <v>45</v>
      </c>
      <c r="X96" s="2" t="s">
        <v>34</v>
      </c>
      <c r="Y96" s="2" t="s">
        <v>42</v>
      </c>
      <c r="Z96" s="2" t="s">
        <v>24</v>
      </c>
      <c r="AA96" s="2">
        <v>8</v>
      </c>
      <c r="AB96" s="2">
        <v>595.45000000000005</v>
      </c>
    </row>
    <row r="97" spans="1:28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  <c r="P97" s="2">
        <v>10041</v>
      </c>
      <c r="Q97" s="2">
        <v>1058</v>
      </c>
      <c r="R97" s="3">
        <v>45211</v>
      </c>
      <c r="S97" s="3">
        <v>45220</v>
      </c>
      <c r="T97" s="2" t="s">
        <v>40</v>
      </c>
      <c r="U97" s="2" t="s">
        <v>19</v>
      </c>
      <c r="V97" s="2" t="s">
        <v>20</v>
      </c>
      <c r="W97" s="2" t="s">
        <v>28</v>
      </c>
      <c r="X97" s="2" t="s">
        <v>55</v>
      </c>
      <c r="Y97" s="2" t="s">
        <v>67</v>
      </c>
      <c r="Z97" s="2" t="s">
        <v>24</v>
      </c>
      <c r="AA97" s="2">
        <v>8</v>
      </c>
      <c r="AB97" s="2">
        <v>3158.8</v>
      </c>
    </row>
    <row r="98" spans="1:28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  <c r="P98" s="2">
        <v>10083</v>
      </c>
      <c r="Q98" s="2">
        <v>1942</v>
      </c>
      <c r="R98" s="3">
        <v>45228</v>
      </c>
      <c r="S98" s="3">
        <v>45232</v>
      </c>
      <c r="T98" s="2" t="s">
        <v>40</v>
      </c>
      <c r="U98" s="2" t="s">
        <v>26</v>
      </c>
      <c r="V98" s="2" t="s">
        <v>20</v>
      </c>
      <c r="W98" s="2" t="s">
        <v>28</v>
      </c>
      <c r="X98" s="2" t="s">
        <v>60</v>
      </c>
      <c r="Y98" s="2" t="s">
        <v>65</v>
      </c>
      <c r="Z98" s="2" t="s">
        <v>24</v>
      </c>
      <c r="AA98" s="2">
        <v>8</v>
      </c>
      <c r="AB98" s="2">
        <v>997.34</v>
      </c>
    </row>
    <row r="99" spans="1:28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  <c r="P99" s="2">
        <v>10045</v>
      </c>
      <c r="Q99" s="2">
        <v>1699</v>
      </c>
      <c r="R99" s="3">
        <v>45139</v>
      </c>
      <c r="S99" s="3">
        <v>45147</v>
      </c>
      <c r="T99" s="2" t="s">
        <v>37</v>
      </c>
      <c r="U99" s="2" t="s">
        <v>19</v>
      </c>
      <c r="V99" s="2" t="s">
        <v>20</v>
      </c>
      <c r="W99" s="2" t="s">
        <v>28</v>
      </c>
      <c r="X99" s="2" t="s">
        <v>29</v>
      </c>
      <c r="Y99" s="2" t="s">
        <v>64</v>
      </c>
      <c r="Z99" s="2" t="s">
        <v>50</v>
      </c>
      <c r="AA99" s="2">
        <v>1</v>
      </c>
      <c r="AB99" s="2">
        <v>2764.92</v>
      </c>
    </row>
    <row r="100" spans="1:28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  <c r="P100" s="2">
        <v>10047</v>
      </c>
      <c r="Q100" s="2">
        <v>1782</v>
      </c>
      <c r="R100" s="3">
        <v>44976</v>
      </c>
      <c r="S100" s="3">
        <v>44985</v>
      </c>
      <c r="T100" s="2" t="s">
        <v>43</v>
      </c>
      <c r="U100" s="2" t="s">
        <v>44</v>
      </c>
      <c r="V100" s="2" t="s">
        <v>20</v>
      </c>
      <c r="W100" s="2" t="s">
        <v>21</v>
      </c>
      <c r="X100" s="2" t="s">
        <v>60</v>
      </c>
      <c r="Y100" s="2" t="s">
        <v>65</v>
      </c>
      <c r="Z100" s="2" t="s">
        <v>50</v>
      </c>
      <c r="AA100" s="2">
        <v>1</v>
      </c>
      <c r="AB100" s="2">
        <v>1769.93</v>
      </c>
    </row>
    <row r="101" spans="1:28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  <c r="P101" s="2">
        <v>10233</v>
      </c>
      <c r="Q101" s="2">
        <v>1505</v>
      </c>
      <c r="R101" s="3">
        <v>45139</v>
      </c>
      <c r="S101" s="3">
        <v>45143</v>
      </c>
      <c r="T101" s="2" t="s">
        <v>19</v>
      </c>
      <c r="U101" s="2" t="s">
        <v>44</v>
      </c>
      <c r="V101" s="2" t="s">
        <v>20</v>
      </c>
      <c r="W101" s="2" t="s">
        <v>47</v>
      </c>
      <c r="X101" s="2" t="s">
        <v>22</v>
      </c>
      <c r="Y101" s="2" t="s">
        <v>58</v>
      </c>
      <c r="Z101" s="2" t="s">
        <v>50</v>
      </c>
      <c r="AA101" s="2">
        <v>1</v>
      </c>
      <c r="AB101" s="2">
        <v>556.53</v>
      </c>
    </row>
    <row r="102" spans="1:28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  <c r="P102" s="2">
        <v>10329</v>
      </c>
      <c r="Q102" s="2">
        <v>1770</v>
      </c>
      <c r="R102" s="3">
        <v>44975</v>
      </c>
      <c r="S102" s="3">
        <v>44976</v>
      </c>
      <c r="T102" s="2" t="s">
        <v>43</v>
      </c>
      <c r="U102" s="2" t="s">
        <v>41</v>
      </c>
      <c r="V102" s="2" t="s">
        <v>20</v>
      </c>
      <c r="W102" s="2" t="s">
        <v>47</v>
      </c>
      <c r="X102" s="2" t="s">
        <v>29</v>
      </c>
      <c r="Y102" s="2" t="s">
        <v>30</v>
      </c>
      <c r="Z102" s="2" t="s">
        <v>50</v>
      </c>
      <c r="AA102" s="2">
        <v>1</v>
      </c>
      <c r="AB102" s="2">
        <v>3171.36</v>
      </c>
    </row>
    <row r="103" spans="1:28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  <c r="P103" s="2">
        <v>10359</v>
      </c>
      <c r="Q103" s="2">
        <v>1297</v>
      </c>
      <c r="R103" s="3">
        <v>45104</v>
      </c>
      <c r="S103" s="3">
        <v>45105</v>
      </c>
      <c r="T103" s="2" t="s">
        <v>19</v>
      </c>
      <c r="U103" s="2" t="s">
        <v>44</v>
      </c>
      <c r="V103" s="2" t="s">
        <v>20</v>
      </c>
      <c r="W103" s="2" t="s">
        <v>28</v>
      </c>
      <c r="X103" s="2" t="s">
        <v>34</v>
      </c>
      <c r="Y103" s="2" t="s">
        <v>51</v>
      </c>
      <c r="Z103" s="2" t="s">
        <v>50</v>
      </c>
      <c r="AA103" s="2">
        <v>1</v>
      </c>
      <c r="AB103" s="2">
        <v>202.49</v>
      </c>
    </row>
    <row r="104" spans="1:28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  <c r="P104" s="2">
        <v>10071</v>
      </c>
      <c r="Q104" s="2">
        <v>1776</v>
      </c>
      <c r="R104" s="3">
        <v>45070</v>
      </c>
      <c r="S104" s="3">
        <v>45078</v>
      </c>
      <c r="T104" s="2" t="s">
        <v>18</v>
      </c>
      <c r="U104" s="2" t="s">
        <v>32</v>
      </c>
      <c r="V104" s="2" t="s">
        <v>20</v>
      </c>
      <c r="W104" s="2" t="s">
        <v>21</v>
      </c>
      <c r="X104" s="2" t="s">
        <v>29</v>
      </c>
      <c r="Y104" s="2" t="s">
        <v>64</v>
      </c>
      <c r="Z104" s="2" t="s">
        <v>50</v>
      </c>
      <c r="AA104" s="2">
        <v>3</v>
      </c>
      <c r="AB104" s="2">
        <v>3854.71</v>
      </c>
    </row>
    <row r="105" spans="1:28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  <c r="P105" s="2">
        <v>10072</v>
      </c>
      <c r="Q105" s="2">
        <v>1345</v>
      </c>
      <c r="R105" s="3">
        <v>44998</v>
      </c>
      <c r="S105" s="3">
        <v>45005</v>
      </c>
      <c r="T105" s="2" t="s">
        <v>19</v>
      </c>
      <c r="U105" s="2" t="s">
        <v>57</v>
      </c>
      <c r="V105" s="2" t="s">
        <v>20</v>
      </c>
      <c r="W105" s="2" t="s">
        <v>21</v>
      </c>
      <c r="X105" s="2" t="s">
        <v>22</v>
      </c>
      <c r="Y105" s="2" t="s">
        <v>58</v>
      </c>
      <c r="Z105" s="2" t="s">
        <v>50</v>
      </c>
      <c r="AA105" s="2">
        <v>3</v>
      </c>
      <c r="AB105" s="2">
        <v>1859.84</v>
      </c>
    </row>
    <row r="106" spans="1:28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  <c r="P106" s="2">
        <v>10088</v>
      </c>
      <c r="Q106" s="2">
        <v>1561</v>
      </c>
      <c r="R106" s="3">
        <v>44939</v>
      </c>
      <c r="S106" s="3">
        <v>44946</v>
      </c>
      <c r="T106" s="2" t="s">
        <v>37</v>
      </c>
      <c r="U106" s="2" t="s">
        <v>32</v>
      </c>
      <c r="V106" s="2" t="s">
        <v>20</v>
      </c>
      <c r="W106" s="2" t="s">
        <v>45</v>
      </c>
      <c r="X106" s="2" t="s">
        <v>52</v>
      </c>
      <c r="Y106" s="2" t="s">
        <v>66</v>
      </c>
      <c r="Z106" s="2" t="s">
        <v>50</v>
      </c>
      <c r="AA106" s="2">
        <v>3</v>
      </c>
      <c r="AB106" s="2">
        <v>3879.4</v>
      </c>
    </row>
    <row r="107" spans="1:28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  <c r="P107" s="2">
        <v>10044</v>
      </c>
      <c r="Q107" s="2">
        <v>1475</v>
      </c>
      <c r="R107" s="3">
        <v>44955</v>
      </c>
      <c r="S107" s="3">
        <v>44959</v>
      </c>
      <c r="T107" s="2" t="s">
        <v>19</v>
      </c>
      <c r="U107" s="2" t="s">
        <v>32</v>
      </c>
      <c r="V107" s="2" t="s">
        <v>20</v>
      </c>
      <c r="W107" s="2" t="s">
        <v>45</v>
      </c>
      <c r="X107" s="2" t="s">
        <v>34</v>
      </c>
      <c r="Y107" s="2" t="s">
        <v>51</v>
      </c>
      <c r="Z107" s="2" t="s">
        <v>50</v>
      </c>
      <c r="AA107" s="2">
        <v>4</v>
      </c>
      <c r="AB107" s="2">
        <v>214.51</v>
      </c>
    </row>
    <row r="108" spans="1:28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  <c r="P108" s="2">
        <v>10160</v>
      </c>
      <c r="Q108" s="2">
        <v>1032</v>
      </c>
      <c r="R108" s="3">
        <v>45039</v>
      </c>
      <c r="S108" s="3">
        <v>45041</v>
      </c>
      <c r="T108" s="2" t="s">
        <v>25</v>
      </c>
      <c r="U108" s="2" t="s">
        <v>41</v>
      </c>
      <c r="V108" s="2" t="s">
        <v>20</v>
      </c>
      <c r="W108" s="2" t="s">
        <v>47</v>
      </c>
      <c r="X108" s="2" t="s">
        <v>34</v>
      </c>
      <c r="Y108" s="2" t="s">
        <v>51</v>
      </c>
      <c r="Z108" s="2" t="s">
        <v>50</v>
      </c>
      <c r="AA108" s="2">
        <v>4</v>
      </c>
      <c r="AB108" s="2">
        <v>1322.72</v>
      </c>
    </row>
    <row r="109" spans="1:28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  <c r="P109" s="2">
        <v>10296</v>
      </c>
      <c r="Q109" s="2">
        <v>1129</v>
      </c>
      <c r="R109" s="3">
        <v>44954</v>
      </c>
      <c r="S109" s="3">
        <v>44957</v>
      </c>
      <c r="T109" s="2" t="s">
        <v>19</v>
      </c>
      <c r="U109" s="2" t="s">
        <v>19</v>
      </c>
      <c r="V109" s="2" t="s">
        <v>20</v>
      </c>
      <c r="W109" s="2" t="s">
        <v>38</v>
      </c>
      <c r="X109" s="2" t="s">
        <v>34</v>
      </c>
      <c r="Y109" s="2" t="s">
        <v>51</v>
      </c>
      <c r="Z109" s="2" t="s">
        <v>50</v>
      </c>
      <c r="AA109" s="2">
        <v>5</v>
      </c>
      <c r="AB109" s="2">
        <v>2850.33</v>
      </c>
    </row>
    <row r="110" spans="1:28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  <c r="P110" s="2">
        <v>10342</v>
      </c>
      <c r="Q110" s="2">
        <v>1819</v>
      </c>
      <c r="R110" s="3">
        <v>45018</v>
      </c>
      <c r="S110" s="3">
        <v>45019</v>
      </c>
      <c r="T110" s="2" t="s">
        <v>18</v>
      </c>
      <c r="U110" s="2" t="s">
        <v>57</v>
      </c>
      <c r="V110" s="2" t="s">
        <v>20</v>
      </c>
      <c r="W110" s="2" t="s">
        <v>38</v>
      </c>
      <c r="X110" s="2" t="s">
        <v>29</v>
      </c>
      <c r="Y110" s="2" t="s">
        <v>30</v>
      </c>
      <c r="Z110" s="2" t="s">
        <v>50</v>
      </c>
      <c r="AA110" s="2">
        <v>5</v>
      </c>
      <c r="AB110" s="2">
        <v>1853.11</v>
      </c>
    </row>
    <row r="111" spans="1:28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  <c r="P111" s="2">
        <v>10117</v>
      </c>
      <c r="Q111" s="2">
        <v>1719</v>
      </c>
      <c r="R111" s="3">
        <v>45285</v>
      </c>
      <c r="S111" s="3">
        <v>45293</v>
      </c>
      <c r="T111" s="2" t="s">
        <v>43</v>
      </c>
      <c r="U111" s="2" t="s">
        <v>57</v>
      </c>
      <c r="V111" s="2" t="s">
        <v>20</v>
      </c>
      <c r="W111" s="2" t="s">
        <v>45</v>
      </c>
      <c r="X111" s="2" t="s">
        <v>60</v>
      </c>
      <c r="Y111" s="2" t="s">
        <v>61</v>
      </c>
      <c r="Z111" s="2" t="s">
        <v>50</v>
      </c>
      <c r="AA111" s="2">
        <v>6</v>
      </c>
      <c r="AB111" s="2">
        <v>3554.77</v>
      </c>
    </row>
    <row r="112" spans="1:28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  <c r="P112" s="2">
        <v>10135</v>
      </c>
      <c r="Q112" s="2">
        <v>1838</v>
      </c>
      <c r="R112" s="3">
        <v>44981</v>
      </c>
      <c r="S112" s="3">
        <v>44990</v>
      </c>
      <c r="T112" s="2" t="s">
        <v>43</v>
      </c>
      <c r="U112" s="2" t="s">
        <v>19</v>
      </c>
      <c r="V112" s="2" t="s">
        <v>20</v>
      </c>
      <c r="W112" s="2" t="s">
        <v>28</v>
      </c>
      <c r="X112" s="2" t="s">
        <v>22</v>
      </c>
      <c r="Y112" s="2" t="s">
        <v>46</v>
      </c>
      <c r="Z112" s="2" t="s">
        <v>50</v>
      </c>
      <c r="AA112" s="2">
        <v>6</v>
      </c>
      <c r="AB112" s="2">
        <v>1919.66</v>
      </c>
    </row>
    <row r="113" spans="1:28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  <c r="P113" s="2">
        <v>10195</v>
      </c>
      <c r="Q113" s="2">
        <v>1574</v>
      </c>
      <c r="R113" s="3">
        <v>45044</v>
      </c>
      <c r="S113" s="3">
        <v>45045</v>
      </c>
      <c r="T113" s="2" t="s">
        <v>37</v>
      </c>
      <c r="U113" s="2" t="s">
        <v>26</v>
      </c>
      <c r="V113" s="2" t="s">
        <v>20</v>
      </c>
      <c r="W113" s="2" t="s">
        <v>38</v>
      </c>
      <c r="X113" s="2" t="s">
        <v>34</v>
      </c>
      <c r="Y113" s="2" t="s">
        <v>68</v>
      </c>
      <c r="Z113" s="2" t="s">
        <v>50</v>
      </c>
      <c r="AA113" s="2">
        <v>6</v>
      </c>
      <c r="AB113" s="2">
        <v>344.65</v>
      </c>
    </row>
    <row r="114" spans="1:28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  <c r="P114" s="2">
        <v>10223</v>
      </c>
      <c r="Q114" s="2">
        <v>1645</v>
      </c>
      <c r="R114" s="3">
        <v>45108</v>
      </c>
      <c r="S114" s="3">
        <v>45117</v>
      </c>
      <c r="T114" s="2" t="s">
        <v>49</v>
      </c>
      <c r="U114" s="2" t="s">
        <v>57</v>
      </c>
      <c r="V114" s="2" t="s">
        <v>20</v>
      </c>
      <c r="W114" s="2" t="s">
        <v>28</v>
      </c>
      <c r="X114" s="2" t="s">
        <v>60</v>
      </c>
      <c r="Y114" s="2" t="s">
        <v>62</v>
      </c>
      <c r="Z114" s="2" t="s">
        <v>50</v>
      </c>
      <c r="AA114" s="2">
        <v>6</v>
      </c>
      <c r="AB114" s="2">
        <v>1477.55</v>
      </c>
    </row>
    <row r="115" spans="1:28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  <c r="P115" s="2">
        <v>10327</v>
      </c>
      <c r="Q115" s="2">
        <v>1463</v>
      </c>
      <c r="R115" s="3">
        <v>45169</v>
      </c>
      <c r="S115" s="3">
        <v>45176</v>
      </c>
      <c r="T115" s="2" t="s">
        <v>25</v>
      </c>
      <c r="U115" s="2" t="s">
        <v>26</v>
      </c>
      <c r="V115" s="2" t="s">
        <v>20</v>
      </c>
      <c r="W115" s="2" t="s">
        <v>45</v>
      </c>
      <c r="X115" s="2" t="s">
        <v>55</v>
      </c>
      <c r="Y115" s="2" t="s">
        <v>63</v>
      </c>
      <c r="Z115" s="2" t="s">
        <v>50</v>
      </c>
      <c r="AA115" s="2">
        <v>6</v>
      </c>
      <c r="AB115" s="2">
        <v>3967.1</v>
      </c>
    </row>
    <row r="116" spans="1:28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  <c r="P116" s="2">
        <v>10371</v>
      </c>
      <c r="Q116" s="2">
        <v>1253</v>
      </c>
      <c r="R116" s="3">
        <v>44973</v>
      </c>
      <c r="S116" s="3">
        <v>44979</v>
      </c>
      <c r="T116" s="2" t="s">
        <v>37</v>
      </c>
      <c r="U116" s="2" t="s">
        <v>44</v>
      </c>
      <c r="V116" s="2" t="s">
        <v>20</v>
      </c>
      <c r="W116" s="2" t="s">
        <v>21</v>
      </c>
      <c r="X116" s="2" t="s">
        <v>52</v>
      </c>
      <c r="Y116" s="2" t="s">
        <v>70</v>
      </c>
      <c r="Z116" s="2" t="s">
        <v>50</v>
      </c>
      <c r="AA116" s="2">
        <v>6</v>
      </c>
      <c r="AB116" s="2">
        <v>2715.13</v>
      </c>
    </row>
    <row r="117" spans="1:28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  <c r="P117" s="2">
        <v>10394</v>
      </c>
      <c r="Q117" s="2">
        <v>1421</v>
      </c>
      <c r="R117" s="3">
        <v>45172</v>
      </c>
      <c r="S117" s="3">
        <v>45173</v>
      </c>
      <c r="T117" s="2" t="s">
        <v>25</v>
      </c>
      <c r="U117" s="2" t="s">
        <v>32</v>
      </c>
      <c r="V117" s="2" t="s">
        <v>20</v>
      </c>
      <c r="W117" s="2" t="s">
        <v>21</v>
      </c>
      <c r="X117" s="2" t="s">
        <v>52</v>
      </c>
      <c r="Y117" s="2" t="s">
        <v>53</v>
      </c>
      <c r="Z117" s="2" t="s">
        <v>50</v>
      </c>
      <c r="AA117" s="2">
        <v>6</v>
      </c>
      <c r="AB117" s="2">
        <v>2716.48</v>
      </c>
    </row>
    <row r="118" spans="1:28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  <c r="P118" s="2">
        <v>10422</v>
      </c>
      <c r="Q118" s="2">
        <v>1915</v>
      </c>
      <c r="R118" s="3">
        <v>45059</v>
      </c>
      <c r="S118" s="3">
        <v>45061</v>
      </c>
      <c r="T118" s="2" t="s">
        <v>19</v>
      </c>
      <c r="U118" s="2" t="s">
        <v>57</v>
      </c>
      <c r="V118" s="2" t="s">
        <v>20</v>
      </c>
      <c r="W118" s="2" t="s">
        <v>21</v>
      </c>
      <c r="X118" s="2" t="s">
        <v>55</v>
      </c>
      <c r="Y118" s="2" t="s">
        <v>67</v>
      </c>
      <c r="Z118" s="2" t="s">
        <v>50</v>
      </c>
      <c r="AA118" s="2">
        <v>6</v>
      </c>
      <c r="AB118" s="2">
        <v>1288.31</v>
      </c>
    </row>
    <row r="119" spans="1:28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  <c r="P119" s="2">
        <v>10480</v>
      </c>
      <c r="Q119" s="2">
        <v>1301</v>
      </c>
      <c r="R119" s="3">
        <v>45117</v>
      </c>
      <c r="S119" s="3">
        <v>45119</v>
      </c>
      <c r="T119" s="2" t="s">
        <v>19</v>
      </c>
      <c r="U119" s="2" t="s">
        <v>32</v>
      </c>
      <c r="V119" s="2" t="s">
        <v>20</v>
      </c>
      <c r="W119" s="2" t="s">
        <v>47</v>
      </c>
      <c r="X119" s="2" t="s">
        <v>29</v>
      </c>
      <c r="Y119" s="2" t="s">
        <v>39</v>
      </c>
      <c r="Z119" s="2" t="s">
        <v>50</v>
      </c>
      <c r="AA119" s="2">
        <v>6</v>
      </c>
      <c r="AB119" s="2">
        <v>845</v>
      </c>
    </row>
    <row r="120" spans="1:28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  <c r="P120" s="2">
        <v>10087</v>
      </c>
      <c r="Q120" s="2">
        <v>1931</v>
      </c>
      <c r="R120" s="3">
        <v>45038</v>
      </c>
      <c r="S120" s="3">
        <v>45045</v>
      </c>
      <c r="T120" s="2" t="s">
        <v>43</v>
      </c>
      <c r="U120" s="2" t="s">
        <v>32</v>
      </c>
      <c r="V120" s="2" t="s">
        <v>20</v>
      </c>
      <c r="W120" s="2" t="s">
        <v>21</v>
      </c>
      <c r="X120" s="2" t="s">
        <v>34</v>
      </c>
      <c r="Y120" s="2" t="s">
        <v>42</v>
      </c>
      <c r="Z120" s="2" t="s">
        <v>50</v>
      </c>
      <c r="AA120" s="2">
        <v>7</v>
      </c>
      <c r="AB120" s="2">
        <v>1373.12</v>
      </c>
    </row>
    <row r="121" spans="1:28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  <c r="P121" s="2">
        <v>10103</v>
      </c>
      <c r="Q121" s="2">
        <v>1201</v>
      </c>
      <c r="R121" s="3">
        <v>45238</v>
      </c>
      <c r="S121" s="3">
        <v>45244</v>
      </c>
      <c r="T121" s="2" t="s">
        <v>49</v>
      </c>
      <c r="U121" s="2" t="s">
        <v>26</v>
      </c>
      <c r="V121" s="2" t="s">
        <v>20</v>
      </c>
      <c r="W121" s="2" t="s">
        <v>45</v>
      </c>
      <c r="X121" s="2" t="s">
        <v>22</v>
      </c>
      <c r="Y121" s="2" t="s">
        <v>23</v>
      </c>
      <c r="Z121" s="2" t="s">
        <v>50</v>
      </c>
      <c r="AA121" s="2">
        <v>7</v>
      </c>
      <c r="AB121" s="2">
        <v>3590.34</v>
      </c>
    </row>
    <row r="122" spans="1:28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  <c r="P122" s="2">
        <v>10185</v>
      </c>
      <c r="Q122" s="2">
        <v>1870</v>
      </c>
      <c r="R122" s="3">
        <v>45016</v>
      </c>
      <c r="S122" s="3">
        <v>45023</v>
      </c>
      <c r="T122" s="2" t="s">
        <v>37</v>
      </c>
      <c r="U122" s="2" t="s">
        <v>19</v>
      </c>
      <c r="V122" s="2" t="s">
        <v>20</v>
      </c>
      <c r="W122" s="2" t="s">
        <v>21</v>
      </c>
      <c r="X122" s="2" t="s">
        <v>34</v>
      </c>
      <c r="Y122" s="2" t="s">
        <v>42</v>
      </c>
      <c r="Z122" s="2" t="s">
        <v>50</v>
      </c>
      <c r="AA122" s="2">
        <v>7</v>
      </c>
      <c r="AB122" s="2">
        <v>898.62</v>
      </c>
    </row>
    <row r="123" spans="1:28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  <c r="P123" s="2">
        <v>10369</v>
      </c>
      <c r="Q123" s="2">
        <v>1896</v>
      </c>
      <c r="R123" s="3">
        <v>44998</v>
      </c>
      <c r="S123" s="3">
        <v>45000</v>
      </c>
      <c r="T123" s="2" t="s">
        <v>25</v>
      </c>
      <c r="U123" s="2" t="s">
        <v>26</v>
      </c>
      <c r="V123" s="2" t="s">
        <v>20</v>
      </c>
      <c r="W123" s="2" t="s">
        <v>38</v>
      </c>
      <c r="X123" s="2" t="s">
        <v>29</v>
      </c>
      <c r="Y123" s="2" t="s">
        <v>39</v>
      </c>
      <c r="Z123" s="2" t="s">
        <v>50</v>
      </c>
      <c r="AA123" s="2">
        <v>8</v>
      </c>
      <c r="AB123" s="2">
        <v>3277.19</v>
      </c>
    </row>
    <row r="124" spans="1:28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  <c r="P124" s="2">
        <v>10481</v>
      </c>
      <c r="Q124" s="2">
        <v>1180</v>
      </c>
      <c r="R124" s="3">
        <v>44947</v>
      </c>
      <c r="S124" s="3">
        <v>44955</v>
      </c>
      <c r="T124" s="2" t="s">
        <v>37</v>
      </c>
      <c r="U124" s="2" t="s">
        <v>44</v>
      </c>
      <c r="V124" s="2" t="s">
        <v>20</v>
      </c>
      <c r="W124" s="2" t="s">
        <v>47</v>
      </c>
      <c r="X124" s="2" t="s">
        <v>52</v>
      </c>
      <c r="Y124" s="2" t="s">
        <v>53</v>
      </c>
      <c r="Z124" s="2" t="s">
        <v>50</v>
      </c>
      <c r="AA124" s="2">
        <v>8</v>
      </c>
      <c r="AB124" s="2">
        <v>1160.51</v>
      </c>
    </row>
    <row r="125" spans="1:28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  <c r="P125" s="2">
        <v>10172</v>
      </c>
      <c r="Q125" s="2">
        <v>1546</v>
      </c>
      <c r="R125" s="3">
        <v>45087</v>
      </c>
      <c r="S125" s="3">
        <v>45088</v>
      </c>
      <c r="T125" s="2" t="s">
        <v>49</v>
      </c>
      <c r="U125" s="2" t="s">
        <v>57</v>
      </c>
      <c r="V125" s="2" t="s">
        <v>20</v>
      </c>
      <c r="W125" s="2" t="s">
        <v>45</v>
      </c>
      <c r="X125" s="2" t="s">
        <v>52</v>
      </c>
      <c r="Y125" s="2" t="s">
        <v>66</v>
      </c>
      <c r="Z125" s="2" t="s">
        <v>50</v>
      </c>
      <c r="AA125" s="2">
        <v>9</v>
      </c>
      <c r="AB125" s="2">
        <v>3159.22</v>
      </c>
    </row>
    <row r="126" spans="1:28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  <c r="P126" s="2">
        <v>10235</v>
      </c>
      <c r="Q126" s="2">
        <v>1472</v>
      </c>
      <c r="R126" s="3">
        <v>45032</v>
      </c>
      <c r="S126" s="3">
        <v>45040</v>
      </c>
      <c r="T126" s="2" t="s">
        <v>43</v>
      </c>
      <c r="U126" s="2" t="s">
        <v>32</v>
      </c>
      <c r="V126" s="2" t="s">
        <v>20</v>
      </c>
      <c r="W126" s="2" t="s">
        <v>38</v>
      </c>
      <c r="X126" s="2" t="s">
        <v>55</v>
      </c>
      <c r="Y126" s="2" t="s">
        <v>63</v>
      </c>
      <c r="Z126" s="2" t="s">
        <v>50</v>
      </c>
      <c r="AA126" s="2">
        <v>9</v>
      </c>
      <c r="AB126" s="2">
        <v>2677.09</v>
      </c>
    </row>
    <row r="127" spans="1:28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  <c r="P127" s="2">
        <v>10024</v>
      </c>
      <c r="Q127" s="2">
        <v>1343</v>
      </c>
      <c r="R127" s="3">
        <v>45075</v>
      </c>
      <c r="S127" s="3">
        <v>45082</v>
      </c>
      <c r="T127" s="2" t="s">
        <v>25</v>
      </c>
      <c r="U127" s="2" t="s">
        <v>44</v>
      </c>
      <c r="V127" s="2" t="s">
        <v>20</v>
      </c>
      <c r="W127" s="2" t="s">
        <v>47</v>
      </c>
      <c r="X127" s="2" t="s">
        <v>52</v>
      </c>
      <c r="Y127" s="2" t="s">
        <v>54</v>
      </c>
      <c r="Z127" s="2" t="s">
        <v>48</v>
      </c>
      <c r="AA127" s="2">
        <v>1</v>
      </c>
      <c r="AB127" s="2">
        <v>3606.31</v>
      </c>
    </row>
    <row r="128" spans="1:28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  <c r="P128" s="2">
        <v>10249</v>
      </c>
      <c r="Q128" s="2">
        <v>1709</v>
      </c>
      <c r="R128" s="3">
        <v>45255</v>
      </c>
      <c r="S128" s="3">
        <v>45263</v>
      </c>
      <c r="T128" s="2" t="s">
        <v>49</v>
      </c>
      <c r="U128" s="2" t="s">
        <v>44</v>
      </c>
      <c r="V128" s="2" t="s">
        <v>20</v>
      </c>
      <c r="W128" s="2" t="s">
        <v>21</v>
      </c>
      <c r="X128" s="2" t="s">
        <v>34</v>
      </c>
      <c r="Y128" s="2" t="s">
        <v>68</v>
      </c>
      <c r="Z128" s="2" t="s">
        <v>48</v>
      </c>
      <c r="AA128" s="2">
        <v>1</v>
      </c>
      <c r="AB128" s="2">
        <v>3942.92</v>
      </c>
    </row>
    <row r="129" spans="1:28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  <c r="P129" s="2">
        <v>10313</v>
      </c>
      <c r="Q129" s="2">
        <v>1836</v>
      </c>
      <c r="R129" s="3">
        <v>44992</v>
      </c>
      <c r="S129" s="3">
        <v>44997</v>
      </c>
      <c r="T129" s="2" t="s">
        <v>43</v>
      </c>
      <c r="U129" s="2" t="s">
        <v>44</v>
      </c>
      <c r="V129" s="2" t="s">
        <v>20</v>
      </c>
      <c r="W129" s="2" t="s">
        <v>38</v>
      </c>
      <c r="X129" s="2" t="s">
        <v>60</v>
      </c>
      <c r="Y129" s="2" t="s">
        <v>65</v>
      </c>
      <c r="Z129" s="2" t="s">
        <v>48</v>
      </c>
      <c r="AA129" s="2">
        <v>1</v>
      </c>
      <c r="AB129" s="2">
        <v>3251.27</v>
      </c>
    </row>
    <row r="130" spans="1:28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  <c r="P130" s="2">
        <v>10417</v>
      </c>
      <c r="Q130" s="2">
        <v>1579</v>
      </c>
      <c r="R130" s="3">
        <v>45057</v>
      </c>
      <c r="S130" s="3">
        <v>45065</v>
      </c>
      <c r="T130" s="2" t="s">
        <v>25</v>
      </c>
      <c r="U130" s="2" t="s">
        <v>57</v>
      </c>
      <c r="V130" s="2" t="s">
        <v>20</v>
      </c>
      <c r="W130" s="2" t="s">
        <v>47</v>
      </c>
      <c r="X130" s="2" t="s">
        <v>55</v>
      </c>
      <c r="Y130" s="2" t="s">
        <v>67</v>
      </c>
      <c r="Z130" s="2" t="s">
        <v>48</v>
      </c>
      <c r="AA130" s="2">
        <v>1</v>
      </c>
      <c r="AB130" s="2">
        <v>3354.81</v>
      </c>
    </row>
    <row r="131" spans="1:28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  <c r="P131" s="2">
        <v>10023</v>
      </c>
      <c r="Q131" s="2">
        <v>1769</v>
      </c>
      <c r="R131" s="3">
        <v>45075</v>
      </c>
      <c r="S131" s="3">
        <v>45084</v>
      </c>
      <c r="T131" s="2" t="s">
        <v>19</v>
      </c>
      <c r="U131" s="2" t="s">
        <v>26</v>
      </c>
      <c r="V131" s="2" t="s">
        <v>20</v>
      </c>
      <c r="W131" s="2" t="s">
        <v>45</v>
      </c>
      <c r="X131" s="2" t="s">
        <v>34</v>
      </c>
      <c r="Y131" s="2" t="s">
        <v>35</v>
      </c>
      <c r="Z131" s="2" t="s">
        <v>48</v>
      </c>
      <c r="AA131" s="2">
        <v>2</v>
      </c>
      <c r="AB131" s="2">
        <v>2801.74</v>
      </c>
    </row>
    <row r="132" spans="1:28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  <c r="P132" s="2">
        <v>10065</v>
      </c>
      <c r="Q132" s="2">
        <v>1273</v>
      </c>
      <c r="R132" s="3">
        <v>45054</v>
      </c>
      <c r="S132" s="3">
        <v>45058</v>
      </c>
      <c r="T132" s="2" t="s">
        <v>18</v>
      </c>
      <c r="U132" s="2" t="s">
        <v>41</v>
      </c>
      <c r="V132" s="2" t="s">
        <v>20</v>
      </c>
      <c r="W132" s="2" t="s">
        <v>45</v>
      </c>
      <c r="X132" s="2" t="s">
        <v>22</v>
      </c>
      <c r="Y132" s="2" t="s">
        <v>46</v>
      </c>
      <c r="Z132" s="2" t="s">
        <v>48</v>
      </c>
      <c r="AA132" s="2">
        <v>2</v>
      </c>
      <c r="AB132" s="2">
        <v>2773.21</v>
      </c>
    </row>
    <row r="133" spans="1:28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  <c r="P133" s="2">
        <v>10139</v>
      </c>
      <c r="Q133" s="2">
        <v>1647</v>
      </c>
      <c r="R133" s="3">
        <v>45084</v>
      </c>
      <c r="S133" s="3">
        <v>45087</v>
      </c>
      <c r="T133" s="2" t="s">
        <v>49</v>
      </c>
      <c r="U133" s="2" t="s">
        <v>26</v>
      </c>
      <c r="V133" s="2" t="s">
        <v>20</v>
      </c>
      <c r="W133" s="2" t="s">
        <v>45</v>
      </c>
      <c r="X133" s="2" t="s">
        <v>55</v>
      </c>
      <c r="Y133" s="2" t="s">
        <v>56</v>
      </c>
      <c r="Z133" s="2" t="s">
        <v>48</v>
      </c>
      <c r="AA133" s="2">
        <v>2</v>
      </c>
      <c r="AB133" s="2">
        <v>402.91</v>
      </c>
    </row>
    <row r="134" spans="1:28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  <c r="P134" s="2">
        <v>10154</v>
      </c>
      <c r="Q134" s="2">
        <v>1027</v>
      </c>
      <c r="R134" s="3">
        <v>45118</v>
      </c>
      <c r="S134" s="3">
        <v>45126</v>
      </c>
      <c r="T134" s="2" t="s">
        <v>43</v>
      </c>
      <c r="U134" s="2" t="s">
        <v>26</v>
      </c>
      <c r="V134" s="2" t="s">
        <v>20</v>
      </c>
      <c r="W134" s="2" t="s">
        <v>45</v>
      </c>
      <c r="X134" s="2" t="s">
        <v>22</v>
      </c>
      <c r="Y134" s="2" t="s">
        <v>46</v>
      </c>
      <c r="Z134" s="2" t="s">
        <v>48</v>
      </c>
      <c r="AA134" s="2">
        <v>2</v>
      </c>
      <c r="AB134" s="2">
        <v>764.56</v>
      </c>
    </row>
    <row r="135" spans="1:28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  <c r="P135" s="2">
        <v>10218</v>
      </c>
      <c r="Q135" s="2">
        <v>1577</v>
      </c>
      <c r="R135" s="3">
        <v>45206</v>
      </c>
      <c r="S135" s="3">
        <v>45209</v>
      </c>
      <c r="T135" s="2" t="s">
        <v>40</v>
      </c>
      <c r="U135" s="2" t="s">
        <v>32</v>
      </c>
      <c r="V135" s="2" t="s">
        <v>20</v>
      </c>
      <c r="W135" s="2" t="s">
        <v>47</v>
      </c>
      <c r="X135" s="2" t="s">
        <v>29</v>
      </c>
      <c r="Y135" s="2" t="s">
        <v>71</v>
      </c>
      <c r="Z135" s="2" t="s">
        <v>48</v>
      </c>
      <c r="AA135" s="2">
        <v>2</v>
      </c>
      <c r="AB135" s="2">
        <v>2401.63</v>
      </c>
    </row>
    <row r="136" spans="1:28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  <c r="P136" s="2">
        <v>10254</v>
      </c>
      <c r="Q136" s="2">
        <v>1676</v>
      </c>
      <c r="R136" s="3">
        <v>45010</v>
      </c>
      <c r="S136" s="3">
        <v>45012</v>
      </c>
      <c r="T136" s="2" t="s">
        <v>25</v>
      </c>
      <c r="U136" s="2" t="s">
        <v>19</v>
      </c>
      <c r="V136" s="2" t="s">
        <v>20</v>
      </c>
      <c r="W136" s="2" t="s">
        <v>45</v>
      </c>
      <c r="X136" s="2" t="s">
        <v>55</v>
      </c>
      <c r="Y136" s="2" t="s">
        <v>67</v>
      </c>
      <c r="Z136" s="2" t="s">
        <v>48</v>
      </c>
      <c r="AA136" s="2">
        <v>2</v>
      </c>
      <c r="AB136" s="2">
        <v>2711.66</v>
      </c>
    </row>
    <row r="137" spans="1:28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  <c r="P137" s="2">
        <v>10455</v>
      </c>
      <c r="Q137" s="2">
        <v>1480</v>
      </c>
      <c r="R137" s="3">
        <v>45034</v>
      </c>
      <c r="S137" s="3">
        <v>45036</v>
      </c>
      <c r="T137" s="2" t="s">
        <v>18</v>
      </c>
      <c r="U137" s="2" t="s">
        <v>32</v>
      </c>
      <c r="V137" s="2" t="s">
        <v>20</v>
      </c>
      <c r="W137" s="2" t="s">
        <v>21</v>
      </c>
      <c r="X137" s="2" t="s">
        <v>55</v>
      </c>
      <c r="Y137" s="2" t="s">
        <v>67</v>
      </c>
      <c r="Z137" s="2" t="s">
        <v>48</v>
      </c>
      <c r="AA137" s="2">
        <v>2</v>
      </c>
      <c r="AB137" s="2">
        <v>1374.23</v>
      </c>
    </row>
    <row r="138" spans="1:28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  <c r="P138" s="2">
        <v>10485</v>
      </c>
      <c r="Q138" s="2">
        <v>1992</v>
      </c>
      <c r="R138" s="3">
        <v>45228</v>
      </c>
      <c r="S138" s="3">
        <v>45237</v>
      </c>
      <c r="T138" s="2" t="s">
        <v>19</v>
      </c>
      <c r="U138" s="2" t="s">
        <v>19</v>
      </c>
      <c r="V138" s="2" t="s">
        <v>20</v>
      </c>
      <c r="W138" s="2" t="s">
        <v>45</v>
      </c>
      <c r="X138" s="2" t="s">
        <v>22</v>
      </c>
      <c r="Y138" s="2" t="s">
        <v>46</v>
      </c>
      <c r="Z138" s="2" t="s">
        <v>48</v>
      </c>
      <c r="AA138" s="2">
        <v>2</v>
      </c>
      <c r="AB138" s="2">
        <v>1294.8399999999999</v>
      </c>
    </row>
    <row r="139" spans="1:28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  <c r="P139" s="2">
        <v>10244</v>
      </c>
      <c r="Q139" s="2">
        <v>1627</v>
      </c>
      <c r="R139" s="3">
        <v>45032</v>
      </c>
      <c r="S139" s="3">
        <v>45038</v>
      </c>
      <c r="T139" s="2" t="s">
        <v>37</v>
      </c>
      <c r="U139" s="2" t="s">
        <v>32</v>
      </c>
      <c r="V139" s="2" t="s">
        <v>20</v>
      </c>
      <c r="W139" s="2" t="s">
        <v>47</v>
      </c>
      <c r="X139" s="2" t="s">
        <v>55</v>
      </c>
      <c r="Y139" s="2" t="s">
        <v>56</v>
      </c>
      <c r="Z139" s="2" t="s">
        <v>48</v>
      </c>
      <c r="AA139" s="2">
        <v>3</v>
      </c>
      <c r="AB139" s="2">
        <v>800.89</v>
      </c>
    </row>
    <row r="140" spans="1:28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  <c r="P140" s="2">
        <v>10441</v>
      </c>
      <c r="Q140" s="2">
        <v>1229</v>
      </c>
      <c r="R140" s="3">
        <v>45116</v>
      </c>
      <c r="S140" s="3">
        <v>45119</v>
      </c>
      <c r="T140" s="2" t="s">
        <v>19</v>
      </c>
      <c r="U140" s="2" t="s">
        <v>26</v>
      </c>
      <c r="V140" s="2" t="s">
        <v>20</v>
      </c>
      <c r="W140" s="2" t="s">
        <v>45</v>
      </c>
      <c r="X140" s="2" t="s">
        <v>34</v>
      </c>
      <c r="Y140" s="2" t="s">
        <v>68</v>
      </c>
      <c r="Z140" s="2" t="s">
        <v>48</v>
      </c>
      <c r="AA140" s="2">
        <v>3</v>
      </c>
      <c r="AB140" s="2">
        <v>2189.4</v>
      </c>
    </row>
    <row r="141" spans="1:28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  <c r="P141" s="2">
        <v>10175</v>
      </c>
      <c r="Q141" s="2">
        <v>1612</v>
      </c>
      <c r="R141" s="3">
        <v>45074</v>
      </c>
      <c r="S141" s="3">
        <v>45081</v>
      </c>
      <c r="T141" s="2" t="s">
        <v>19</v>
      </c>
      <c r="U141" s="2" t="s">
        <v>44</v>
      </c>
      <c r="V141" s="2" t="s">
        <v>20</v>
      </c>
      <c r="W141" s="2" t="s">
        <v>21</v>
      </c>
      <c r="X141" s="2" t="s">
        <v>34</v>
      </c>
      <c r="Y141" s="2" t="s">
        <v>35</v>
      </c>
      <c r="Z141" s="2" t="s">
        <v>48</v>
      </c>
      <c r="AA141" s="2">
        <v>4</v>
      </c>
      <c r="AB141" s="2">
        <v>2836.21</v>
      </c>
    </row>
    <row r="142" spans="1:28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  <c r="P142" s="2">
        <v>10197</v>
      </c>
      <c r="Q142" s="2">
        <v>1742</v>
      </c>
      <c r="R142" s="3">
        <v>45263</v>
      </c>
      <c r="S142" s="3">
        <v>45266</v>
      </c>
      <c r="T142" s="2" t="s">
        <v>19</v>
      </c>
      <c r="U142" s="2" t="s">
        <v>41</v>
      </c>
      <c r="V142" s="2" t="s">
        <v>20</v>
      </c>
      <c r="W142" s="2" t="s">
        <v>38</v>
      </c>
      <c r="X142" s="2" t="s">
        <v>52</v>
      </c>
      <c r="Y142" s="2" t="s">
        <v>70</v>
      </c>
      <c r="Z142" s="2" t="s">
        <v>48</v>
      </c>
      <c r="AA142" s="2">
        <v>4</v>
      </c>
      <c r="AB142" s="2">
        <v>1256.21</v>
      </c>
    </row>
    <row r="143" spans="1:28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  <c r="P143" s="2">
        <v>10007</v>
      </c>
      <c r="Q143" s="2">
        <v>1700</v>
      </c>
      <c r="R143" s="3">
        <v>45050</v>
      </c>
      <c r="S143" s="3">
        <v>45054</v>
      </c>
      <c r="T143" s="2" t="s">
        <v>37</v>
      </c>
      <c r="U143" s="2" t="s">
        <v>44</v>
      </c>
      <c r="V143" s="2" t="s">
        <v>20</v>
      </c>
      <c r="W143" s="2" t="s">
        <v>47</v>
      </c>
      <c r="X143" s="2" t="s">
        <v>34</v>
      </c>
      <c r="Y143" s="2" t="s">
        <v>35</v>
      </c>
      <c r="Z143" s="2" t="s">
        <v>48</v>
      </c>
      <c r="AA143" s="2">
        <v>5</v>
      </c>
      <c r="AB143" s="2">
        <v>3030.42</v>
      </c>
    </row>
    <row r="144" spans="1:28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  <c r="P144" s="2">
        <v>10107</v>
      </c>
      <c r="Q144" s="2">
        <v>1862</v>
      </c>
      <c r="R144" s="3">
        <v>45058</v>
      </c>
      <c r="S144" s="3">
        <v>45064</v>
      </c>
      <c r="T144" s="2" t="s">
        <v>49</v>
      </c>
      <c r="U144" s="2" t="s">
        <v>41</v>
      </c>
      <c r="V144" s="2" t="s">
        <v>20</v>
      </c>
      <c r="W144" s="2" t="s">
        <v>47</v>
      </c>
      <c r="X144" s="2" t="s">
        <v>55</v>
      </c>
      <c r="Y144" s="2" t="s">
        <v>63</v>
      </c>
      <c r="Z144" s="2" t="s">
        <v>48</v>
      </c>
      <c r="AA144" s="2">
        <v>5</v>
      </c>
      <c r="AB144" s="2">
        <v>1063.01</v>
      </c>
    </row>
    <row r="145" spans="1:28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  <c r="P145" s="2">
        <v>10198</v>
      </c>
      <c r="Q145" s="2">
        <v>1240</v>
      </c>
      <c r="R145" s="3">
        <v>45291</v>
      </c>
      <c r="S145" s="3">
        <v>45292</v>
      </c>
      <c r="T145" s="2" t="s">
        <v>37</v>
      </c>
      <c r="U145" s="2" t="s">
        <v>44</v>
      </c>
      <c r="V145" s="2" t="s">
        <v>20</v>
      </c>
      <c r="W145" s="2" t="s">
        <v>45</v>
      </c>
      <c r="X145" s="2" t="s">
        <v>22</v>
      </c>
      <c r="Y145" s="2" t="s">
        <v>72</v>
      </c>
      <c r="Z145" s="2" t="s">
        <v>48</v>
      </c>
      <c r="AA145" s="2">
        <v>5</v>
      </c>
      <c r="AB145" s="2">
        <v>1227.02</v>
      </c>
    </row>
    <row r="146" spans="1:28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  <c r="P146" s="2">
        <v>10226</v>
      </c>
      <c r="Q146" s="2">
        <v>1619</v>
      </c>
      <c r="R146" s="3">
        <v>45290</v>
      </c>
      <c r="S146" s="3">
        <v>45291</v>
      </c>
      <c r="T146" s="2" t="s">
        <v>40</v>
      </c>
      <c r="U146" s="2" t="s">
        <v>41</v>
      </c>
      <c r="V146" s="2" t="s">
        <v>20</v>
      </c>
      <c r="W146" s="2" t="s">
        <v>45</v>
      </c>
      <c r="X146" s="2" t="s">
        <v>52</v>
      </c>
      <c r="Y146" s="2" t="s">
        <v>66</v>
      </c>
      <c r="Z146" s="2" t="s">
        <v>48</v>
      </c>
      <c r="AA146" s="2">
        <v>5</v>
      </c>
      <c r="AB146" s="2">
        <v>620.13</v>
      </c>
    </row>
    <row r="147" spans="1:28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  <c r="P147" s="2">
        <v>10494</v>
      </c>
      <c r="Q147" s="2">
        <v>1322</v>
      </c>
      <c r="R147" s="3">
        <v>45151</v>
      </c>
      <c r="S147" s="3">
        <v>45154</v>
      </c>
      <c r="T147" s="2" t="s">
        <v>40</v>
      </c>
      <c r="U147" s="2" t="s">
        <v>44</v>
      </c>
      <c r="V147" s="2" t="s">
        <v>20</v>
      </c>
      <c r="W147" s="2" t="s">
        <v>47</v>
      </c>
      <c r="X147" s="2" t="s">
        <v>60</v>
      </c>
      <c r="Y147" s="2" t="s">
        <v>69</v>
      </c>
      <c r="Z147" s="2" t="s">
        <v>48</v>
      </c>
      <c r="AA147" s="2">
        <v>5</v>
      </c>
      <c r="AB147" s="2">
        <v>529.59</v>
      </c>
    </row>
    <row r="148" spans="1:28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  <c r="P148" s="2">
        <v>10056</v>
      </c>
      <c r="Q148" s="2">
        <v>1831</v>
      </c>
      <c r="R148" s="3">
        <v>44929</v>
      </c>
      <c r="S148" s="3">
        <v>44934</v>
      </c>
      <c r="T148" s="2" t="s">
        <v>40</v>
      </c>
      <c r="U148" s="2" t="s">
        <v>32</v>
      </c>
      <c r="V148" s="2" t="s">
        <v>20</v>
      </c>
      <c r="W148" s="2" t="s">
        <v>45</v>
      </c>
      <c r="X148" s="2" t="s">
        <v>60</v>
      </c>
      <c r="Y148" s="2" t="s">
        <v>65</v>
      </c>
      <c r="Z148" s="2" t="s">
        <v>48</v>
      </c>
      <c r="AA148" s="2">
        <v>6</v>
      </c>
      <c r="AB148" s="2">
        <v>3402.72</v>
      </c>
    </row>
    <row r="149" spans="1:28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  <c r="P149" s="2">
        <v>10496</v>
      </c>
      <c r="Q149" s="2">
        <v>1017</v>
      </c>
      <c r="R149" s="3">
        <v>45177</v>
      </c>
      <c r="S149" s="3">
        <v>45178</v>
      </c>
      <c r="T149" s="2" t="s">
        <v>18</v>
      </c>
      <c r="U149" s="2" t="s">
        <v>26</v>
      </c>
      <c r="V149" s="2" t="s">
        <v>20</v>
      </c>
      <c r="W149" s="2" t="s">
        <v>45</v>
      </c>
      <c r="X149" s="2" t="s">
        <v>55</v>
      </c>
      <c r="Y149" s="2" t="s">
        <v>63</v>
      </c>
      <c r="Z149" s="2" t="s">
        <v>48</v>
      </c>
      <c r="AA149" s="2">
        <v>6</v>
      </c>
      <c r="AB149" s="2">
        <v>1128.9100000000001</v>
      </c>
    </row>
    <row r="150" spans="1:28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  <c r="P150" s="2">
        <v>10033</v>
      </c>
      <c r="Q150" s="2">
        <v>1459</v>
      </c>
      <c r="R150" s="3">
        <v>45129</v>
      </c>
      <c r="S150" s="3">
        <v>45130</v>
      </c>
      <c r="T150" s="2" t="s">
        <v>25</v>
      </c>
      <c r="U150" s="2" t="s">
        <v>41</v>
      </c>
      <c r="V150" s="2" t="s">
        <v>20</v>
      </c>
      <c r="W150" s="2" t="s">
        <v>47</v>
      </c>
      <c r="X150" s="2" t="s">
        <v>60</v>
      </c>
      <c r="Y150" s="2" t="s">
        <v>62</v>
      </c>
      <c r="Z150" s="2" t="s">
        <v>48</v>
      </c>
      <c r="AA150" s="2">
        <v>7</v>
      </c>
      <c r="AB150" s="2">
        <v>3363.18</v>
      </c>
    </row>
    <row r="151" spans="1:28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  <c r="P151" s="2">
        <v>10039</v>
      </c>
      <c r="Q151" s="2">
        <v>1560</v>
      </c>
      <c r="R151" s="3">
        <v>44948</v>
      </c>
      <c r="S151" s="3">
        <v>44953</v>
      </c>
      <c r="T151" s="2" t="s">
        <v>37</v>
      </c>
      <c r="U151" s="2" t="s">
        <v>44</v>
      </c>
      <c r="V151" s="2" t="s">
        <v>20</v>
      </c>
      <c r="W151" s="2" t="s">
        <v>21</v>
      </c>
      <c r="X151" s="2" t="s">
        <v>34</v>
      </c>
      <c r="Y151" s="2" t="s">
        <v>51</v>
      </c>
      <c r="Z151" s="2" t="s">
        <v>48</v>
      </c>
      <c r="AA151" s="2">
        <v>7</v>
      </c>
      <c r="AB151" s="2">
        <v>2369.42</v>
      </c>
    </row>
    <row r="152" spans="1:28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  <c r="P152" s="2">
        <v>10178</v>
      </c>
      <c r="Q152" s="2">
        <v>1642</v>
      </c>
      <c r="R152" s="3">
        <v>45124</v>
      </c>
      <c r="S152" s="3">
        <v>45126</v>
      </c>
      <c r="T152" s="2" t="s">
        <v>43</v>
      </c>
      <c r="U152" s="2" t="s">
        <v>32</v>
      </c>
      <c r="V152" s="2" t="s">
        <v>20</v>
      </c>
      <c r="W152" s="2" t="s">
        <v>21</v>
      </c>
      <c r="X152" s="2" t="s">
        <v>29</v>
      </c>
      <c r="Y152" s="2" t="s">
        <v>64</v>
      </c>
      <c r="Z152" s="2" t="s">
        <v>48</v>
      </c>
      <c r="AA152" s="2">
        <v>7</v>
      </c>
      <c r="AB152" s="2">
        <v>174.09</v>
      </c>
    </row>
    <row r="153" spans="1:28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P153" s="2">
        <v>10490</v>
      </c>
      <c r="Q153" s="2">
        <v>1927</v>
      </c>
      <c r="R153" s="3">
        <v>45259</v>
      </c>
      <c r="S153" s="3">
        <v>45261</v>
      </c>
      <c r="T153" s="2" t="s">
        <v>18</v>
      </c>
      <c r="U153" s="2" t="s">
        <v>32</v>
      </c>
      <c r="V153" s="2" t="s">
        <v>20</v>
      </c>
      <c r="W153" s="2" t="s">
        <v>38</v>
      </c>
      <c r="X153" s="2" t="s">
        <v>34</v>
      </c>
      <c r="Y153" s="2" t="s">
        <v>35</v>
      </c>
      <c r="Z153" s="2" t="s">
        <v>48</v>
      </c>
      <c r="AA153" s="2">
        <v>7</v>
      </c>
      <c r="AB153" s="2">
        <v>2838.06</v>
      </c>
    </row>
    <row r="154" spans="1:28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  <c r="P154" s="2">
        <v>10066</v>
      </c>
      <c r="Q154" s="2">
        <v>1387</v>
      </c>
      <c r="R154" s="3">
        <v>45155</v>
      </c>
      <c r="S154" s="3">
        <v>45158</v>
      </c>
      <c r="T154" s="2" t="s">
        <v>18</v>
      </c>
      <c r="U154" s="2" t="s">
        <v>26</v>
      </c>
      <c r="V154" s="2" t="s">
        <v>20</v>
      </c>
      <c r="W154" s="2" t="s">
        <v>38</v>
      </c>
      <c r="X154" s="2" t="s">
        <v>60</v>
      </c>
      <c r="Y154" s="2" t="s">
        <v>69</v>
      </c>
      <c r="Z154" s="2" t="s">
        <v>48</v>
      </c>
      <c r="AA154" s="2">
        <v>8</v>
      </c>
      <c r="AB154" s="2">
        <v>3769.71</v>
      </c>
    </row>
    <row r="155" spans="1:28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  <c r="P155" s="2">
        <v>10180</v>
      </c>
      <c r="Q155" s="2">
        <v>1004</v>
      </c>
      <c r="R155" s="3">
        <v>45004</v>
      </c>
      <c r="S155" s="3">
        <v>45006</v>
      </c>
      <c r="T155" s="2" t="s">
        <v>18</v>
      </c>
      <c r="U155" s="2" t="s">
        <v>32</v>
      </c>
      <c r="V155" s="2" t="s">
        <v>20</v>
      </c>
      <c r="W155" s="2" t="s">
        <v>38</v>
      </c>
      <c r="X155" s="2" t="s">
        <v>22</v>
      </c>
      <c r="Y155" s="2" t="s">
        <v>46</v>
      </c>
      <c r="Z155" s="2" t="s">
        <v>48</v>
      </c>
      <c r="AA155" s="2">
        <v>8</v>
      </c>
      <c r="AB155" s="2">
        <v>2211.17</v>
      </c>
    </row>
    <row r="156" spans="1:28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  <c r="P156" s="2">
        <v>10209</v>
      </c>
      <c r="Q156" s="2">
        <v>1540</v>
      </c>
      <c r="R156" s="3">
        <v>45187</v>
      </c>
      <c r="S156" s="3">
        <v>45193</v>
      </c>
      <c r="T156" s="2" t="s">
        <v>43</v>
      </c>
      <c r="U156" s="2" t="s">
        <v>19</v>
      </c>
      <c r="V156" s="2" t="s">
        <v>20</v>
      </c>
      <c r="W156" s="2" t="s">
        <v>45</v>
      </c>
      <c r="X156" s="2" t="s">
        <v>52</v>
      </c>
      <c r="Y156" s="2" t="s">
        <v>53</v>
      </c>
      <c r="Z156" s="2" t="s">
        <v>48</v>
      </c>
      <c r="AA156" s="2">
        <v>8</v>
      </c>
      <c r="AB156" s="2">
        <v>1291.1099999999999</v>
      </c>
    </row>
    <row r="157" spans="1:28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  <c r="P157" s="2">
        <v>10240</v>
      </c>
      <c r="Q157" s="2">
        <v>1376</v>
      </c>
      <c r="R157" s="3">
        <v>45196</v>
      </c>
      <c r="S157" s="3">
        <v>45198</v>
      </c>
      <c r="T157" s="2" t="s">
        <v>19</v>
      </c>
      <c r="U157" s="2" t="s">
        <v>41</v>
      </c>
      <c r="V157" s="2" t="s">
        <v>20</v>
      </c>
      <c r="W157" s="2" t="s">
        <v>45</v>
      </c>
      <c r="X157" s="2" t="s">
        <v>60</v>
      </c>
      <c r="Y157" s="2" t="s">
        <v>69</v>
      </c>
      <c r="Z157" s="2" t="s">
        <v>48</v>
      </c>
      <c r="AA157" s="2">
        <v>9</v>
      </c>
      <c r="AB157" s="2">
        <v>265.58</v>
      </c>
    </row>
    <row r="158" spans="1:28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  <c r="P158" s="2">
        <v>10468</v>
      </c>
      <c r="Q158" s="2">
        <v>1157</v>
      </c>
      <c r="R158" s="3">
        <v>45074</v>
      </c>
      <c r="S158" s="3">
        <v>45082</v>
      </c>
      <c r="T158" s="2" t="s">
        <v>25</v>
      </c>
      <c r="U158" s="2" t="s">
        <v>19</v>
      </c>
      <c r="V158" s="2" t="s">
        <v>20</v>
      </c>
      <c r="W158" s="2" t="s">
        <v>21</v>
      </c>
      <c r="X158" s="2" t="s">
        <v>60</v>
      </c>
      <c r="Y158" s="2" t="s">
        <v>62</v>
      </c>
      <c r="Z158" s="2" t="s">
        <v>48</v>
      </c>
      <c r="AA158" s="2">
        <v>9</v>
      </c>
      <c r="AB158" s="2">
        <v>1890.53</v>
      </c>
    </row>
    <row r="159" spans="1:28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  <c r="P159" s="2">
        <v>10133</v>
      </c>
      <c r="Q159" s="2">
        <v>1064</v>
      </c>
      <c r="R159" s="3">
        <v>45262</v>
      </c>
      <c r="S159" s="3">
        <v>45267</v>
      </c>
      <c r="T159" s="2" t="s">
        <v>43</v>
      </c>
      <c r="U159" s="2" t="s">
        <v>19</v>
      </c>
      <c r="V159" s="2" t="s">
        <v>20</v>
      </c>
      <c r="W159" s="2" t="s">
        <v>21</v>
      </c>
      <c r="X159" s="2" t="s">
        <v>34</v>
      </c>
      <c r="Y159" s="2" t="s">
        <v>51</v>
      </c>
      <c r="Z159" s="2" t="s">
        <v>31</v>
      </c>
      <c r="AA159" s="2">
        <v>1</v>
      </c>
      <c r="AB159" s="2">
        <v>3990.85</v>
      </c>
    </row>
    <row r="160" spans="1:28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  <c r="P160" s="2">
        <v>10017</v>
      </c>
      <c r="Q160" s="2">
        <v>1099</v>
      </c>
      <c r="R160" s="3">
        <v>45148</v>
      </c>
      <c r="S160" s="3">
        <v>45151</v>
      </c>
      <c r="T160" s="2" t="s">
        <v>19</v>
      </c>
      <c r="U160" s="2" t="s">
        <v>57</v>
      </c>
      <c r="V160" s="2" t="s">
        <v>20</v>
      </c>
      <c r="W160" s="2" t="s">
        <v>47</v>
      </c>
      <c r="X160" s="2" t="s">
        <v>34</v>
      </c>
      <c r="Y160" s="2" t="s">
        <v>42</v>
      </c>
      <c r="Z160" s="2" t="s">
        <v>31</v>
      </c>
      <c r="AA160" s="2">
        <v>2</v>
      </c>
      <c r="AB160" s="2">
        <v>254.91</v>
      </c>
    </row>
    <row r="161" spans="1:28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  <c r="P161" s="2">
        <v>10141</v>
      </c>
      <c r="Q161" s="2">
        <v>1062</v>
      </c>
      <c r="R161" s="3">
        <v>45085</v>
      </c>
      <c r="S161" s="3">
        <v>45092</v>
      </c>
      <c r="T161" s="2" t="s">
        <v>40</v>
      </c>
      <c r="U161" s="2" t="s">
        <v>32</v>
      </c>
      <c r="V161" s="2" t="s">
        <v>20</v>
      </c>
      <c r="W161" s="2" t="s">
        <v>28</v>
      </c>
      <c r="X161" s="2" t="s">
        <v>34</v>
      </c>
      <c r="Y161" s="2" t="s">
        <v>42</v>
      </c>
      <c r="Z161" s="2" t="s">
        <v>31</v>
      </c>
      <c r="AA161" s="2">
        <v>2</v>
      </c>
      <c r="AB161" s="2">
        <v>1766.42</v>
      </c>
    </row>
    <row r="162" spans="1:28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  <c r="P162" s="2">
        <v>10080</v>
      </c>
      <c r="Q162" s="2">
        <v>1427</v>
      </c>
      <c r="R162" s="3">
        <v>45288</v>
      </c>
      <c r="S162" s="3">
        <v>45293</v>
      </c>
      <c r="T162" s="2" t="s">
        <v>18</v>
      </c>
      <c r="U162" s="2" t="s">
        <v>57</v>
      </c>
      <c r="V162" s="2" t="s">
        <v>20</v>
      </c>
      <c r="W162" s="2" t="s">
        <v>28</v>
      </c>
      <c r="X162" s="2" t="s">
        <v>55</v>
      </c>
      <c r="Y162" s="2" t="s">
        <v>59</v>
      </c>
      <c r="Z162" s="2" t="s">
        <v>31</v>
      </c>
      <c r="AA162" s="2">
        <v>3</v>
      </c>
      <c r="AB162" s="2">
        <v>262.25</v>
      </c>
    </row>
    <row r="163" spans="1:28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  <c r="P163" s="2">
        <v>10099</v>
      </c>
      <c r="Q163" s="2">
        <v>1401</v>
      </c>
      <c r="R163" s="3">
        <v>45001</v>
      </c>
      <c r="S163" s="3">
        <v>45009</v>
      </c>
      <c r="T163" s="2" t="s">
        <v>49</v>
      </c>
      <c r="U163" s="2" t="s">
        <v>41</v>
      </c>
      <c r="V163" s="2" t="s">
        <v>20</v>
      </c>
      <c r="W163" s="2" t="s">
        <v>45</v>
      </c>
      <c r="X163" s="2" t="s">
        <v>55</v>
      </c>
      <c r="Y163" s="2" t="s">
        <v>56</v>
      </c>
      <c r="Z163" s="2" t="s">
        <v>31</v>
      </c>
      <c r="AA163" s="2">
        <v>3</v>
      </c>
      <c r="AB163" s="2">
        <v>315.75</v>
      </c>
    </row>
    <row r="164" spans="1:28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  <c r="P164" s="2">
        <v>10260</v>
      </c>
      <c r="Q164" s="2">
        <v>1974</v>
      </c>
      <c r="R164" s="3">
        <v>45104</v>
      </c>
      <c r="S164" s="3">
        <v>45110</v>
      </c>
      <c r="T164" s="2" t="s">
        <v>25</v>
      </c>
      <c r="U164" s="2" t="s">
        <v>44</v>
      </c>
      <c r="V164" s="2" t="s">
        <v>20</v>
      </c>
      <c r="W164" s="2" t="s">
        <v>45</v>
      </c>
      <c r="X164" s="2" t="s">
        <v>34</v>
      </c>
      <c r="Y164" s="2" t="s">
        <v>68</v>
      </c>
      <c r="Z164" s="2" t="s">
        <v>31</v>
      </c>
      <c r="AA164" s="2">
        <v>3</v>
      </c>
      <c r="AB164" s="2">
        <v>647.32000000000005</v>
      </c>
    </row>
    <row r="165" spans="1:28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  <c r="P165" s="2">
        <v>10341</v>
      </c>
      <c r="Q165" s="2">
        <v>1710</v>
      </c>
      <c r="R165" s="3">
        <v>45042</v>
      </c>
      <c r="S165" s="3">
        <v>45048</v>
      </c>
      <c r="T165" s="2" t="s">
        <v>19</v>
      </c>
      <c r="U165" s="2" t="s">
        <v>32</v>
      </c>
      <c r="V165" s="2" t="s">
        <v>20</v>
      </c>
      <c r="W165" s="2" t="s">
        <v>38</v>
      </c>
      <c r="X165" s="2" t="s">
        <v>52</v>
      </c>
      <c r="Y165" s="2" t="s">
        <v>54</v>
      </c>
      <c r="Z165" s="2" t="s">
        <v>31</v>
      </c>
      <c r="AA165" s="2">
        <v>4</v>
      </c>
      <c r="AB165" s="2">
        <v>641.92999999999995</v>
      </c>
    </row>
    <row r="166" spans="1:28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  <c r="P166" s="2">
        <v>10447</v>
      </c>
      <c r="Q166" s="2">
        <v>1026</v>
      </c>
      <c r="R166" s="3">
        <v>45264</v>
      </c>
      <c r="S166" s="3">
        <v>45265</v>
      </c>
      <c r="T166" s="2" t="s">
        <v>37</v>
      </c>
      <c r="U166" s="2" t="s">
        <v>41</v>
      </c>
      <c r="V166" s="2" t="s">
        <v>20</v>
      </c>
      <c r="W166" s="2" t="s">
        <v>38</v>
      </c>
      <c r="X166" s="2" t="s">
        <v>29</v>
      </c>
      <c r="Y166" s="2" t="s">
        <v>71</v>
      </c>
      <c r="Z166" s="2" t="s">
        <v>31</v>
      </c>
      <c r="AA166" s="2">
        <v>4</v>
      </c>
      <c r="AB166" s="2">
        <v>3871.21</v>
      </c>
    </row>
    <row r="167" spans="1:28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  <c r="P167" s="2">
        <v>10036</v>
      </c>
      <c r="Q167" s="2">
        <v>1252</v>
      </c>
      <c r="R167" s="3">
        <v>45076</v>
      </c>
      <c r="S167" s="3">
        <v>45084</v>
      </c>
      <c r="T167" s="2" t="s">
        <v>19</v>
      </c>
      <c r="U167" s="2" t="s">
        <v>41</v>
      </c>
      <c r="V167" s="2" t="s">
        <v>20</v>
      </c>
      <c r="W167" s="2" t="s">
        <v>45</v>
      </c>
      <c r="X167" s="2" t="s">
        <v>29</v>
      </c>
      <c r="Y167" s="2" t="s">
        <v>30</v>
      </c>
      <c r="Z167" s="2" t="s">
        <v>31</v>
      </c>
      <c r="AA167" s="2">
        <v>5</v>
      </c>
      <c r="AB167" s="2">
        <v>2327.9</v>
      </c>
    </row>
    <row r="168" spans="1:28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  <c r="P168" s="2">
        <v>10091</v>
      </c>
      <c r="Q168" s="2">
        <v>1001</v>
      </c>
      <c r="R168" s="3">
        <v>45016</v>
      </c>
      <c r="S168" s="3">
        <v>45019</v>
      </c>
      <c r="T168" s="2" t="s">
        <v>40</v>
      </c>
      <c r="U168" s="2" t="s">
        <v>19</v>
      </c>
      <c r="V168" s="2" t="s">
        <v>20</v>
      </c>
      <c r="W168" s="2" t="s">
        <v>47</v>
      </c>
      <c r="X168" s="2" t="s">
        <v>29</v>
      </c>
      <c r="Y168" s="2" t="s">
        <v>30</v>
      </c>
      <c r="Z168" s="2" t="s">
        <v>31</v>
      </c>
      <c r="AA168" s="2">
        <v>5</v>
      </c>
      <c r="AB168" s="2">
        <v>3370.52</v>
      </c>
    </row>
    <row r="169" spans="1:28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  <c r="P169" s="2">
        <v>10491</v>
      </c>
      <c r="Q169" s="2">
        <v>1982</v>
      </c>
      <c r="R169" s="3">
        <v>45133</v>
      </c>
      <c r="S169" s="3">
        <v>45137</v>
      </c>
      <c r="T169" s="2" t="s">
        <v>19</v>
      </c>
      <c r="U169" s="2" t="s">
        <v>32</v>
      </c>
      <c r="V169" s="2" t="s">
        <v>20</v>
      </c>
      <c r="W169" s="2" t="s">
        <v>47</v>
      </c>
      <c r="X169" s="2" t="s">
        <v>52</v>
      </c>
      <c r="Y169" s="2" t="s">
        <v>66</v>
      </c>
      <c r="Z169" s="2" t="s">
        <v>31</v>
      </c>
      <c r="AA169" s="2">
        <v>5</v>
      </c>
      <c r="AB169" s="2">
        <v>977.43</v>
      </c>
    </row>
    <row r="170" spans="1:28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  <c r="P170" s="2">
        <v>10050</v>
      </c>
      <c r="Q170" s="2">
        <v>1686</v>
      </c>
      <c r="R170" s="3">
        <v>44970</v>
      </c>
      <c r="S170" s="3">
        <v>44978</v>
      </c>
      <c r="T170" s="2" t="s">
        <v>43</v>
      </c>
      <c r="U170" s="2" t="s">
        <v>19</v>
      </c>
      <c r="V170" s="2" t="s">
        <v>20</v>
      </c>
      <c r="W170" s="2" t="s">
        <v>45</v>
      </c>
      <c r="X170" s="2" t="s">
        <v>29</v>
      </c>
      <c r="Y170" s="2" t="s">
        <v>64</v>
      </c>
      <c r="Z170" s="2" t="s">
        <v>31</v>
      </c>
      <c r="AA170" s="2">
        <v>6</v>
      </c>
      <c r="AB170" s="2">
        <v>1350.44</v>
      </c>
    </row>
    <row r="171" spans="1:28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  <c r="P171" s="2">
        <v>10286</v>
      </c>
      <c r="Q171" s="2">
        <v>1641</v>
      </c>
      <c r="R171" s="3">
        <v>45043</v>
      </c>
      <c r="S171" s="3">
        <v>45050</v>
      </c>
      <c r="T171" s="2" t="s">
        <v>18</v>
      </c>
      <c r="U171" s="2" t="s">
        <v>32</v>
      </c>
      <c r="V171" s="2" t="s">
        <v>20</v>
      </c>
      <c r="W171" s="2" t="s">
        <v>47</v>
      </c>
      <c r="X171" s="2" t="s">
        <v>60</v>
      </c>
      <c r="Y171" s="2" t="s">
        <v>61</v>
      </c>
      <c r="Z171" s="2" t="s">
        <v>31</v>
      </c>
      <c r="AA171" s="2">
        <v>6</v>
      </c>
      <c r="AB171" s="2">
        <v>220.79</v>
      </c>
    </row>
    <row r="172" spans="1:28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  <c r="P172" s="2">
        <v>10251</v>
      </c>
      <c r="Q172" s="2">
        <v>1410</v>
      </c>
      <c r="R172" s="3">
        <v>45154</v>
      </c>
      <c r="S172" s="3">
        <v>45155</v>
      </c>
      <c r="T172" s="2" t="s">
        <v>19</v>
      </c>
      <c r="U172" s="2" t="s">
        <v>26</v>
      </c>
      <c r="V172" s="2" t="s">
        <v>20</v>
      </c>
      <c r="W172" s="2" t="s">
        <v>28</v>
      </c>
      <c r="X172" s="2" t="s">
        <v>34</v>
      </c>
      <c r="Y172" s="2" t="s">
        <v>51</v>
      </c>
      <c r="Z172" s="2" t="s">
        <v>31</v>
      </c>
      <c r="AA172" s="2">
        <v>8</v>
      </c>
      <c r="AB172" s="2">
        <v>1822.29</v>
      </c>
    </row>
    <row r="173" spans="1:28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  <c r="P173" s="2">
        <v>10320</v>
      </c>
      <c r="Q173" s="2">
        <v>1751</v>
      </c>
      <c r="R173" s="3">
        <v>45002</v>
      </c>
      <c r="S173" s="3">
        <v>45005</v>
      </c>
      <c r="T173" s="2" t="s">
        <v>18</v>
      </c>
      <c r="U173" s="2" t="s">
        <v>19</v>
      </c>
      <c r="V173" s="2" t="s">
        <v>20</v>
      </c>
      <c r="W173" s="2" t="s">
        <v>38</v>
      </c>
      <c r="X173" s="2" t="s">
        <v>29</v>
      </c>
      <c r="Y173" s="2" t="s">
        <v>39</v>
      </c>
      <c r="Z173" s="2" t="s">
        <v>31</v>
      </c>
      <c r="AA173" s="2">
        <v>8</v>
      </c>
      <c r="AB173" s="2">
        <v>2254.7800000000002</v>
      </c>
    </row>
    <row r="174" spans="1:28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  <c r="P174" s="2">
        <v>10357</v>
      </c>
      <c r="Q174" s="2">
        <v>1414</v>
      </c>
      <c r="R174" s="3">
        <v>45205</v>
      </c>
      <c r="S174" s="3">
        <v>45213</v>
      </c>
      <c r="T174" s="2" t="s">
        <v>40</v>
      </c>
      <c r="U174" s="2" t="s">
        <v>41</v>
      </c>
      <c r="V174" s="2" t="s">
        <v>20</v>
      </c>
      <c r="W174" s="2" t="s">
        <v>28</v>
      </c>
      <c r="X174" s="2" t="s">
        <v>60</v>
      </c>
      <c r="Y174" s="2" t="s">
        <v>61</v>
      </c>
      <c r="Z174" s="2" t="s">
        <v>31</v>
      </c>
      <c r="AA174" s="2">
        <v>8</v>
      </c>
      <c r="AB174" s="2">
        <v>1300.31</v>
      </c>
    </row>
    <row r="175" spans="1:28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  <c r="P175" s="2">
        <v>10202</v>
      </c>
      <c r="Q175" s="2">
        <v>1733</v>
      </c>
      <c r="R175" s="3">
        <v>45228</v>
      </c>
      <c r="S175" s="3">
        <v>45229</v>
      </c>
      <c r="T175" s="2" t="s">
        <v>43</v>
      </c>
      <c r="U175" s="2" t="s">
        <v>57</v>
      </c>
      <c r="V175" s="2" t="s">
        <v>20</v>
      </c>
      <c r="W175" s="2" t="s">
        <v>21</v>
      </c>
      <c r="X175" s="2" t="s">
        <v>34</v>
      </c>
      <c r="Y175" s="2" t="s">
        <v>68</v>
      </c>
      <c r="Z175" s="2" t="s">
        <v>31</v>
      </c>
      <c r="AA175" s="2">
        <v>9</v>
      </c>
      <c r="AB175" s="2">
        <v>3072.48</v>
      </c>
    </row>
    <row r="176" spans="1:28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  <c r="P176" s="2">
        <v>10454</v>
      </c>
      <c r="Q176" s="2">
        <v>1959</v>
      </c>
      <c r="R176" s="3">
        <v>45251</v>
      </c>
      <c r="S176" s="3">
        <v>45255</v>
      </c>
      <c r="T176" s="2" t="s">
        <v>37</v>
      </c>
      <c r="U176" s="2" t="s">
        <v>44</v>
      </c>
      <c r="V176" s="2" t="s">
        <v>20</v>
      </c>
      <c r="W176" s="2" t="s">
        <v>28</v>
      </c>
      <c r="X176" s="2" t="s">
        <v>60</v>
      </c>
      <c r="Y176" s="2" t="s">
        <v>61</v>
      </c>
      <c r="Z176" s="2" t="s">
        <v>31</v>
      </c>
      <c r="AA176" s="2">
        <v>9</v>
      </c>
      <c r="AB176" s="2">
        <v>3191.56</v>
      </c>
    </row>
    <row r="177" spans="1:28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  <c r="P177" s="2">
        <v>10130</v>
      </c>
      <c r="Q177" s="2">
        <v>1156</v>
      </c>
      <c r="R177" s="3">
        <v>44929</v>
      </c>
      <c r="S177" s="3">
        <v>44938</v>
      </c>
      <c r="T177" s="2" t="s">
        <v>18</v>
      </c>
      <c r="U177" s="2" t="s">
        <v>44</v>
      </c>
      <c r="V177" s="2" t="s">
        <v>20</v>
      </c>
      <c r="W177" s="2" t="s">
        <v>45</v>
      </c>
      <c r="X177" s="2" t="s">
        <v>60</v>
      </c>
      <c r="Y177" s="2" t="s">
        <v>65</v>
      </c>
      <c r="Z177" s="2" t="s">
        <v>36</v>
      </c>
      <c r="AA177" s="2">
        <v>1</v>
      </c>
      <c r="AB177" s="2">
        <v>2534.4699999999998</v>
      </c>
    </row>
    <row r="178" spans="1:28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  <c r="P178" s="2">
        <v>10142</v>
      </c>
      <c r="Q178" s="2">
        <v>1138</v>
      </c>
      <c r="R178" s="3">
        <v>45114</v>
      </c>
      <c r="S178" s="3">
        <v>45123</v>
      </c>
      <c r="T178" s="2" t="s">
        <v>19</v>
      </c>
      <c r="U178" s="2" t="s">
        <v>41</v>
      </c>
      <c r="V178" s="2" t="s">
        <v>20</v>
      </c>
      <c r="W178" s="2" t="s">
        <v>45</v>
      </c>
      <c r="X178" s="2" t="s">
        <v>52</v>
      </c>
      <c r="Y178" s="2" t="s">
        <v>54</v>
      </c>
      <c r="Z178" s="2" t="s">
        <v>36</v>
      </c>
      <c r="AA178" s="2">
        <v>1</v>
      </c>
      <c r="AB178" s="2">
        <v>2063.0500000000002</v>
      </c>
    </row>
    <row r="179" spans="1:28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  <c r="P179" s="2">
        <v>10187</v>
      </c>
      <c r="Q179" s="2">
        <v>1392</v>
      </c>
      <c r="R179" s="3">
        <v>44987</v>
      </c>
      <c r="S179" s="3">
        <v>44991</v>
      </c>
      <c r="T179" s="2" t="s">
        <v>19</v>
      </c>
      <c r="U179" s="2" t="s">
        <v>44</v>
      </c>
      <c r="V179" s="2" t="s">
        <v>20</v>
      </c>
      <c r="W179" s="2" t="s">
        <v>47</v>
      </c>
      <c r="X179" s="2" t="s">
        <v>22</v>
      </c>
      <c r="Y179" s="2" t="s">
        <v>46</v>
      </c>
      <c r="Z179" s="2" t="s">
        <v>36</v>
      </c>
      <c r="AA179" s="2">
        <v>1</v>
      </c>
      <c r="AB179" s="2">
        <v>1730.41</v>
      </c>
    </row>
    <row r="180" spans="1:28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  <c r="P180" s="2">
        <v>10440</v>
      </c>
      <c r="Q180" s="2">
        <v>1037</v>
      </c>
      <c r="R180" s="3">
        <v>45144</v>
      </c>
      <c r="S180" s="3">
        <v>45149</v>
      </c>
      <c r="T180" s="2" t="s">
        <v>40</v>
      </c>
      <c r="U180" s="2" t="s">
        <v>57</v>
      </c>
      <c r="V180" s="2" t="s">
        <v>20</v>
      </c>
      <c r="W180" s="2" t="s">
        <v>45</v>
      </c>
      <c r="X180" s="2" t="s">
        <v>52</v>
      </c>
      <c r="Y180" s="2" t="s">
        <v>53</v>
      </c>
      <c r="Z180" s="2" t="s">
        <v>36</v>
      </c>
      <c r="AA180" s="2">
        <v>1</v>
      </c>
      <c r="AB180" s="2">
        <v>3775.07</v>
      </c>
    </row>
    <row r="181" spans="1:28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  <c r="P181" s="2">
        <v>10096</v>
      </c>
      <c r="Q181" s="2">
        <v>1821</v>
      </c>
      <c r="R181" s="3">
        <v>44940</v>
      </c>
      <c r="S181" s="3">
        <v>44947</v>
      </c>
      <c r="T181" s="2" t="s">
        <v>43</v>
      </c>
      <c r="U181" s="2" t="s">
        <v>19</v>
      </c>
      <c r="V181" s="2" t="s">
        <v>20</v>
      </c>
      <c r="W181" s="2" t="s">
        <v>28</v>
      </c>
      <c r="X181" s="2" t="s">
        <v>55</v>
      </c>
      <c r="Y181" s="2" t="s">
        <v>63</v>
      </c>
      <c r="Z181" s="2" t="s">
        <v>36</v>
      </c>
      <c r="AA181" s="2">
        <v>2</v>
      </c>
      <c r="AB181" s="2">
        <v>1249.94</v>
      </c>
    </row>
    <row r="182" spans="1:28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  <c r="P182" s="2">
        <v>10118</v>
      </c>
      <c r="Q182" s="2">
        <v>1748</v>
      </c>
      <c r="R182" s="3">
        <v>45128</v>
      </c>
      <c r="S182" s="3">
        <v>45129</v>
      </c>
      <c r="T182" s="2" t="s">
        <v>25</v>
      </c>
      <c r="U182" s="2" t="s">
        <v>19</v>
      </c>
      <c r="V182" s="2" t="s">
        <v>20</v>
      </c>
      <c r="W182" s="2" t="s">
        <v>47</v>
      </c>
      <c r="X182" s="2" t="s">
        <v>34</v>
      </c>
      <c r="Y182" s="2" t="s">
        <v>51</v>
      </c>
      <c r="Z182" s="2" t="s">
        <v>36</v>
      </c>
      <c r="AA182" s="2">
        <v>2</v>
      </c>
      <c r="AB182" s="2">
        <v>2303.71</v>
      </c>
    </row>
    <row r="183" spans="1:28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  <c r="P183" s="2">
        <v>10029</v>
      </c>
      <c r="Q183" s="2">
        <v>1191</v>
      </c>
      <c r="R183" s="3">
        <v>45061</v>
      </c>
      <c r="S183" s="3">
        <v>45067</v>
      </c>
      <c r="T183" s="2" t="s">
        <v>49</v>
      </c>
      <c r="U183" s="2" t="s">
        <v>32</v>
      </c>
      <c r="V183" s="2" t="s">
        <v>20</v>
      </c>
      <c r="W183" s="2" t="s">
        <v>21</v>
      </c>
      <c r="X183" s="2" t="s">
        <v>29</v>
      </c>
      <c r="Y183" s="2" t="s">
        <v>30</v>
      </c>
      <c r="Z183" s="2" t="s">
        <v>36</v>
      </c>
      <c r="AA183" s="2">
        <v>3</v>
      </c>
      <c r="AB183" s="2">
        <v>759.47</v>
      </c>
    </row>
    <row r="184" spans="1:28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  <c r="P184" s="2">
        <v>10070</v>
      </c>
      <c r="Q184" s="2">
        <v>1241</v>
      </c>
      <c r="R184" s="3">
        <v>45112</v>
      </c>
      <c r="S184" s="3">
        <v>45113</v>
      </c>
      <c r="T184" s="2" t="s">
        <v>49</v>
      </c>
      <c r="U184" s="2" t="s">
        <v>44</v>
      </c>
      <c r="V184" s="2" t="s">
        <v>20</v>
      </c>
      <c r="W184" s="2" t="s">
        <v>38</v>
      </c>
      <c r="X184" s="2" t="s">
        <v>34</v>
      </c>
      <c r="Y184" s="2" t="s">
        <v>42</v>
      </c>
      <c r="Z184" s="2" t="s">
        <v>36</v>
      </c>
      <c r="AA184" s="2">
        <v>4</v>
      </c>
      <c r="AB184" s="2">
        <v>3612.15</v>
      </c>
    </row>
    <row r="185" spans="1:28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  <c r="P185" s="2">
        <v>10181</v>
      </c>
      <c r="Q185" s="2">
        <v>1217</v>
      </c>
      <c r="R185" s="3">
        <v>45050</v>
      </c>
      <c r="S185" s="3">
        <v>45053</v>
      </c>
      <c r="T185" s="2" t="s">
        <v>18</v>
      </c>
      <c r="U185" s="2" t="s">
        <v>26</v>
      </c>
      <c r="V185" s="2" t="s">
        <v>20</v>
      </c>
      <c r="W185" s="2" t="s">
        <v>45</v>
      </c>
      <c r="X185" s="2" t="s">
        <v>52</v>
      </c>
      <c r="Y185" s="2" t="s">
        <v>53</v>
      </c>
      <c r="Z185" s="2" t="s">
        <v>36</v>
      </c>
      <c r="AA185" s="2">
        <v>5</v>
      </c>
      <c r="AB185" s="2">
        <v>2329.38</v>
      </c>
    </row>
    <row r="186" spans="1:28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  <c r="P186" s="2">
        <v>10365</v>
      </c>
      <c r="Q186" s="2">
        <v>1623</v>
      </c>
      <c r="R186" s="3">
        <v>44934</v>
      </c>
      <c r="S186" s="3">
        <v>44940</v>
      </c>
      <c r="T186" s="2" t="s">
        <v>19</v>
      </c>
      <c r="U186" s="2" t="s">
        <v>44</v>
      </c>
      <c r="V186" s="2" t="s">
        <v>20</v>
      </c>
      <c r="W186" s="2" t="s">
        <v>38</v>
      </c>
      <c r="X186" s="2" t="s">
        <v>55</v>
      </c>
      <c r="Y186" s="2" t="s">
        <v>56</v>
      </c>
      <c r="Z186" s="2" t="s">
        <v>36</v>
      </c>
      <c r="AA186" s="2">
        <v>5</v>
      </c>
      <c r="AB186" s="2">
        <v>3593.46</v>
      </c>
    </row>
    <row r="187" spans="1:28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  <c r="P187" s="2">
        <v>10374</v>
      </c>
      <c r="Q187" s="2">
        <v>1036</v>
      </c>
      <c r="R187" s="3">
        <v>45136</v>
      </c>
      <c r="S187" s="3">
        <v>45141</v>
      </c>
      <c r="T187" s="2" t="s">
        <v>40</v>
      </c>
      <c r="U187" s="2" t="s">
        <v>19</v>
      </c>
      <c r="V187" s="2" t="s">
        <v>20</v>
      </c>
      <c r="W187" s="2" t="s">
        <v>45</v>
      </c>
      <c r="X187" s="2" t="s">
        <v>60</v>
      </c>
      <c r="Y187" s="2" t="s">
        <v>61</v>
      </c>
      <c r="Z187" s="2" t="s">
        <v>36</v>
      </c>
      <c r="AA187" s="2">
        <v>5</v>
      </c>
      <c r="AB187" s="2">
        <v>1651.11</v>
      </c>
    </row>
    <row r="188" spans="1:28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  <c r="P188" s="2">
        <v>10398</v>
      </c>
      <c r="Q188" s="2">
        <v>1226</v>
      </c>
      <c r="R188" s="3">
        <v>44938</v>
      </c>
      <c r="S188" s="3">
        <v>44943</v>
      </c>
      <c r="T188" s="2" t="s">
        <v>25</v>
      </c>
      <c r="U188" s="2" t="s">
        <v>32</v>
      </c>
      <c r="V188" s="2" t="s">
        <v>20</v>
      </c>
      <c r="W188" s="2" t="s">
        <v>47</v>
      </c>
      <c r="X188" s="2" t="s">
        <v>52</v>
      </c>
      <c r="Y188" s="2" t="s">
        <v>66</v>
      </c>
      <c r="Z188" s="2" t="s">
        <v>36</v>
      </c>
      <c r="AA188" s="2">
        <v>5</v>
      </c>
      <c r="AB188" s="2">
        <v>3245.77</v>
      </c>
    </row>
    <row r="189" spans="1:28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  <c r="P189" s="2">
        <v>10011</v>
      </c>
      <c r="Q189" s="2">
        <v>1466</v>
      </c>
      <c r="R189" s="3">
        <v>45098</v>
      </c>
      <c r="S189" s="3">
        <v>45106</v>
      </c>
      <c r="T189" s="2" t="s">
        <v>37</v>
      </c>
      <c r="U189" s="2" t="s">
        <v>41</v>
      </c>
      <c r="V189" s="2" t="s">
        <v>20</v>
      </c>
      <c r="W189" s="2" t="s">
        <v>38</v>
      </c>
      <c r="X189" s="2" t="s">
        <v>52</v>
      </c>
      <c r="Y189" s="2" t="s">
        <v>53</v>
      </c>
      <c r="Z189" s="2" t="s">
        <v>36</v>
      </c>
      <c r="AA189" s="2">
        <v>6</v>
      </c>
      <c r="AB189" s="2">
        <v>3205.25</v>
      </c>
    </row>
    <row r="190" spans="1:28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  <c r="P190" s="2">
        <v>10069</v>
      </c>
      <c r="Q190" s="2">
        <v>1013</v>
      </c>
      <c r="R190" s="3">
        <v>45288</v>
      </c>
      <c r="S190" s="3">
        <v>45296</v>
      </c>
      <c r="T190" s="2" t="s">
        <v>18</v>
      </c>
      <c r="U190" s="2" t="s">
        <v>26</v>
      </c>
      <c r="V190" s="2" t="s">
        <v>20</v>
      </c>
      <c r="W190" s="2" t="s">
        <v>47</v>
      </c>
      <c r="X190" s="2" t="s">
        <v>60</v>
      </c>
      <c r="Y190" s="2" t="s">
        <v>65</v>
      </c>
      <c r="Z190" s="2" t="s">
        <v>36</v>
      </c>
      <c r="AA190" s="2">
        <v>6</v>
      </c>
      <c r="AB190" s="2">
        <v>1836.98</v>
      </c>
    </row>
    <row r="191" spans="1:28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  <c r="P191" s="2">
        <v>10136</v>
      </c>
      <c r="Q191" s="2">
        <v>1520</v>
      </c>
      <c r="R191" s="3">
        <v>45180</v>
      </c>
      <c r="S191" s="3">
        <v>45181</v>
      </c>
      <c r="T191" s="2" t="s">
        <v>49</v>
      </c>
      <c r="U191" s="2" t="s">
        <v>26</v>
      </c>
      <c r="V191" s="2" t="s">
        <v>20</v>
      </c>
      <c r="W191" s="2" t="s">
        <v>28</v>
      </c>
      <c r="X191" s="2" t="s">
        <v>34</v>
      </c>
      <c r="Y191" s="2" t="s">
        <v>42</v>
      </c>
      <c r="Z191" s="2" t="s">
        <v>36</v>
      </c>
      <c r="AA191" s="2">
        <v>6</v>
      </c>
      <c r="AB191" s="2">
        <v>1809.29</v>
      </c>
    </row>
    <row r="192" spans="1:28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  <c r="P192" s="2">
        <v>10119</v>
      </c>
      <c r="Q192" s="2">
        <v>1337</v>
      </c>
      <c r="R192" s="3">
        <v>44964</v>
      </c>
      <c r="S192" s="3">
        <v>44970</v>
      </c>
      <c r="T192" s="2" t="s">
        <v>19</v>
      </c>
      <c r="U192" s="2" t="s">
        <v>41</v>
      </c>
      <c r="V192" s="2" t="s">
        <v>20</v>
      </c>
      <c r="W192" s="2" t="s">
        <v>38</v>
      </c>
      <c r="X192" s="2" t="s">
        <v>34</v>
      </c>
      <c r="Y192" s="2" t="s">
        <v>35</v>
      </c>
      <c r="Z192" s="2" t="s">
        <v>36</v>
      </c>
      <c r="AA192" s="2">
        <v>8</v>
      </c>
      <c r="AB192" s="2">
        <v>3339.68</v>
      </c>
    </row>
    <row r="193" spans="1:29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  <c r="P193" s="2">
        <v>10161</v>
      </c>
      <c r="Q193" s="2">
        <v>1047</v>
      </c>
      <c r="R193" s="3">
        <v>45109</v>
      </c>
      <c r="S193" s="3">
        <v>45111</v>
      </c>
      <c r="T193" s="2" t="s">
        <v>49</v>
      </c>
      <c r="U193" s="2" t="s">
        <v>44</v>
      </c>
      <c r="V193" s="2" t="s">
        <v>20</v>
      </c>
      <c r="W193" s="2" t="s">
        <v>38</v>
      </c>
      <c r="X193" s="2" t="s">
        <v>22</v>
      </c>
      <c r="Y193" s="2" t="s">
        <v>23</v>
      </c>
      <c r="Z193" s="2" t="s">
        <v>36</v>
      </c>
      <c r="AA193" s="2">
        <v>8</v>
      </c>
      <c r="AB193" s="2">
        <v>1168.3900000000001</v>
      </c>
    </row>
    <row r="194" spans="1:29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  <c r="P194" s="2">
        <v>10057</v>
      </c>
      <c r="Q194" s="2">
        <v>1504</v>
      </c>
      <c r="R194" s="3">
        <v>45117</v>
      </c>
      <c r="S194" s="3">
        <v>45122</v>
      </c>
      <c r="T194" s="2" t="s">
        <v>40</v>
      </c>
      <c r="U194" s="2" t="s">
        <v>32</v>
      </c>
      <c r="V194" s="2" t="s">
        <v>20</v>
      </c>
      <c r="W194" s="2" t="s">
        <v>28</v>
      </c>
      <c r="X194" s="2" t="s">
        <v>60</v>
      </c>
      <c r="Y194" s="2" t="s">
        <v>61</v>
      </c>
      <c r="Z194" s="2" t="s">
        <v>36</v>
      </c>
      <c r="AA194" s="2">
        <v>9</v>
      </c>
      <c r="AB194" s="2">
        <v>1012.33</v>
      </c>
    </row>
    <row r="195" spans="1:29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  <c r="P195" s="2">
        <v>10093</v>
      </c>
      <c r="Q195" s="2">
        <v>1565</v>
      </c>
      <c r="R195" s="3">
        <v>44980</v>
      </c>
      <c r="S195" s="3">
        <v>44982</v>
      </c>
      <c r="T195" s="2" t="s">
        <v>43</v>
      </c>
      <c r="U195" s="2" t="s">
        <v>32</v>
      </c>
      <c r="V195" s="2" t="s">
        <v>20</v>
      </c>
      <c r="W195" s="2" t="s">
        <v>45</v>
      </c>
      <c r="X195" s="2" t="s">
        <v>55</v>
      </c>
      <c r="Y195" s="2" t="s">
        <v>59</v>
      </c>
      <c r="Z195" s="2" t="s">
        <v>36</v>
      </c>
      <c r="AA195" s="2">
        <v>9</v>
      </c>
      <c r="AB195" s="2">
        <v>1938.76</v>
      </c>
    </row>
    <row r="196" spans="1:29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29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29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29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29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29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29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  <c r="Q202" s="1" t="s">
        <v>0</v>
      </c>
      <c r="R202" s="1" t="s">
        <v>1</v>
      </c>
      <c r="S202" s="1" t="s">
        <v>2</v>
      </c>
      <c r="T202" s="1" t="s">
        <v>3</v>
      </c>
      <c r="U202" s="1" t="s">
        <v>4</v>
      </c>
      <c r="V202" s="1" t="s">
        <v>5</v>
      </c>
      <c r="W202" s="1" t="s">
        <v>6</v>
      </c>
      <c r="X202" s="1" t="s">
        <v>7</v>
      </c>
      <c r="Y202" s="1" t="s">
        <v>8</v>
      </c>
      <c r="Z202" s="1" t="s">
        <v>9</v>
      </c>
      <c r="AA202" s="1" t="s">
        <v>10</v>
      </c>
      <c r="AB202" s="1" t="s">
        <v>11</v>
      </c>
      <c r="AC202" s="1" t="s">
        <v>12</v>
      </c>
    </row>
    <row r="203" spans="1:29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  <c r="Q203" s="2">
        <v>10403</v>
      </c>
      <c r="R203" s="2">
        <v>1152</v>
      </c>
      <c r="S203" s="3">
        <v>45035</v>
      </c>
      <c r="T203" s="3">
        <v>45037</v>
      </c>
      <c r="U203" s="2" t="s">
        <v>19</v>
      </c>
      <c r="V203" s="13" t="s">
        <v>41</v>
      </c>
      <c r="W203" s="2" t="s">
        <v>27</v>
      </c>
      <c r="X203" s="2" t="s">
        <v>47</v>
      </c>
      <c r="Y203" s="2" t="s">
        <v>29</v>
      </c>
      <c r="Z203" s="2" t="s">
        <v>39</v>
      </c>
      <c r="AA203" s="2" t="s">
        <v>24</v>
      </c>
      <c r="AB203" s="2">
        <v>1</v>
      </c>
      <c r="AC203" s="2">
        <v>2743.75</v>
      </c>
    </row>
    <row r="204" spans="1:29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  <c r="Q204" s="2">
        <v>10406</v>
      </c>
      <c r="R204" s="2">
        <v>1895</v>
      </c>
      <c r="S204" s="3">
        <v>45195</v>
      </c>
      <c r="T204" s="3">
        <v>45204</v>
      </c>
      <c r="U204" s="2" t="s">
        <v>19</v>
      </c>
      <c r="V204" s="13" t="s">
        <v>32</v>
      </c>
      <c r="W204" s="2" t="s">
        <v>33</v>
      </c>
      <c r="X204" s="2" t="s">
        <v>47</v>
      </c>
      <c r="Y204" s="2" t="s">
        <v>52</v>
      </c>
      <c r="Z204" s="2" t="s">
        <v>54</v>
      </c>
      <c r="AA204" s="2" t="s">
        <v>24</v>
      </c>
      <c r="AB204" s="2">
        <v>1</v>
      </c>
      <c r="AC204" s="2">
        <v>2044.41</v>
      </c>
    </row>
    <row r="205" spans="1:29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  <c r="Q205" s="2">
        <v>10020</v>
      </c>
      <c r="R205" s="2">
        <v>1130</v>
      </c>
      <c r="S205" s="3">
        <v>45194</v>
      </c>
      <c r="T205" s="3">
        <v>45203</v>
      </c>
      <c r="U205" s="2" t="s">
        <v>49</v>
      </c>
      <c r="V205" s="13" t="s">
        <v>41</v>
      </c>
      <c r="W205" s="2" t="s">
        <v>20</v>
      </c>
      <c r="X205" s="2" t="s">
        <v>21</v>
      </c>
      <c r="Y205" s="2" t="s">
        <v>52</v>
      </c>
      <c r="Z205" s="2" t="s">
        <v>54</v>
      </c>
      <c r="AA205" s="2" t="s">
        <v>24</v>
      </c>
      <c r="AB205" s="2">
        <v>2</v>
      </c>
      <c r="AC205" s="2">
        <v>3959.31</v>
      </c>
    </row>
    <row r="206" spans="1:29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  <c r="Q206" s="2">
        <v>10102</v>
      </c>
      <c r="R206" s="2">
        <v>1161</v>
      </c>
      <c r="S206" s="3">
        <v>44996</v>
      </c>
      <c r="T206" s="3">
        <v>45002</v>
      </c>
      <c r="U206" s="2" t="s">
        <v>40</v>
      </c>
      <c r="V206" s="13" t="s">
        <v>57</v>
      </c>
      <c r="W206" s="2" t="s">
        <v>33</v>
      </c>
      <c r="X206" s="2" t="s">
        <v>28</v>
      </c>
      <c r="Y206" s="2" t="s">
        <v>34</v>
      </c>
      <c r="Z206" s="2" t="s">
        <v>42</v>
      </c>
      <c r="AA206" s="2" t="s">
        <v>24</v>
      </c>
      <c r="AB206" s="2">
        <v>2</v>
      </c>
      <c r="AC206" s="2">
        <v>1859.03</v>
      </c>
    </row>
    <row r="207" spans="1:29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  <c r="Q207" s="2">
        <v>10004</v>
      </c>
      <c r="R207" s="2">
        <v>1270</v>
      </c>
      <c r="S207" s="3">
        <v>45079</v>
      </c>
      <c r="T207" s="3">
        <v>45087</v>
      </c>
      <c r="U207" s="2" t="s">
        <v>37</v>
      </c>
      <c r="V207" s="13" t="s">
        <v>32</v>
      </c>
      <c r="W207" s="2" t="s">
        <v>27</v>
      </c>
      <c r="X207" s="2" t="s">
        <v>38</v>
      </c>
      <c r="Y207" s="2" t="s">
        <v>29</v>
      </c>
      <c r="Z207" s="2" t="s">
        <v>39</v>
      </c>
      <c r="AA207" s="2" t="s">
        <v>24</v>
      </c>
      <c r="AB207" s="2">
        <v>1</v>
      </c>
      <c r="AC207" s="2">
        <v>1008.79</v>
      </c>
    </row>
    <row r="208" spans="1:29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  <c r="Q208" s="2">
        <v>10073</v>
      </c>
      <c r="R208" s="2">
        <v>1564</v>
      </c>
      <c r="S208" s="3">
        <v>45055</v>
      </c>
      <c r="T208" s="3">
        <v>45063</v>
      </c>
      <c r="U208" s="2" t="s">
        <v>43</v>
      </c>
      <c r="V208" s="13" t="s">
        <v>19</v>
      </c>
      <c r="W208" s="2" t="s">
        <v>20</v>
      </c>
      <c r="X208" s="2" t="s">
        <v>28</v>
      </c>
      <c r="Y208" s="2" t="s">
        <v>52</v>
      </c>
      <c r="Z208" s="2" t="s">
        <v>70</v>
      </c>
      <c r="AA208" s="2" t="s">
        <v>24</v>
      </c>
      <c r="AB208" s="2">
        <v>1</v>
      </c>
      <c r="AC208" s="2">
        <v>3037.61</v>
      </c>
    </row>
    <row r="209" spans="1:29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  <c r="Q209" s="2">
        <v>10232</v>
      </c>
      <c r="R209" s="2">
        <v>1639</v>
      </c>
      <c r="S209" s="3">
        <v>44962</v>
      </c>
      <c r="T209" s="3">
        <v>44969</v>
      </c>
      <c r="U209" s="2" t="s">
        <v>25</v>
      </c>
      <c r="V209" s="13" t="s">
        <v>32</v>
      </c>
      <c r="W209" s="2" t="s">
        <v>20</v>
      </c>
      <c r="X209" s="2" t="s">
        <v>21</v>
      </c>
      <c r="Y209" s="2" t="s">
        <v>60</v>
      </c>
      <c r="Z209" s="2" t="s">
        <v>62</v>
      </c>
      <c r="AA209" s="2" t="s">
        <v>24</v>
      </c>
      <c r="AB209" s="2">
        <v>1</v>
      </c>
      <c r="AC209" s="2">
        <v>2250.4899999999998</v>
      </c>
    </row>
    <row r="210" spans="1:29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  <c r="Q210" s="2">
        <v>10350</v>
      </c>
      <c r="R210" s="2">
        <v>1640</v>
      </c>
      <c r="S210" s="3">
        <v>45180</v>
      </c>
      <c r="T210" s="3">
        <v>45185</v>
      </c>
      <c r="U210" s="2" t="s">
        <v>18</v>
      </c>
      <c r="V210" s="13" t="s">
        <v>44</v>
      </c>
      <c r="W210" s="2" t="s">
        <v>20</v>
      </c>
      <c r="X210" s="2" t="s">
        <v>47</v>
      </c>
      <c r="Y210" s="2" t="s">
        <v>60</v>
      </c>
      <c r="Z210" s="2" t="s">
        <v>65</v>
      </c>
      <c r="AA210" s="2" t="s">
        <v>24</v>
      </c>
      <c r="AB210" s="2">
        <v>1</v>
      </c>
      <c r="AC210" s="2">
        <v>3708.38</v>
      </c>
    </row>
    <row r="211" spans="1:29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  <c r="Q211" s="2">
        <v>10190</v>
      </c>
      <c r="R211" s="2">
        <v>1857</v>
      </c>
      <c r="S211" s="3">
        <v>45185</v>
      </c>
      <c r="T211" s="3">
        <v>45187</v>
      </c>
      <c r="U211" s="2" t="s">
        <v>37</v>
      </c>
      <c r="V211" s="2" t="s">
        <v>57</v>
      </c>
      <c r="W211" s="2" t="s">
        <v>33</v>
      </c>
      <c r="X211" s="2" t="s">
        <v>28</v>
      </c>
      <c r="Y211" s="2" t="s">
        <v>52</v>
      </c>
      <c r="Z211" s="2" t="s">
        <v>54</v>
      </c>
      <c r="AA211" s="2" t="s">
        <v>24</v>
      </c>
      <c r="AB211" s="2">
        <v>2</v>
      </c>
      <c r="AC211" s="2">
        <v>1372.59</v>
      </c>
    </row>
    <row r="212" spans="1:29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  <c r="Q212" s="2">
        <v>10305</v>
      </c>
      <c r="R212" s="2">
        <v>1438</v>
      </c>
      <c r="S212" s="3">
        <v>44991</v>
      </c>
      <c r="T212" s="3">
        <v>44993</v>
      </c>
      <c r="U212" s="2" t="s">
        <v>49</v>
      </c>
      <c r="V212" s="2" t="s">
        <v>44</v>
      </c>
      <c r="W212" s="2" t="s">
        <v>20</v>
      </c>
      <c r="X212" s="2" t="s">
        <v>38</v>
      </c>
      <c r="Y212" s="2" t="s">
        <v>34</v>
      </c>
      <c r="Z212" s="2" t="s">
        <v>51</v>
      </c>
      <c r="AA212" s="2" t="s">
        <v>24</v>
      </c>
      <c r="AB212" s="2">
        <v>2</v>
      </c>
      <c r="AC212" s="2">
        <v>3256.02</v>
      </c>
    </row>
    <row r="213" spans="1:29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  <c r="Q213" s="2">
        <v>10332</v>
      </c>
      <c r="R213" s="2">
        <v>1954</v>
      </c>
      <c r="S213" s="3">
        <v>44946</v>
      </c>
      <c r="T213" s="3">
        <v>44955</v>
      </c>
      <c r="U213" s="2" t="s">
        <v>18</v>
      </c>
      <c r="V213" s="2" t="s">
        <v>26</v>
      </c>
      <c r="W213" s="2" t="s">
        <v>20</v>
      </c>
      <c r="X213" s="2" t="s">
        <v>45</v>
      </c>
      <c r="Y213" s="2" t="s">
        <v>60</v>
      </c>
      <c r="Z213" s="2" t="s">
        <v>69</v>
      </c>
      <c r="AA213" s="2" t="s">
        <v>24</v>
      </c>
      <c r="AB213" s="2">
        <v>2</v>
      </c>
      <c r="AC213" s="2">
        <v>1335.36</v>
      </c>
    </row>
    <row r="214" spans="1:29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  <c r="Q214" s="2">
        <v>10372</v>
      </c>
      <c r="R214" s="2">
        <v>1651</v>
      </c>
      <c r="S214" s="3">
        <v>45164</v>
      </c>
      <c r="T214" s="3">
        <v>45167</v>
      </c>
      <c r="U214" s="2" t="s">
        <v>19</v>
      </c>
      <c r="V214" s="2" t="s">
        <v>26</v>
      </c>
      <c r="W214" s="2" t="s">
        <v>27</v>
      </c>
      <c r="X214" s="2" t="s">
        <v>38</v>
      </c>
      <c r="Y214" s="2" t="s">
        <v>52</v>
      </c>
      <c r="Z214" s="2" t="s">
        <v>66</v>
      </c>
      <c r="AA214" s="2" t="s">
        <v>24</v>
      </c>
      <c r="AB214" s="2">
        <v>2</v>
      </c>
      <c r="AC214" s="2">
        <v>3957.02</v>
      </c>
    </row>
    <row r="215" spans="1:29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  <c r="Q215" s="2">
        <v>10444</v>
      </c>
      <c r="R215" s="2">
        <v>1437</v>
      </c>
      <c r="S215" s="3">
        <v>44960</v>
      </c>
      <c r="T215" s="3">
        <v>44969</v>
      </c>
      <c r="U215" s="2" t="s">
        <v>43</v>
      </c>
      <c r="V215" s="2" t="s">
        <v>41</v>
      </c>
      <c r="W215" s="2" t="s">
        <v>33</v>
      </c>
      <c r="X215" s="2" t="s">
        <v>21</v>
      </c>
      <c r="Y215" s="2" t="s">
        <v>34</v>
      </c>
      <c r="Z215" s="2" t="s">
        <v>35</v>
      </c>
      <c r="AA215" s="2" t="s">
        <v>24</v>
      </c>
      <c r="AB215" s="2">
        <v>2</v>
      </c>
      <c r="AC215" s="2">
        <v>3904.44</v>
      </c>
    </row>
    <row r="216" spans="1:29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  <c r="Q216" s="2">
        <v>10021</v>
      </c>
      <c r="R216" s="2">
        <v>1661</v>
      </c>
      <c r="S216" s="3">
        <v>45159</v>
      </c>
      <c r="T216" s="3">
        <v>45163</v>
      </c>
      <c r="U216" s="2" t="s">
        <v>49</v>
      </c>
      <c r="V216" s="2" t="s">
        <v>32</v>
      </c>
      <c r="W216" s="2" t="s">
        <v>27</v>
      </c>
      <c r="X216" s="2" t="s">
        <v>21</v>
      </c>
      <c r="Y216" s="2" t="s">
        <v>55</v>
      </c>
      <c r="Z216" s="2" t="s">
        <v>59</v>
      </c>
      <c r="AA216" s="2" t="s">
        <v>24</v>
      </c>
      <c r="AB216" s="2">
        <v>3</v>
      </c>
      <c r="AC216" s="2">
        <v>2361.58</v>
      </c>
    </row>
    <row r="217" spans="1:29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  <c r="Q217" s="2">
        <v>10027</v>
      </c>
      <c r="R217" s="2">
        <v>1805</v>
      </c>
      <c r="S217" s="3">
        <v>45286</v>
      </c>
      <c r="T217" s="3">
        <v>45290</v>
      </c>
      <c r="U217" s="2" t="s">
        <v>40</v>
      </c>
      <c r="V217" s="2" t="s">
        <v>44</v>
      </c>
      <c r="W217" s="2" t="s">
        <v>27</v>
      </c>
      <c r="X217" s="2" t="s">
        <v>38</v>
      </c>
      <c r="Y217" s="2" t="s">
        <v>60</v>
      </c>
      <c r="Z217" s="2" t="s">
        <v>61</v>
      </c>
      <c r="AA217" s="2" t="s">
        <v>24</v>
      </c>
      <c r="AB217" s="2">
        <v>3</v>
      </c>
      <c r="AC217" s="2">
        <v>3599.15</v>
      </c>
    </row>
    <row r="218" spans="1:29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  <c r="Q218" s="2">
        <v>10129</v>
      </c>
      <c r="R218" s="2">
        <v>1040</v>
      </c>
      <c r="S218" s="3">
        <v>44940</v>
      </c>
      <c r="T218" s="3">
        <v>44946</v>
      </c>
      <c r="U218" s="2" t="s">
        <v>37</v>
      </c>
      <c r="V218" s="2" t="s">
        <v>32</v>
      </c>
      <c r="W218" s="2" t="s">
        <v>27</v>
      </c>
      <c r="X218" s="2" t="s">
        <v>47</v>
      </c>
      <c r="Y218" s="2" t="s">
        <v>55</v>
      </c>
      <c r="Z218" s="2" t="s">
        <v>59</v>
      </c>
      <c r="AA218" s="2" t="s">
        <v>24</v>
      </c>
      <c r="AB218" s="2">
        <v>3</v>
      </c>
      <c r="AC218" s="2">
        <v>1621.67</v>
      </c>
    </row>
    <row r="219" spans="1:29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  <c r="Q219" s="2">
        <v>10361</v>
      </c>
      <c r="R219" s="2">
        <v>1262</v>
      </c>
      <c r="S219" s="3">
        <v>45233</v>
      </c>
      <c r="T219" s="3">
        <v>45234</v>
      </c>
      <c r="U219" s="2" t="s">
        <v>37</v>
      </c>
      <c r="V219" s="2" t="s">
        <v>26</v>
      </c>
      <c r="W219" s="2" t="s">
        <v>27</v>
      </c>
      <c r="X219" s="2" t="s">
        <v>47</v>
      </c>
      <c r="Y219" s="2" t="s">
        <v>60</v>
      </c>
      <c r="Z219" s="2" t="s">
        <v>62</v>
      </c>
      <c r="AA219" s="2" t="s">
        <v>24</v>
      </c>
      <c r="AB219" s="2">
        <v>3</v>
      </c>
      <c r="AC219" s="2">
        <v>2284.27</v>
      </c>
    </row>
    <row r="220" spans="1:29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  <c r="Q220" s="2">
        <v>10435</v>
      </c>
      <c r="R220" s="2">
        <v>1469</v>
      </c>
      <c r="S220" s="3">
        <v>45002</v>
      </c>
      <c r="T220" s="3">
        <v>45009</v>
      </c>
      <c r="U220" s="2" t="s">
        <v>18</v>
      </c>
      <c r="V220" s="2" t="s">
        <v>32</v>
      </c>
      <c r="W220" s="2" t="s">
        <v>27</v>
      </c>
      <c r="X220" s="2" t="s">
        <v>47</v>
      </c>
      <c r="Y220" s="2" t="s">
        <v>55</v>
      </c>
      <c r="Z220" s="2" t="s">
        <v>59</v>
      </c>
      <c r="AA220" s="2" t="s">
        <v>24</v>
      </c>
      <c r="AB220" s="2">
        <v>3</v>
      </c>
      <c r="AC220" s="2">
        <v>3644.78</v>
      </c>
    </row>
    <row r="221" spans="1:29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  <c r="Q221" s="2">
        <v>10436</v>
      </c>
      <c r="R221" s="2">
        <v>1374</v>
      </c>
      <c r="S221" s="3">
        <v>45212</v>
      </c>
      <c r="T221" s="3">
        <v>45213</v>
      </c>
      <c r="U221" s="2" t="s">
        <v>18</v>
      </c>
      <c r="V221" s="2" t="s">
        <v>26</v>
      </c>
      <c r="W221" s="2" t="s">
        <v>33</v>
      </c>
      <c r="X221" s="2" t="s">
        <v>21</v>
      </c>
      <c r="Y221" s="2" t="s">
        <v>55</v>
      </c>
      <c r="Z221" s="2" t="s">
        <v>63</v>
      </c>
      <c r="AA221" s="2" t="s">
        <v>24</v>
      </c>
      <c r="AB221" s="2">
        <v>3</v>
      </c>
      <c r="AC221" s="2">
        <v>3986.78</v>
      </c>
    </row>
    <row r="222" spans="1:29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  <c r="Q222" s="2">
        <v>10094</v>
      </c>
      <c r="R222" s="2">
        <v>1105</v>
      </c>
      <c r="S222" s="3">
        <v>44938</v>
      </c>
      <c r="T222" s="3">
        <v>44946</v>
      </c>
      <c r="U222" s="2" t="s">
        <v>25</v>
      </c>
      <c r="V222" s="2" t="s">
        <v>19</v>
      </c>
      <c r="W222" s="2" t="s">
        <v>33</v>
      </c>
      <c r="X222" s="2" t="s">
        <v>28</v>
      </c>
      <c r="Y222" s="2" t="s">
        <v>55</v>
      </c>
      <c r="Z222" s="2" t="s">
        <v>63</v>
      </c>
      <c r="AA222" s="2" t="s">
        <v>24</v>
      </c>
      <c r="AB222" s="2">
        <v>4</v>
      </c>
      <c r="AC222" s="2">
        <v>1611.52</v>
      </c>
    </row>
    <row r="223" spans="1:29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  <c r="Q223" s="2">
        <v>10112</v>
      </c>
      <c r="R223" s="2">
        <v>1726</v>
      </c>
      <c r="S223" s="3">
        <v>45153</v>
      </c>
      <c r="T223" s="3">
        <v>45154</v>
      </c>
      <c r="U223" s="2" t="s">
        <v>40</v>
      </c>
      <c r="V223" s="2" t="s">
        <v>44</v>
      </c>
      <c r="W223" s="2" t="s">
        <v>33</v>
      </c>
      <c r="X223" s="2" t="s">
        <v>21</v>
      </c>
      <c r="Y223" s="2" t="s">
        <v>29</v>
      </c>
      <c r="Z223" s="2" t="s">
        <v>39</v>
      </c>
      <c r="AA223" s="2" t="s">
        <v>24</v>
      </c>
      <c r="AB223" s="2">
        <v>4</v>
      </c>
      <c r="AC223" s="2">
        <v>1110.5899999999999</v>
      </c>
    </row>
    <row r="224" spans="1:29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  <c r="Q224" s="2">
        <v>10155</v>
      </c>
      <c r="R224" s="2">
        <v>1134</v>
      </c>
      <c r="S224" s="3">
        <v>44945</v>
      </c>
      <c r="T224" s="3">
        <v>44954</v>
      </c>
      <c r="U224" s="2" t="s">
        <v>19</v>
      </c>
      <c r="V224" s="2" t="s">
        <v>32</v>
      </c>
      <c r="W224" s="2" t="s">
        <v>33</v>
      </c>
      <c r="X224" s="2" t="s">
        <v>28</v>
      </c>
      <c r="Y224" s="2" t="s">
        <v>55</v>
      </c>
      <c r="Z224" s="2" t="s">
        <v>59</v>
      </c>
      <c r="AA224" s="2" t="s">
        <v>24</v>
      </c>
      <c r="AB224" s="2">
        <v>4</v>
      </c>
      <c r="AC224" s="2">
        <v>1442.15</v>
      </c>
    </row>
    <row r="225" spans="1:29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  <c r="Q225" s="2">
        <v>10304</v>
      </c>
      <c r="R225" s="2">
        <v>1835</v>
      </c>
      <c r="S225" s="3">
        <v>45024</v>
      </c>
      <c r="T225" s="3">
        <v>45027</v>
      </c>
      <c r="U225" s="2" t="s">
        <v>43</v>
      </c>
      <c r="V225" s="2" t="s">
        <v>26</v>
      </c>
      <c r="W225" s="2" t="s">
        <v>27</v>
      </c>
      <c r="X225" s="2" t="s">
        <v>28</v>
      </c>
      <c r="Y225" s="2" t="s">
        <v>29</v>
      </c>
      <c r="Z225" s="2" t="s">
        <v>64</v>
      </c>
      <c r="AA225" s="2" t="s">
        <v>24</v>
      </c>
      <c r="AB225" s="2">
        <v>4</v>
      </c>
      <c r="AC225" s="2">
        <v>2547.52</v>
      </c>
    </row>
    <row r="226" spans="1:29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  <c r="Q226" s="2">
        <v>10339</v>
      </c>
      <c r="R226" s="2">
        <v>1147</v>
      </c>
      <c r="S226" s="3">
        <v>45005</v>
      </c>
      <c r="T226" s="3">
        <v>45012</v>
      </c>
      <c r="U226" s="2" t="s">
        <v>18</v>
      </c>
      <c r="V226" s="2" t="s">
        <v>57</v>
      </c>
      <c r="W226" s="2" t="s">
        <v>20</v>
      </c>
      <c r="X226" s="2" t="s">
        <v>28</v>
      </c>
      <c r="Y226" s="2" t="s">
        <v>34</v>
      </c>
      <c r="Z226" s="2" t="s">
        <v>35</v>
      </c>
      <c r="AA226" s="2" t="s">
        <v>24</v>
      </c>
      <c r="AB226" s="2">
        <v>4</v>
      </c>
      <c r="AC226" s="2">
        <v>3708.51</v>
      </c>
    </row>
    <row r="227" spans="1:29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  <c r="Q227" s="2">
        <v>10487</v>
      </c>
      <c r="R227" s="2">
        <v>1190</v>
      </c>
      <c r="S227" s="3">
        <v>44965</v>
      </c>
      <c r="T227" s="3">
        <v>44966</v>
      </c>
      <c r="U227" s="2" t="s">
        <v>43</v>
      </c>
      <c r="V227" s="2" t="s">
        <v>19</v>
      </c>
      <c r="W227" s="2" t="s">
        <v>33</v>
      </c>
      <c r="X227" s="2" t="s">
        <v>28</v>
      </c>
      <c r="Y227" s="2" t="s">
        <v>55</v>
      </c>
      <c r="Z227" s="2" t="s">
        <v>56</v>
      </c>
      <c r="AA227" s="2" t="s">
        <v>24</v>
      </c>
      <c r="AB227" s="2">
        <v>4</v>
      </c>
      <c r="AC227" s="2">
        <v>2751.14</v>
      </c>
    </row>
    <row r="228" spans="1:29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  <c r="Q228" s="2">
        <v>10053</v>
      </c>
      <c r="R228" s="2">
        <v>1875</v>
      </c>
      <c r="S228" s="3">
        <v>45115</v>
      </c>
      <c r="T228" s="3">
        <v>45118</v>
      </c>
      <c r="U228" s="2" t="s">
        <v>49</v>
      </c>
      <c r="V228" s="2" t="s">
        <v>19</v>
      </c>
      <c r="W228" s="2" t="s">
        <v>20</v>
      </c>
      <c r="X228" s="2" t="s">
        <v>38</v>
      </c>
      <c r="Y228" s="2" t="s">
        <v>55</v>
      </c>
      <c r="Z228" s="2" t="s">
        <v>67</v>
      </c>
      <c r="AA228" s="2" t="s">
        <v>24</v>
      </c>
      <c r="AB228" s="2">
        <v>5</v>
      </c>
      <c r="AC228" s="2">
        <v>2534.0700000000002</v>
      </c>
    </row>
    <row r="229" spans="1:29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  <c r="Q229" s="2">
        <v>10184</v>
      </c>
      <c r="R229" s="2">
        <v>1397</v>
      </c>
      <c r="S229" s="3">
        <v>45063</v>
      </c>
      <c r="T229" s="3">
        <v>45072</v>
      </c>
      <c r="U229" s="2" t="s">
        <v>25</v>
      </c>
      <c r="V229" s="2" t="s">
        <v>57</v>
      </c>
      <c r="W229" s="2" t="s">
        <v>20</v>
      </c>
      <c r="X229" s="2" t="s">
        <v>47</v>
      </c>
      <c r="Y229" s="2" t="s">
        <v>55</v>
      </c>
      <c r="Z229" s="2" t="s">
        <v>67</v>
      </c>
      <c r="AA229" s="2" t="s">
        <v>24</v>
      </c>
      <c r="AB229" s="2">
        <v>5</v>
      </c>
      <c r="AC229" s="2">
        <v>2125.75</v>
      </c>
    </row>
    <row r="230" spans="1:29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  <c r="Q230" s="2">
        <v>10281</v>
      </c>
      <c r="R230" s="2">
        <v>1951</v>
      </c>
      <c r="S230" s="3">
        <v>45231</v>
      </c>
      <c r="T230" s="3">
        <v>45240</v>
      </c>
      <c r="U230" s="2" t="s">
        <v>49</v>
      </c>
      <c r="V230" s="2" t="s">
        <v>57</v>
      </c>
      <c r="W230" s="2" t="s">
        <v>33</v>
      </c>
      <c r="X230" s="2" t="s">
        <v>47</v>
      </c>
      <c r="Y230" s="2" t="s">
        <v>29</v>
      </c>
      <c r="Z230" s="2" t="s">
        <v>71</v>
      </c>
      <c r="AA230" s="2" t="s">
        <v>24</v>
      </c>
      <c r="AB230" s="2">
        <v>5</v>
      </c>
      <c r="AC230" s="2">
        <v>3098.44</v>
      </c>
    </row>
    <row r="231" spans="1:29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  <c r="Q231" s="2">
        <v>10366</v>
      </c>
      <c r="R231" s="2">
        <v>1571</v>
      </c>
      <c r="S231" s="3">
        <v>45223</v>
      </c>
      <c r="T231" s="3">
        <v>45226</v>
      </c>
      <c r="U231" s="2" t="s">
        <v>18</v>
      </c>
      <c r="V231" s="2" t="s">
        <v>19</v>
      </c>
      <c r="W231" s="2" t="s">
        <v>27</v>
      </c>
      <c r="X231" s="2" t="s">
        <v>45</v>
      </c>
      <c r="Y231" s="2" t="s">
        <v>52</v>
      </c>
      <c r="Z231" s="2" t="s">
        <v>66</v>
      </c>
      <c r="AA231" s="2" t="s">
        <v>24</v>
      </c>
      <c r="AB231" s="2">
        <v>5</v>
      </c>
      <c r="AC231" s="2">
        <v>3320.88</v>
      </c>
    </row>
    <row r="232" spans="1:29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  <c r="Q232" s="2">
        <v>10497</v>
      </c>
      <c r="R232" s="2">
        <v>1792</v>
      </c>
      <c r="S232" s="3">
        <v>45145</v>
      </c>
      <c r="T232" s="3">
        <v>45151</v>
      </c>
      <c r="U232" s="2" t="s">
        <v>19</v>
      </c>
      <c r="V232" s="2" t="s">
        <v>32</v>
      </c>
      <c r="W232" s="2" t="s">
        <v>27</v>
      </c>
      <c r="X232" s="2" t="s">
        <v>45</v>
      </c>
      <c r="Y232" s="2" t="s">
        <v>34</v>
      </c>
      <c r="Z232" s="2" t="s">
        <v>42</v>
      </c>
      <c r="AA232" s="2" t="s">
        <v>24</v>
      </c>
      <c r="AB232" s="2">
        <v>5</v>
      </c>
      <c r="AC232" s="2">
        <v>1287.55</v>
      </c>
    </row>
    <row r="233" spans="1:29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  <c r="Q233" s="2">
        <v>10049</v>
      </c>
      <c r="R233" s="2">
        <v>1957</v>
      </c>
      <c r="S233" s="3">
        <v>45014</v>
      </c>
      <c r="T233" s="3">
        <v>45023</v>
      </c>
      <c r="U233" s="2" t="s">
        <v>49</v>
      </c>
      <c r="V233" s="2" t="s">
        <v>32</v>
      </c>
      <c r="W233" s="2" t="s">
        <v>20</v>
      </c>
      <c r="X233" s="2" t="s">
        <v>21</v>
      </c>
      <c r="Y233" s="2" t="s">
        <v>29</v>
      </c>
      <c r="Z233" s="2" t="s">
        <v>30</v>
      </c>
      <c r="AA233" s="2" t="s">
        <v>24</v>
      </c>
      <c r="AB233" s="2">
        <v>6</v>
      </c>
      <c r="AC233" s="2">
        <v>3757.87</v>
      </c>
    </row>
    <row r="234" spans="1:29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  <c r="Q234" s="2">
        <v>10113</v>
      </c>
      <c r="R234" s="2">
        <v>1251</v>
      </c>
      <c r="S234" s="3">
        <v>45080</v>
      </c>
      <c r="T234" s="3">
        <v>45083</v>
      </c>
      <c r="U234" s="2" t="s">
        <v>19</v>
      </c>
      <c r="V234" s="2" t="s">
        <v>26</v>
      </c>
      <c r="W234" s="2" t="s">
        <v>20</v>
      </c>
      <c r="X234" s="2" t="s">
        <v>21</v>
      </c>
      <c r="Y234" s="2" t="s">
        <v>29</v>
      </c>
      <c r="Z234" s="2" t="s">
        <v>64</v>
      </c>
      <c r="AA234" s="2" t="s">
        <v>24</v>
      </c>
      <c r="AB234" s="2">
        <v>6</v>
      </c>
      <c r="AC234" s="2">
        <v>2257.77</v>
      </c>
    </row>
    <row r="235" spans="1:29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  <c r="Q235" s="2">
        <v>10127</v>
      </c>
      <c r="R235" s="2">
        <v>1379</v>
      </c>
      <c r="S235" s="3">
        <v>44930</v>
      </c>
      <c r="T235" s="3">
        <v>44935</v>
      </c>
      <c r="U235" s="2" t="s">
        <v>40</v>
      </c>
      <c r="V235" s="2" t="s">
        <v>57</v>
      </c>
      <c r="W235" s="2" t="s">
        <v>27</v>
      </c>
      <c r="X235" s="2" t="s">
        <v>21</v>
      </c>
      <c r="Y235" s="2" t="s">
        <v>34</v>
      </c>
      <c r="Z235" s="2" t="s">
        <v>42</v>
      </c>
      <c r="AA235" s="2" t="s">
        <v>24</v>
      </c>
      <c r="AB235" s="2">
        <v>6</v>
      </c>
      <c r="AC235" s="2">
        <v>1846.21</v>
      </c>
    </row>
    <row r="236" spans="1:29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  <c r="Q236" s="2">
        <v>10147</v>
      </c>
      <c r="R236" s="2">
        <v>1418</v>
      </c>
      <c r="S236" s="3">
        <v>45078</v>
      </c>
      <c r="T236" s="3">
        <v>45081</v>
      </c>
      <c r="U236" s="2" t="s">
        <v>25</v>
      </c>
      <c r="V236" s="2" t="s">
        <v>57</v>
      </c>
      <c r="W236" s="2" t="s">
        <v>27</v>
      </c>
      <c r="X236" s="2" t="s">
        <v>28</v>
      </c>
      <c r="Y236" s="2" t="s">
        <v>34</v>
      </c>
      <c r="Z236" s="2" t="s">
        <v>51</v>
      </c>
      <c r="AA236" s="2" t="s">
        <v>24</v>
      </c>
      <c r="AB236" s="2">
        <v>6</v>
      </c>
      <c r="AC236" s="2">
        <v>1852.67</v>
      </c>
    </row>
    <row r="237" spans="1:29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  <c r="Q237" s="2">
        <v>10287</v>
      </c>
      <c r="R237" s="2">
        <v>1219</v>
      </c>
      <c r="S237" s="3">
        <v>45122</v>
      </c>
      <c r="T237" s="3">
        <v>45125</v>
      </c>
      <c r="U237" s="2" t="s">
        <v>25</v>
      </c>
      <c r="V237" s="2" t="s">
        <v>41</v>
      </c>
      <c r="W237" s="2" t="s">
        <v>27</v>
      </c>
      <c r="X237" s="2" t="s">
        <v>21</v>
      </c>
      <c r="Y237" s="2" t="s">
        <v>60</v>
      </c>
      <c r="Z237" s="2" t="s">
        <v>69</v>
      </c>
      <c r="AA237" s="2" t="s">
        <v>24</v>
      </c>
      <c r="AB237" s="2">
        <v>6</v>
      </c>
      <c r="AC237" s="2">
        <v>1936.66</v>
      </c>
    </row>
    <row r="238" spans="1:29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  <c r="Q238" s="2">
        <v>10373</v>
      </c>
      <c r="R238" s="2">
        <v>1452</v>
      </c>
      <c r="S238" s="3">
        <v>45030</v>
      </c>
      <c r="T238" s="3">
        <v>45036</v>
      </c>
      <c r="U238" s="2" t="s">
        <v>25</v>
      </c>
      <c r="V238" s="2" t="s">
        <v>19</v>
      </c>
      <c r="W238" s="2" t="s">
        <v>27</v>
      </c>
      <c r="X238" s="2" t="s">
        <v>21</v>
      </c>
      <c r="Y238" s="2" t="s">
        <v>55</v>
      </c>
      <c r="Z238" s="2" t="s">
        <v>56</v>
      </c>
      <c r="AA238" s="2" t="s">
        <v>24</v>
      </c>
      <c r="AB238" s="2">
        <v>6</v>
      </c>
      <c r="AC238" s="2">
        <v>1019.05</v>
      </c>
    </row>
    <row r="239" spans="1:29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  <c r="Q239" s="2">
        <v>10001</v>
      </c>
      <c r="R239" s="2">
        <v>1102</v>
      </c>
      <c r="S239" s="3">
        <v>45197</v>
      </c>
      <c r="T239" s="3">
        <v>45203</v>
      </c>
      <c r="U239" s="2" t="s">
        <v>18</v>
      </c>
      <c r="V239" s="2" t="s">
        <v>19</v>
      </c>
      <c r="W239" s="2" t="s">
        <v>20</v>
      </c>
      <c r="X239" s="2" t="s">
        <v>21</v>
      </c>
      <c r="Y239" s="2" t="s">
        <v>22</v>
      </c>
      <c r="Z239" s="2" t="s">
        <v>23</v>
      </c>
      <c r="AA239" s="2" t="s">
        <v>24</v>
      </c>
      <c r="AB239" s="2">
        <v>7</v>
      </c>
      <c r="AC239" s="2">
        <v>2843.87</v>
      </c>
    </row>
    <row r="240" spans="1:29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  <c r="Q240" s="2">
        <v>10005</v>
      </c>
      <c r="R240" s="2">
        <v>1106</v>
      </c>
      <c r="S240" s="3">
        <v>45241</v>
      </c>
      <c r="T240" s="3">
        <v>45244</v>
      </c>
      <c r="U240" s="2" t="s">
        <v>40</v>
      </c>
      <c r="V240" s="2" t="s">
        <v>41</v>
      </c>
      <c r="W240" s="2" t="s">
        <v>33</v>
      </c>
      <c r="X240" s="2" t="s">
        <v>21</v>
      </c>
      <c r="Y240" s="2" t="s">
        <v>34</v>
      </c>
      <c r="Z240" s="2" t="s">
        <v>42</v>
      </c>
      <c r="AA240" s="2" t="s">
        <v>24</v>
      </c>
      <c r="AB240" s="2">
        <v>7</v>
      </c>
      <c r="AC240" s="2">
        <v>3511.47</v>
      </c>
    </row>
    <row r="241" spans="1:29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  <c r="Q241" s="2">
        <v>10131</v>
      </c>
      <c r="R241" s="2">
        <v>1014</v>
      </c>
      <c r="S241" s="3">
        <v>45142</v>
      </c>
      <c r="T241" s="3">
        <v>45151</v>
      </c>
      <c r="U241" s="2" t="s">
        <v>37</v>
      </c>
      <c r="V241" s="2" t="s">
        <v>41</v>
      </c>
      <c r="W241" s="2" t="s">
        <v>27</v>
      </c>
      <c r="X241" s="2" t="s">
        <v>47</v>
      </c>
      <c r="Y241" s="2" t="s">
        <v>34</v>
      </c>
      <c r="Z241" s="2" t="s">
        <v>35</v>
      </c>
      <c r="AA241" s="2" t="s">
        <v>24</v>
      </c>
      <c r="AB241" s="2">
        <v>7</v>
      </c>
      <c r="AC241" s="2">
        <v>1899.45</v>
      </c>
    </row>
    <row r="242" spans="1:29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  <c r="Q242" s="2">
        <v>10143</v>
      </c>
      <c r="R242" s="2">
        <v>1498</v>
      </c>
      <c r="S242" s="3">
        <v>44986</v>
      </c>
      <c r="T242" s="3">
        <v>44993</v>
      </c>
      <c r="U242" s="2" t="s">
        <v>40</v>
      </c>
      <c r="V242" s="2" t="s">
        <v>57</v>
      </c>
      <c r="W242" s="2" t="s">
        <v>33</v>
      </c>
      <c r="X242" s="2" t="s">
        <v>28</v>
      </c>
      <c r="Y242" s="2" t="s">
        <v>60</v>
      </c>
      <c r="Z242" s="2" t="s">
        <v>61</v>
      </c>
      <c r="AA242" s="2" t="s">
        <v>24</v>
      </c>
      <c r="AB242" s="2">
        <v>7</v>
      </c>
      <c r="AC242" s="2">
        <v>3680.23</v>
      </c>
    </row>
    <row r="243" spans="1:29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  <c r="Q243" s="2">
        <v>10191</v>
      </c>
      <c r="R243" s="2">
        <v>1553</v>
      </c>
      <c r="S243" s="3">
        <v>45033</v>
      </c>
      <c r="T243" s="3">
        <v>45039</v>
      </c>
      <c r="U243" s="2" t="s">
        <v>43</v>
      </c>
      <c r="V243" s="2" t="s">
        <v>32</v>
      </c>
      <c r="W243" s="2" t="s">
        <v>33</v>
      </c>
      <c r="X243" s="2" t="s">
        <v>38</v>
      </c>
      <c r="Y243" s="2" t="s">
        <v>55</v>
      </c>
      <c r="Z243" s="2" t="s">
        <v>59</v>
      </c>
      <c r="AA243" s="2" t="s">
        <v>24</v>
      </c>
      <c r="AB243" s="2">
        <v>7</v>
      </c>
      <c r="AC243" s="2">
        <v>1148.6500000000001</v>
      </c>
    </row>
    <row r="244" spans="1:29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  <c r="Q244" s="2">
        <v>10211</v>
      </c>
      <c r="R244" s="2">
        <v>1524</v>
      </c>
      <c r="S244" s="3">
        <v>44996</v>
      </c>
      <c r="T244" s="3">
        <v>45000</v>
      </c>
      <c r="U244" s="2" t="s">
        <v>25</v>
      </c>
      <c r="V244" s="2" t="s">
        <v>26</v>
      </c>
      <c r="W244" s="2" t="s">
        <v>27</v>
      </c>
      <c r="X244" s="2" t="s">
        <v>45</v>
      </c>
      <c r="Y244" s="2" t="s">
        <v>52</v>
      </c>
      <c r="Z244" s="2" t="s">
        <v>54</v>
      </c>
      <c r="AA244" s="2" t="s">
        <v>24</v>
      </c>
      <c r="AB244" s="2">
        <v>7</v>
      </c>
      <c r="AC244" s="2">
        <v>2257.5500000000002</v>
      </c>
    </row>
    <row r="245" spans="1:29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  <c r="Q245" s="2">
        <v>10222</v>
      </c>
      <c r="R245" s="2">
        <v>1952</v>
      </c>
      <c r="S245" s="3">
        <v>45223</v>
      </c>
      <c r="T245" s="3">
        <v>45231</v>
      </c>
      <c r="U245" s="2" t="s">
        <v>19</v>
      </c>
      <c r="V245" s="2" t="s">
        <v>19</v>
      </c>
      <c r="W245" s="2" t="s">
        <v>27</v>
      </c>
      <c r="X245" s="2" t="s">
        <v>47</v>
      </c>
      <c r="Y245" s="2" t="s">
        <v>52</v>
      </c>
      <c r="Z245" s="2" t="s">
        <v>54</v>
      </c>
      <c r="AA245" s="2" t="s">
        <v>24</v>
      </c>
      <c r="AB245" s="2">
        <v>7</v>
      </c>
      <c r="AC245" s="2">
        <v>3907.73</v>
      </c>
    </row>
    <row r="246" spans="1:29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  <c r="Q246" s="2">
        <v>10248</v>
      </c>
      <c r="R246" s="2">
        <v>1358</v>
      </c>
      <c r="S246" s="3">
        <v>44970</v>
      </c>
      <c r="T246" s="3">
        <v>44974</v>
      </c>
      <c r="U246" s="2" t="s">
        <v>25</v>
      </c>
      <c r="V246" s="2" t="s">
        <v>19</v>
      </c>
      <c r="W246" s="2" t="s">
        <v>33</v>
      </c>
      <c r="X246" s="2" t="s">
        <v>45</v>
      </c>
      <c r="Y246" s="2" t="s">
        <v>34</v>
      </c>
      <c r="Z246" s="2" t="s">
        <v>42</v>
      </c>
      <c r="AA246" s="2" t="s">
        <v>24</v>
      </c>
      <c r="AB246" s="2">
        <v>7</v>
      </c>
      <c r="AC246" s="2">
        <v>2605.92</v>
      </c>
    </row>
    <row r="247" spans="1:29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  <c r="Q247" s="2">
        <v>10262</v>
      </c>
      <c r="R247" s="2">
        <v>1373</v>
      </c>
      <c r="S247" s="3">
        <v>44996</v>
      </c>
      <c r="T247" s="3">
        <v>44998</v>
      </c>
      <c r="U247" s="2" t="s">
        <v>18</v>
      </c>
      <c r="V247" s="2" t="s">
        <v>26</v>
      </c>
      <c r="W247" s="2" t="s">
        <v>20</v>
      </c>
      <c r="X247" s="2" t="s">
        <v>47</v>
      </c>
      <c r="Y247" s="2" t="s">
        <v>60</v>
      </c>
      <c r="Z247" s="2" t="s">
        <v>62</v>
      </c>
      <c r="AA247" s="2" t="s">
        <v>24</v>
      </c>
      <c r="AB247" s="2">
        <v>7</v>
      </c>
      <c r="AC247" s="2">
        <v>2472.29</v>
      </c>
    </row>
    <row r="248" spans="1:29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  <c r="Q248" s="2">
        <v>10289</v>
      </c>
      <c r="R248" s="2">
        <v>1854</v>
      </c>
      <c r="S248" s="3">
        <v>45012</v>
      </c>
      <c r="T248" s="3">
        <v>45014</v>
      </c>
      <c r="U248" s="2" t="s">
        <v>40</v>
      </c>
      <c r="V248" s="2" t="s">
        <v>57</v>
      </c>
      <c r="W248" s="2" t="s">
        <v>20</v>
      </c>
      <c r="X248" s="2" t="s">
        <v>28</v>
      </c>
      <c r="Y248" s="2" t="s">
        <v>60</v>
      </c>
      <c r="Z248" s="2" t="s">
        <v>61</v>
      </c>
      <c r="AA248" s="2" t="s">
        <v>24</v>
      </c>
      <c r="AB248" s="2">
        <v>7</v>
      </c>
      <c r="AC248" s="2">
        <v>1396.71</v>
      </c>
    </row>
    <row r="249" spans="1:29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  <c r="Q249" s="2">
        <v>10330</v>
      </c>
      <c r="R249" s="2">
        <v>1659</v>
      </c>
      <c r="S249" s="3">
        <v>44958</v>
      </c>
      <c r="T249" s="3">
        <v>44966</v>
      </c>
      <c r="U249" s="2" t="s">
        <v>40</v>
      </c>
      <c r="V249" s="2" t="s">
        <v>57</v>
      </c>
      <c r="W249" s="2" t="s">
        <v>20</v>
      </c>
      <c r="X249" s="2" t="s">
        <v>47</v>
      </c>
      <c r="Y249" s="2" t="s">
        <v>55</v>
      </c>
      <c r="Z249" s="2" t="s">
        <v>67</v>
      </c>
      <c r="AA249" s="2" t="s">
        <v>24</v>
      </c>
      <c r="AB249" s="2">
        <v>7</v>
      </c>
      <c r="AC249" s="2">
        <v>3978.5</v>
      </c>
    </row>
    <row r="250" spans="1:29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  <c r="Q250" s="2">
        <v>10013</v>
      </c>
      <c r="R250" s="2">
        <v>1330</v>
      </c>
      <c r="S250" s="3">
        <v>45100</v>
      </c>
      <c r="T250" s="3">
        <v>45107</v>
      </c>
      <c r="U250" s="2" t="s">
        <v>19</v>
      </c>
      <c r="V250" s="2" t="s">
        <v>26</v>
      </c>
      <c r="W250" s="2" t="s">
        <v>20</v>
      </c>
      <c r="X250" s="2" t="s">
        <v>38</v>
      </c>
      <c r="Y250" s="2" t="s">
        <v>22</v>
      </c>
      <c r="Z250" s="2" t="s">
        <v>46</v>
      </c>
      <c r="AA250" s="2" t="s">
        <v>24</v>
      </c>
      <c r="AB250" s="2">
        <v>8</v>
      </c>
      <c r="AC250" s="2">
        <v>3160.9</v>
      </c>
    </row>
    <row r="251" spans="1:29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  <c r="Q251" s="2">
        <v>10041</v>
      </c>
      <c r="R251" s="2">
        <v>1058</v>
      </c>
      <c r="S251" s="3">
        <v>45211</v>
      </c>
      <c r="T251" s="3">
        <v>45220</v>
      </c>
      <c r="U251" s="2" t="s">
        <v>40</v>
      </c>
      <c r="V251" s="2" t="s">
        <v>19</v>
      </c>
      <c r="W251" s="2" t="s">
        <v>20</v>
      </c>
      <c r="X251" s="2" t="s">
        <v>28</v>
      </c>
      <c r="Y251" s="2" t="s">
        <v>55</v>
      </c>
      <c r="Z251" s="2" t="s">
        <v>67</v>
      </c>
      <c r="AA251" s="2" t="s">
        <v>24</v>
      </c>
      <c r="AB251" s="2">
        <v>8</v>
      </c>
      <c r="AC251" s="2">
        <v>3158.8</v>
      </c>
    </row>
    <row r="252" spans="1:29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  <c r="Q252" s="2">
        <v>10054</v>
      </c>
      <c r="R252" s="2">
        <v>1566</v>
      </c>
      <c r="S252" s="3">
        <v>45279</v>
      </c>
      <c r="T252" s="3">
        <v>45281</v>
      </c>
      <c r="U252" s="2" t="s">
        <v>43</v>
      </c>
      <c r="V252" s="2" t="s">
        <v>26</v>
      </c>
      <c r="W252" s="2" t="s">
        <v>27</v>
      </c>
      <c r="X252" s="2" t="s">
        <v>28</v>
      </c>
      <c r="Y252" s="2" t="s">
        <v>52</v>
      </c>
      <c r="Z252" s="2" t="s">
        <v>53</v>
      </c>
      <c r="AA252" s="2" t="s">
        <v>24</v>
      </c>
      <c r="AB252" s="2">
        <v>8</v>
      </c>
      <c r="AC252" s="2">
        <v>1428.62</v>
      </c>
    </row>
    <row r="253" spans="1:29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  <c r="Q253" s="2">
        <v>10171</v>
      </c>
      <c r="R253" s="2">
        <v>1986</v>
      </c>
      <c r="S253" s="3">
        <v>45227</v>
      </c>
      <c r="T253" s="3">
        <v>45228</v>
      </c>
      <c r="U253" s="2" t="s">
        <v>18</v>
      </c>
      <c r="V253" s="2" t="s">
        <v>44</v>
      </c>
      <c r="W253" s="2" t="s">
        <v>27</v>
      </c>
      <c r="X253" s="2" t="s">
        <v>21</v>
      </c>
      <c r="Y253" s="2" t="s">
        <v>22</v>
      </c>
      <c r="Z253" s="2" t="s">
        <v>46</v>
      </c>
      <c r="AA253" s="2" t="s">
        <v>24</v>
      </c>
      <c r="AB253" s="2">
        <v>8</v>
      </c>
      <c r="AC253" s="2">
        <v>3795.01</v>
      </c>
    </row>
    <row r="254" spans="1:29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  <c r="Q254" s="2">
        <v>10196</v>
      </c>
      <c r="R254" s="2">
        <v>1863</v>
      </c>
      <c r="S254" s="3">
        <v>45124</v>
      </c>
      <c r="T254" s="3">
        <v>45133</v>
      </c>
      <c r="U254" s="2" t="s">
        <v>40</v>
      </c>
      <c r="V254" s="2" t="s">
        <v>32</v>
      </c>
      <c r="W254" s="2" t="s">
        <v>33</v>
      </c>
      <c r="X254" s="2" t="s">
        <v>47</v>
      </c>
      <c r="Y254" s="2" t="s">
        <v>55</v>
      </c>
      <c r="Z254" s="2" t="s">
        <v>56</v>
      </c>
      <c r="AA254" s="2" t="s">
        <v>24</v>
      </c>
      <c r="AB254" s="2">
        <v>8</v>
      </c>
      <c r="AC254" s="2">
        <v>2561.86</v>
      </c>
    </row>
    <row r="255" spans="1:29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  <c r="Q255" s="2">
        <v>10220</v>
      </c>
      <c r="R255" s="2">
        <v>1556</v>
      </c>
      <c r="S255" s="3">
        <v>45026</v>
      </c>
      <c r="T255" s="3">
        <v>45035</v>
      </c>
      <c r="U255" s="2" t="s">
        <v>40</v>
      </c>
      <c r="V255" s="2" t="s">
        <v>19</v>
      </c>
      <c r="W255" s="2" t="s">
        <v>27</v>
      </c>
      <c r="X255" s="2" t="s">
        <v>21</v>
      </c>
      <c r="Y255" s="2" t="s">
        <v>22</v>
      </c>
      <c r="Z255" s="2" t="s">
        <v>58</v>
      </c>
      <c r="AA255" s="2" t="s">
        <v>24</v>
      </c>
      <c r="AB255" s="2">
        <v>8</v>
      </c>
      <c r="AC255" s="2">
        <v>3240.98</v>
      </c>
    </row>
    <row r="256" spans="1:29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  <c r="Q256" s="2">
        <v>10355</v>
      </c>
      <c r="R256" s="2">
        <v>1945</v>
      </c>
      <c r="S256" s="3">
        <v>45188</v>
      </c>
      <c r="T256" s="3">
        <v>45191</v>
      </c>
      <c r="U256" s="2" t="s">
        <v>40</v>
      </c>
      <c r="V256" s="2" t="s">
        <v>26</v>
      </c>
      <c r="W256" s="2" t="s">
        <v>33</v>
      </c>
      <c r="X256" s="2" t="s">
        <v>38</v>
      </c>
      <c r="Y256" s="2" t="s">
        <v>55</v>
      </c>
      <c r="Z256" s="2" t="s">
        <v>56</v>
      </c>
      <c r="AA256" s="2" t="s">
        <v>24</v>
      </c>
      <c r="AB256" s="2">
        <v>9</v>
      </c>
      <c r="AC256" s="2">
        <v>2632.88</v>
      </c>
    </row>
    <row r="257" spans="1:29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  <c r="Q257" s="2">
        <v>10356</v>
      </c>
      <c r="R257" s="2">
        <v>1150</v>
      </c>
      <c r="S257" s="3">
        <v>45093</v>
      </c>
      <c r="T257" s="3">
        <v>45102</v>
      </c>
      <c r="U257" s="2" t="s">
        <v>19</v>
      </c>
      <c r="V257" s="2" t="s">
        <v>41</v>
      </c>
      <c r="W257" s="2" t="s">
        <v>33</v>
      </c>
      <c r="X257" s="2" t="s">
        <v>45</v>
      </c>
      <c r="Y257" s="2" t="s">
        <v>34</v>
      </c>
      <c r="Z257" s="2" t="s">
        <v>51</v>
      </c>
      <c r="AA257" s="2" t="s">
        <v>24</v>
      </c>
      <c r="AB257" s="2">
        <v>9</v>
      </c>
      <c r="AC257" s="2">
        <v>1259.77</v>
      </c>
    </row>
    <row r="258" spans="1:29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  <c r="Q258" s="2">
        <v>10045</v>
      </c>
      <c r="R258" s="2">
        <v>1699</v>
      </c>
      <c r="S258" s="3">
        <v>45139</v>
      </c>
      <c r="T258" s="3">
        <v>45147</v>
      </c>
      <c r="U258" s="2" t="s">
        <v>37</v>
      </c>
      <c r="V258" s="2" t="s">
        <v>19</v>
      </c>
      <c r="W258" s="2" t="s">
        <v>20</v>
      </c>
      <c r="X258" s="2" t="s">
        <v>28</v>
      </c>
      <c r="Y258" s="2" t="s">
        <v>29</v>
      </c>
      <c r="Z258" s="2" t="s">
        <v>64</v>
      </c>
      <c r="AA258" s="2" t="s">
        <v>50</v>
      </c>
      <c r="AB258" s="2">
        <v>1</v>
      </c>
      <c r="AC258" s="2">
        <v>2764.92</v>
      </c>
    </row>
    <row r="259" spans="1:29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  <c r="Q259" s="2">
        <v>10047</v>
      </c>
      <c r="R259" s="2">
        <v>1782</v>
      </c>
      <c r="S259" s="3">
        <v>44976</v>
      </c>
      <c r="T259" s="3">
        <v>44985</v>
      </c>
      <c r="U259" s="2" t="s">
        <v>43</v>
      </c>
      <c r="V259" s="2" t="s">
        <v>44</v>
      </c>
      <c r="W259" s="2" t="s">
        <v>20</v>
      </c>
      <c r="X259" s="2" t="s">
        <v>21</v>
      </c>
      <c r="Y259" s="2" t="s">
        <v>60</v>
      </c>
      <c r="Z259" s="2" t="s">
        <v>65</v>
      </c>
      <c r="AA259" s="2" t="s">
        <v>50</v>
      </c>
      <c r="AB259" s="2">
        <v>1</v>
      </c>
      <c r="AC259" s="2">
        <v>1769.93</v>
      </c>
    </row>
    <row r="260" spans="1:29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  <c r="Q260" s="2">
        <v>10152</v>
      </c>
      <c r="R260" s="2">
        <v>1230</v>
      </c>
      <c r="S260" s="3">
        <v>45043</v>
      </c>
      <c r="T260" s="3">
        <v>45050</v>
      </c>
      <c r="U260" s="2" t="s">
        <v>40</v>
      </c>
      <c r="V260" s="2" t="s">
        <v>19</v>
      </c>
      <c r="W260" s="2" t="s">
        <v>27</v>
      </c>
      <c r="X260" s="2" t="s">
        <v>47</v>
      </c>
      <c r="Y260" s="2" t="s">
        <v>55</v>
      </c>
      <c r="Z260" s="2" t="s">
        <v>59</v>
      </c>
      <c r="AA260" s="2" t="s">
        <v>50</v>
      </c>
      <c r="AB260" s="2">
        <v>1</v>
      </c>
      <c r="AC260" s="2">
        <v>3249.11</v>
      </c>
    </row>
    <row r="261" spans="1:29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  <c r="Q261" s="2">
        <v>10309</v>
      </c>
      <c r="R261" s="2">
        <v>1400</v>
      </c>
      <c r="S261" s="3">
        <v>44928</v>
      </c>
      <c r="T261" s="3">
        <v>44936</v>
      </c>
      <c r="U261" s="2" t="s">
        <v>37</v>
      </c>
      <c r="V261" s="2" t="s">
        <v>32</v>
      </c>
      <c r="W261" s="2" t="s">
        <v>33</v>
      </c>
      <c r="X261" s="2" t="s">
        <v>47</v>
      </c>
      <c r="Y261" s="2" t="s">
        <v>52</v>
      </c>
      <c r="Z261" s="2" t="s">
        <v>54</v>
      </c>
      <c r="AA261" s="2" t="s">
        <v>50</v>
      </c>
      <c r="AB261" s="2">
        <v>1</v>
      </c>
      <c r="AC261" s="2">
        <v>2740.46</v>
      </c>
    </row>
    <row r="262" spans="1:29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  <c r="Q262" s="2">
        <v>10329</v>
      </c>
      <c r="R262" s="2">
        <v>1770</v>
      </c>
      <c r="S262" s="3">
        <v>44975</v>
      </c>
      <c r="T262" s="3">
        <v>44976</v>
      </c>
      <c r="U262" s="2" t="s">
        <v>43</v>
      </c>
      <c r="V262" s="2" t="s">
        <v>41</v>
      </c>
      <c r="W262" s="2" t="s">
        <v>20</v>
      </c>
      <c r="X262" s="2" t="s">
        <v>47</v>
      </c>
      <c r="Y262" s="2" t="s">
        <v>29</v>
      </c>
      <c r="Z262" s="2" t="s">
        <v>30</v>
      </c>
      <c r="AA262" s="2" t="s">
        <v>50</v>
      </c>
      <c r="AB262" s="2">
        <v>1</v>
      </c>
      <c r="AC262" s="2">
        <v>3171.36</v>
      </c>
    </row>
    <row r="263" spans="1:29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  <c r="Q263" s="2">
        <v>10390</v>
      </c>
      <c r="R263" s="2">
        <v>1586</v>
      </c>
      <c r="S263" s="3">
        <v>45102</v>
      </c>
      <c r="T263" s="3">
        <v>45103</v>
      </c>
      <c r="U263" s="2" t="s">
        <v>43</v>
      </c>
      <c r="V263" s="2" t="s">
        <v>57</v>
      </c>
      <c r="W263" s="2" t="s">
        <v>27</v>
      </c>
      <c r="X263" s="2" t="s">
        <v>38</v>
      </c>
      <c r="Y263" s="2" t="s">
        <v>34</v>
      </c>
      <c r="Z263" s="2" t="s">
        <v>51</v>
      </c>
      <c r="AA263" s="2" t="s">
        <v>50</v>
      </c>
      <c r="AB263" s="2">
        <v>1</v>
      </c>
      <c r="AC263" s="2">
        <v>2430.36</v>
      </c>
    </row>
    <row r="264" spans="1:29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  <c r="Q264" s="2">
        <v>10064</v>
      </c>
      <c r="R264" s="2">
        <v>1166</v>
      </c>
      <c r="S264" s="3">
        <v>45207</v>
      </c>
      <c r="T264" s="3">
        <v>45216</v>
      </c>
      <c r="U264" s="2" t="s">
        <v>43</v>
      </c>
      <c r="V264" s="2" t="s">
        <v>19</v>
      </c>
      <c r="W264" s="2" t="s">
        <v>33</v>
      </c>
      <c r="X264" s="2" t="s">
        <v>21</v>
      </c>
      <c r="Y264" s="2" t="s">
        <v>29</v>
      </c>
      <c r="Z264" s="2" t="s">
        <v>39</v>
      </c>
      <c r="AA264" s="2" t="s">
        <v>50</v>
      </c>
      <c r="AB264" s="2">
        <v>2</v>
      </c>
      <c r="AC264" s="2">
        <v>1041.2</v>
      </c>
    </row>
    <row r="265" spans="1:29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  <c r="Q265" s="2">
        <v>10239</v>
      </c>
      <c r="R265" s="2">
        <v>1384</v>
      </c>
      <c r="S265" s="3">
        <v>45146</v>
      </c>
      <c r="T265" s="3">
        <v>45149</v>
      </c>
      <c r="U265" s="2" t="s">
        <v>37</v>
      </c>
      <c r="V265" s="2" t="s">
        <v>44</v>
      </c>
      <c r="W265" s="2" t="s">
        <v>27</v>
      </c>
      <c r="X265" s="2" t="s">
        <v>28</v>
      </c>
      <c r="Y265" s="2" t="s">
        <v>52</v>
      </c>
      <c r="Z265" s="2" t="s">
        <v>66</v>
      </c>
      <c r="AA265" s="2" t="s">
        <v>50</v>
      </c>
      <c r="AB265" s="2">
        <v>2</v>
      </c>
      <c r="AC265" s="2">
        <v>3960.56</v>
      </c>
    </row>
    <row r="266" spans="1:29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  <c r="Q266" s="2">
        <v>10071</v>
      </c>
      <c r="R266" s="2">
        <v>1776</v>
      </c>
      <c r="S266" s="3">
        <v>45070</v>
      </c>
      <c r="T266" s="3">
        <v>45078</v>
      </c>
      <c r="U266" s="2" t="s">
        <v>18</v>
      </c>
      <c r="V266" s="2" t="s">
        <v>32</v>
      </c>
      <c r="W266" s="2" t="s">
        <v>20</v>
      </c>
      <c r="X266" s="2" t="s">
        <v>21</v>
      </c>
      <c r="Y266" s="2" t="s">
        <v>29</v>
      </c>
      <c r="Z266" s="2" t="s">
        <v>64</v>
      </c>
      <c r="AA266" s="2" t="s">
        <v>50</v>
      </c>
      <c r="AB266" s="2">
        <v>3</v>
      </c>
      <c r="AC266" s="2">
        <v>3854.71</v>
      </c>
    </row>
    <row r="267" spans="1:29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  <c r="Q267" s="2">
        <v>10072</v>
      </c>
      <c r="R267" s="2">
        <v>1345</v>
      </c>
      <c r="S267" s="3">
        <v>44998</v>
      </c>
      <c r="T267" s="3">
        <v>45005</v>
      </c>
      <c r="U267" s="2" t="s">
        <v>19</v>
      </c>
      <c r="V267" s="2" t="s">
        <v>57</v>
      </c>
      <c r="W267" s="2" t="s">
        <v>20</v>
      </c>
      <c r="X267" s="2" t="s">
        <v>21</v>
      </c>
      <c r="Y267" s="2" t="s">
        <v>22</v>
      </c>
      <c r="Z267" s="2" t="s">
        <v>58</v>
      </c>
      <c r="AA267" s="2" t="s">
        <v>50</v>
      </c>
      <c r="AB267" s="2">
        <v>3</v>
      </c>
      <c r="AC267" s="2">
        <v>1859.84</v>
      </c>
    </row>
    <row r="268" spans="1:29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  <c r="Q268" s="2">
        <v>10088</v>
      </c>
      <c r="R268" s="2">
        <v>1561</v>
      </c>
      <c r="S268" s="3">
        <v>44939</v>
      </c>
      <c r="T268" s="3">
        <v>44946</v>
      </c>
      <c r="U268" s="2" t="s">
        <v>37</v>
      </c>
      <c r="V268" s="2" t="s">
        <v>32</v>
      </c>
      <c r="W268" s="2" t="s">
        <v>20</v>
      </c>
      <c r="X268" s="2" t="s">
        <v>45</v>
      </c>
      <c r="Y268" s="2" t="s">
        <v>52</v>
      </c>
      <c r="Z268" s="2" t="s">
        <v>66</v>
      </c>
      <c r="AA268" s="2" t="s">
        <v>50</v>
      </c>
      <c r="AB268" s="2">
        <v>3</v>
      </c>
      <c r="AC268" s="2">
        <v>3879.4</v>
      </c>
    </row>
    <row r="269" spans="1:29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  <c r="Q269" s="2">
        <v>10095</v>
      </c>
      <c r="R269" s="2">
        <v>1771</v>
      </c>
      <c r="S269" s="3">
        <v>45135</v>
      </c>
      <c r="T269" s="3">
        <v>45137</v>
      </c>
      <c r="U269" s="2" t="s">
        <v>43</v>
      </c>
      <c r="V269" s="2" t="s">
        <v>57</v>
      </c>
      <c r="W269" s="2" t="s">
        <v>33</v>
      </c>
      <c r="X269" s="2" t="s">
        <v>45</v>
      </c>
      <c r="Y269" s="2" t="s">
        <v>52</v>
      </c>
      <c r="Z269" s="2" t="s">
        <v>53</v>
      </c>
      <c r="AA269" s="2" t="s">
        <v>50</v>
      </c>
      <c r="AB269" s="2">
        <v>3</v>
      </c>
      <c r="AC269" s="2">
        <v>1368.86</v>
      </c>
    </row>
    <row r="270" spans="1:29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  <c r="Q270" s="2">
        <v>10106</v>
      </c>
      <c r="R270" s="2">
        <v>1269</v>
      </c>
      <c r="S270" s="3">
        <v>45112</v>
      </c>
      <c r="T270" s="3">
        <v>45113</v>
      </c>
      <c r="U270" s="2" t="s">
        <v>49</v>
      </c>
      <c r="V270" s="2" t="s">
        <v>26</v>
      </c>
      <c r="W270" s="2" t="s">
        <v>33</v>
      </c>
      <c r="X270" s="2" t="s">
        <v>28</v>
      </c>
      <c r="Y270" s="2" t="s">
        <v>52</v>
      </c>
      <c r="Z270" s="2" t="s">
        <v>66</v>
      </c>
      <c r="AA270" s="2" t="s">
        <v>50</v>
      </c>
      <c r="AB270" s="2">
        <v>3</v>
      </c>
      <c r="AC270" s="2">
        <v>3781.22</v>
      </c>
    </row>
    <row r="271" spans="1:29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  <c r="Q271" s="2">
        <v>10148</v>
      </c>
      <c r="R271" s="2">
        <v>1288</v>
      </c>
      <c r="S271" s="3">
        <v>45035</v>
      </c>
      <c r="T271" s="3">
        <v>45043</v>
      </c>
      <c r="U271" s="2" t="s">
        <v>37</v>
      </c>
      <c r="V271" s="2" t="s">
        <v>32</v>
      </c>
      <c r="W271" s="2" t="s">
        <v>33</v>
      </c>
      <c r="X271" s="2" t="s">
        <v>47</v>
      </c>
      <c r="Y271" s="2" t="s">
        <v>22</v>
      </c>
      <c r="Z271" s="2" t="s">
        <v>23</v>
      </c>
      <c r="AA271" s="2" t="s">
        <v>50</v>
      </c>
      <c r="AB271" s="2">
        <v>3</v>
      </c>
      <c r="AC271" s="2">
        <v>3219.26</v>
      </c>
    </row>
    <row r="272" spans="1:29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  <c r="Q272" s="2">
        <v>10271</v>
      </c>
      <c r="R272" s="2">
        <v>1441</v>
      </c>
      <c r="S272" s="3">
        <v>45068</v>
      </c>
      <c r="T272" s="3">
        <v>45072</v>
      </c>
      <c r="U272" s="2" t="s">
        <v>43</v>
      </c>
      <c r="V272" s="2" t="s">
        <v>19</v>
      </c>
      <c r="W272" s="2" t="s">
        <v>33</v>
      </c>
      <c r="X272" s="2" t="s">
        <v>28</v>
      </c>
      <c r="Y272" s="2" t="s">
        <v>22</v>
      </c>
      <c r="Z272" s="2" t="s">
        <v>72</v>
      </c>
      <c r="AA272" s="2" t="s">
        <v>50</v>
      </c>
      <c r="AB272" s="2">
        <v>3</v>
      </c>
      <c r="AC272" s="2">
        <v>2469.5100000000002</v>
      </c>
    </row>
    <row r="273" spans="1:29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  <c r="Q273" s="2">
        <v>10008</v>
      </c>
      <c r="R273" s="2">
        <v>1020</v>
      </c>
      <c r="S273" s="3">
        <v>45040</v>
      </c>
      <c r="T273" s="3">
        <v>45041</v>
      </c>
      <c r="U273" s="2" t="s">
        <v>49</v>
      </c>
      <c r="V273" s="2" t="s">
        <v>19</v>
      </c>
      <c r="W273" s="2" t="s">
        <v>27</v>
      </c>
      <c r="X273" s="2" t="s">
        <v>21</v>
      </c>
      <c r="Y273" s="2" t="s">
        <v>34</v>
      </c>
      <c r="Z273" s="2" t="s">
        <v>35</v>
      </c>
      <c r="AA273" s="2" t="s">
        <v>50</v>
      </c>
      <c r="AB273" s="2">
        <v>4</v>
      </c>
      <c r="AC273" s="2">
        <v>2310.83</v>
      </c>
    </row>
    <row r="274" spans="1:29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  <c r="Q274" s="2">
        <v>10132</v>
      </c>
      <c r="R274" s="2">
        <v>1812</v>
      </c>
      <c r="S274" s="3">
        <v>45155</v>
      </c>
      <c r="T274" s="3">
        <v>45163</v>
      </c>
      <c r="U274" s="2" t="s">
        <v>37</v>
      </c>
      <c r="V274" s="2" t="s">
        <v>32</v>
      </c>
      <c r="W274" s="2" t="s">
        <v>27</v>
      </c>
      <c r="X274" s="2" t="s">
        <v>38</v>
      </c>
      <c r="Y274" s="2" t="s">
        <v>60</v>
      </c>
      <c r="Z274" s="2" t="s">
        <v>61</v>
      </c>
      <c r="AA274" s="2" t="s">
        <v>50</v>
      </c>
      <c r="AB274" s="2">
        <v>4</v>
      </c>
      <c r="AC274" s="2">
        <v>3153.73</v>
      </c>
    </row>
    <row r="275" spans="1:29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  <c r="Q275" s="2">
        <v>10140</v>
      </c>
      <c r="R275" s="2">
        <v>1471</v>
      </c>
      <c r="S275" s="3">
        <v>45008</v>
      </c>
      <c r="T275" s="3">
        <v>45015</v>
      </c>
      <c r="U275" s="2" t="s">
        <v>19</v>
      </c>
      <c r="V275" s="2" t="s">
        <v>57</v>
      </c>
      <c r="W275" s="2" t="s">
        <v>33</v>
      </c>
      <c r="X275" s="2" t="s">
        <v>45</v>
      </c>
      <c r="Y275" s="2" t="s">
        <v>60</v>
      </c>
      <c r="Z275" s="2" t="s">
        <v>62</v>
      </c>
      <c r="AA275" s="2" t="s">
        <v>50</v>
      </c>
      <c r="AB275" s="2">
        <v>4</v>
      </c>
      <c r="AC275" s="2">
        <v>3565.41</v>
      </c>
    </row>
    <row r="276" spans="1:29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  <c r="Q276" s="2">
        <v>10160</v>
      </c>
      <c r="R276" s="2">
        <v>1032</v>
      </c>
      <c r="S276" s="3">
        <v>45039</v>
      </c>
      <c r="T276" s="3">
        <v>45041</v>
      </c>
      <c r="U276" s="2" t="s">
        <v>25</v>
      </c>
      <c r="V276" s="2" t="s">
        <v>41</v>
      </c>
      <c r="W276" s="2" t="s">
        <v>20</v>
      </c>
      <c r="X276" s="2" t="s">
        <v>47</v>
      </c>
      <c r="Y276" s="2" t="s">
        <v>34</v>
      </c>
      <c r="Z276" s="2" t="s">
        <v>51</v>
      </c>
      <c r="AA276" s="2" t="s">
        <v>50</v>
      </c>
      <c r="AB276" s="2">
        <v>4</v>
      </c>
      <c r="AC276" s="2">
        <v>1322.72</v>
      </c>
    </row>
    <row r="277" spans="1:29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  <c r="Q277" s="2">
        <v>10199</v>
      </c>
      <c r="R277" s="2">
        <v>1563</v>
      </c>
      <c r="S277" s="3">
        <v>44977</v>
      </c>
      <c r="T277" s="3">
        <v>44984</v>
      </c>
      <c r="U277" s="2" t="s">
        <v>37</v>
      </c>
      <c r="V277" s="2" t="s">
        <v>26</v>
      </c>
      <c r="W277" s="2" t="s">
        <v>27</v>
      </c>
      <c r="X277" s="2" t="s">
        <v>38</v>
      </c>
      <c r="Y277" s="2" t="s">
        <v>52</v>
      </c>
      <c r="Z277" s="2" t="s">
        <v>54</v>
      </c>
      <c r="AA277" s="2" t="s">
        <v>50</v>
      </c>
      <c r="AB277" s="2">
        <v>4</v>
      </c>
      <c r="AC277" s="2">
        <v>1428.19</v>
      </c>
    </row>
    <row r="278" spans="1:29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  <c r="Q278" s="2">
        <v>10214</v>
      </c>
      <c r="R278" s="2">
        <v>1698</v>
      </c>
      <c r="S278" s="3">
        <v>45052</v>
      </c>
      <c r="T278" s="3">
        <v>45061</v>
      </c>
      <c r="U278" s="2" t="s">
        <v>40</v>
      </c>
      <c r="V278" s="2" t="s">
        <v>32</v>
      </c>
      <c r="W278" s="2" t="s">
        <v>27</v>
      </c>
      <c r="X278" s="2" t="s">
        <v>47</v>
      </c>
      <c r="Y278" s="2" t="s">
        <v>52</v>
      </c>
      <c r="Z278" s="2" t="s">
        <v>66</v>
      </c>
      <c r="AA278" s="2" t="s">
        <v>50</v>
      </c>
      <c r="AB278" s="2">
        <v>4</v>
      </c>
      <c r="AC278" s="2">
        <v>1719.71</v>
      </c>
    </row>
    <row r="279" spans="1:29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  <c r="Q279" s="2">
        <v>10264</v>
      </c>
      <c r="R279" s="2">
        <v>1607</v>
      </c>
      <c r="S279" s="3">
        <v>45086</v>
      </c>
      <c r="T279" s="3">
        <v>45091</v>
      </c>
      <c r="U279" s="2" t="s">
        <v>18</v>
      </c>
      <c r="V279" s="2" t="s">
        <v>19</v>
      </c>
      <c r="W279" s="2" t="s">
        <v>33</v>
      </c>
      <c r="X279" s="2" t="s">
        <v>47</v>
      </c>
      <c r="Y279" s="2" t="s">
        <v>55</v>
      </c>
      <c r="Z279" s="2" t="s">
        <v>63</v>
      </c>
      <c r="AA279" s="2" t="s">
        <v>50</v>
      </c>
      <c r="AB279" s="2">
        <v>4</v>
      </c>
      <c r="AC279" s="2">
        <v>1126.3</v>
      </c>
    </row>
    <row r="280" spans="1:29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  <c r="Q280" s="2">
        <v>10010</v>
      </c>
      <c r="R280" s="2">
        <v>1121</v>
      </c>
      <c r="S280" s="3">
        <v>45139</v>
      </c>
      <c r="T280" s="3">
        <v>45147</v>
      </c>
      <c r="U280" s="2" t="s">
        <v>37</v>
      </c>
      <c r="V280" s="2" t="s">
        <v>41</v>
      </c>
      <c r="W280" s="2" t="s">
        <v>27</v>
      </c>
      <c r="X280" s="2" t="s">
        <v>38</v>
      </c>
      <c r="Y280" s="2" t="s">
        <v>52</v>
      </c>
      <c r="Z280" s="2" t="s">
        <v>53</v>
      </c>
      <c r="AA280" s="2" t="s">
        <v>50</v>
      </c>
      <c r="AB280" s="2">
        <v>5</v>
      </c>
      <c r="AC280" s="2">
        <v>1780.66</v>
      </c>
    </row>
    <row r="281" spans="1:29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  <c r="Q281" s="2">
        <v>10031</v>
      </c>
      <c r="R281" s="2">
        <v>1276</v>
      </c>
      <c r="S281" s="3">
        <v>45162</v>
      </c>
      <c r="T281" s="3">
        <v>45166</v>
      </c>
      <c r="U281" s="2" t="s">
        <v>18</v>
      </c>
      <c r="V281" s="2" t="s">
        <v>32</v>
      </c>
      <c r="W281" s="2" t="s">
        <v>33</v>
      </c>
      <c r="X281" s="2" t="s">
        <v>45</v>
      </c>
      <c r="Y281" s="2" t="s">
        <v>60</v>
      </c>
      <c r="Z281" s="2" t="s">
        <v>65</v>
      </c>
      <c r="AA281" s="2" t="s">
        <v>50</v>
      </c>
      <c r="AB281" s="2">
        <v>5</v>
      </c>
      <c r="AC281" s="2">
        <v>2295.65</v>
      </c>
    </row>
    <row r="282" spans="1:29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  <c r="Q282" s="2">
        <v>10151</v>
      </c>
      <c r="R282" s="2">
        <v>1489</v>
      </c>
      <c r="S282" s="3">
        <v>45240</v>
      </c>
      <c r="T282" s="3">
        <v>45241</v>
      </c>
      <c r="U282" s="2" t="s">
        <v>37</v>
      </c>
      <c r="V282" s="2" t="s">
        <v>32</v>
      </c>
      <c r="W282" s="2" t="s">
        <v>33</v>
      </c>
      <c r="X282" s="2" t="s">
        <v>21</v>
      </c>
      <c r="Y282" s="2" t="s">
        <v>52</v>
      </c>
      <c r="Z282" s="2" t="s">
        <v>66</v>
      </c>
      <c r="AA282" s="2" t="s">
        <v>50</v>
      </c>
      <c r="AB282" s="2">
        <v>5</v>
      </c>
      <c r="AC282" s="2">
        <v>1461.1</v>
      </c>
    </row>
    <row r="283" spans="1:29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  <c r="Q283" s="2">
        <v>10253</v>
      </c>
      <c r="R283" s="2">
        <v>1317</v>
      </c>
      <c r="S283" s="3">
        <v>45033</v>
      </c>
      <c r="T283" s="3">
        <v>45034</v>
      </c>
      <c r="U283" s="2" t="s">
        <v>43</v>
      </c>
      <c r="V283" s="2" t="s">
        <v>44</v>
      </c>
      <c r="W283" s="2" t="s">
        <v>27</v>
      </c>
      <c r="X283" s="2" t="s">
        <v>38</v>
      </c>
      <c r="Y283" s="2" t="s">
        <v>22</v>
      </c>
      <c r="Z283" s="2" t="s">
        <v>23</v>
      </c>
      <c r="AA283" s="2" t="s">
        <v>50</v>
      </c>
      <c r="AB283" s="2">
        <v>5</v>
      </c>
      <c r="AC283" s="2">
        <v>2532.27</v>
      </c>
    </row>
    <row r="284" spans="1:29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  <c r="Q284" s="2">
        <v>10269</v>
      </c>
      <c r="R284" s="2">
        <v>1829</v>
      </c>
      <c r="S284" s="3">
        <v>45125</v>
      </c>
      <c r="T284" s="3">
        <v>45132</v>
      </c>
      <c r="U284" s="2" t="s">
        <v>18</v>
      </c>
      <c r="V284" s="2" t="s">
        <v>44</v>
      </c>
      <c r="W284" s="2" t="s">
        <v>27</v>
      </c>
      <c r="X284" s="2" t="s">
        <v>38</v>
      </c>
      <c r="Y284" s="2" t="s">
        <v>52</v>
      </c>
      <c r="Z284" s="2" t="s">
        <v>54</v>
      </c>
      <c r="AA284" s="2" t="s">
        <v>50</v>
      </c>
      <c r="AB284" s="2">
        <v>5</v>
      </c>
      <c r="AC284" s="2">
        <v>3156.54</v>
      </c>
    </row>
    <row r="285" spans="1:29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  <c r="Q285" s="2">
        <v>10296</v>
      </c>
      <c r="R285" s="2">
        <v>1129</v>
      </c>
      <c r="S285" s="3">
        <v>44954</v>
      </c>
      <c r="T285" s="3">
        <v>44957</v>
      </c>
      <c r="U285" s="2" t="s">
        <v>19</v>
      </c>
      <c r="V285" s="2" t="s">
        <v>19</v>
      </c>
      <c r="W285" s="2" t="s">
        <v>20</v>
      </c>
      <c r="X285" s="2" t="s">
        <v>38</v>
      </c>
      <c r="Y285" s="2" t="s">
        <v>34</v>
      </c>
      <c r="Z285" s="2" t="s">
        <v>51</v>
      </c>
      <c r="AA285" s="2" t="s">
        <v>50</v>
      </c>
      <c r="AB285" s="2">
        <v>5</v>
      </c>
      <c r="AC285" s="2">
        <v>2850.33</v>
      </c>
    </row>
    <row r="286" spans="1:29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  <c r="Q286" s="2">
        <v>10342</v>
      </c>
      <c r="R286" s="2">
        <v>1819</v>
      </c>
      <c r="S286" s="3">
        <v>45018</v>
      </c>
      <c r="T286" s="3">
        <v>45019</v>
      </c>
      <c r="U286" s="2" t="s">
        <v>18</v>
      </c>
      <c r="V286" s="2" t="s">
        <v>57</v>
      </c>
      <c r="W286" s="2" t="s">
        <v>20</v>
      </c>
      <c r="X286" s="2" t="s">
        <v>38</v>
      </c>
      <c r="Y286" s="2" t="s">
        <v>29</v>
      </c>
      <c r="Z286" s="2" t="s">
        <v>30</v>
      </c>
      <c r="AA286" s="2" t="s">
        <v>50</v>
      </c>
      <c r="AB286" s="2">
        <v>5</v>
      </c>
      <c r="AC286" s="2">
        <v>1853.11</v>
      </c>
    </row>
    <row r="287" spans="1:29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  <c r="Q287" s="2">
        <v>10438</v>
      </c>
      <c r="R287" s="2">
        <v>1749</v>
      </c>
      <c r="S287" s="3">
        <v>45082</v>
      </c>
      <c r="T287" s="3">
        <v>45091</v>
      </c>
      <c r="U287" s="2" t="s">
        <v>49</v>
      </c>
      <c r="V287" s="2" t="s">
        <v>26</v>
      </c>
      <c r="W287" s="2" t="s">
        <v>33</v>
      </c>
      <c r="X287" s="2" t="s">
        <v>21</v>
      </c>
      <c r="Y287" s="2" t="s">
        <v>29</v>
      </c>
      <c r="Z287" s="2" t="s">
        <v>64</v>
      </c>
      <c r="AA287" s="2" t="s">
        <v>50</v>
      </c>
      <c r="AB287" s="2">
        <v>5</v>
      </c>
      <c r="AC287" s="2">
        <v>3116.22</v>
      </c>
    </row>
    <row r="288" spans="1:29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  <c r="Q288" s="2">
        <v>10463</v>
      </c>
      <c r="R288" s="2">
        <v>1048</v>
      </c>
      <c r="S288" s="3">
        <v>44992</v>
      </c>
      <c r="T288" s="3">
        <v>45000</v>
      </c>
      <c r="U288" s="2" t="s">
        <v>25</v>
      </c>
      <c r="V288" s="2" t="s">
        <v>19</v>
      </c>
      <c r="W288" s="2" t="s">
        <v>27</v>
      </c>
      <c r="X288" s="2" t="s">
        <v>38</v>
      </c>
      <c r="Y288" s="2" t="s">
        <v>29</v>
      </c>
      <c r="Z288" s="2" t="s">
        <v>39</v>
      </c>
      <c r="AA288" s="2" t="s">
        <v>50</v>
      </c>
      <c r="AB288" s="2">
        <v>5</v>
      </c>
      <c r="AC288" s="2">
        <v>2072.3200000000002</v>
      </c>
    </row>
    <row r="289" spans="1:29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  <c r="Q289" s="2">
        <v>10034</v>
      </c>
      <c r="R289" s="2">
        <v>1313</v>
      </c>
      <c r="S289" s="3">
        <v>45182</v>
      </c>
      <c r="T289" s="3">
        <v>45191</v>
      </c>
      <c r="U289" s="2" t="s">
        <v>37</v>
      </c>
      <c r="V289" s="2" t="s">
        <v>26</v>
      </c>
      <c r="W289" s="2" t="s">
        <v>33</v>
      </c>
      <c r="X289" s="2" t="s">
        <v>28</v>
      </c>
      <c r="Y289" s="2" t="s">
        <v>34</v>
      </c>
      <c r="Z289" s="2" t="s">
        <v>51</v>
      </c>
      <c r="AA289" s="2" t="s">
        <v>50</v>
      </c>
      <c r="AB289" s="2">
        <v>6</v>
      </c>
      <c r="AC289" s="2">
        <v>1529.59</v>
      </c>
    </row>
    <row r="290" spans="1:29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  <c r="Q290" s="2">
        <v>10081</v>
      </c>
      <c r="R290" s="2">
        <v>1508</v>
      </c>
      <c r="S290" s="3">
        <v>45280</v>
      </c>
      <c r="T290" s="3">
        <v>45283</v>
      </c>
      <c r="U290" s="2" t="s">
        <v>49</v>
      </c>
      <c r="V290" s="2" t="s">
        <v>19</v>
      </c>
      <c r="W290" s="2" t="s">
        <v>33</v>
      </c>
      <c r="X290" s="2" t="s">
        <v>21</v>
      </c>
      <c r="Y290" s="2" t="s">
        <v>29</v>
      </c>
      <c r="Z290" s="2" t="s">
        <v>30</v>
      </c>
      <c r="AA290" s="2" t="s">
        <v>50</v>
      </c>
      <c r="AB290" s="2">
        <v>6</v>
      </c>
      <c r="AC290" s="2">
        <v>3642.91</v>
      </c>
    </row>
    <row r="291" spans="1:29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  <c r="Q291" s="2">
        <v>10110</v>
      </c>
      <c r="R291" s="2">
        <v>1455</v>
      </c>
      <c r="S291" s="3">
        <v>44946</v>
      </c>
      <c r="T291" s="3">
        <v>44947</v>
      </c>
      <c r="U291" s="2" t="s">
        <v>49</v>
      </c>
      <c r="V291" s="2" t="s">
        <v>19</v>
      </c>
      <c r="W291" s="2" t="s">
        <v>27</v>
      </c>
      <c r="X291" s="2" t="s">
        <v>38</v>
      </c>
      <c r="Y291" s="2" t="s">
        <v>55</v>
      </c>
      <c r="Z291" s="2" t="s">
        <v>59</v>
      </c>
      <c r="AA291" s="2" t="s">
        <v>50</v>
      </c>
      <c r="AB291" s="2">
        <v>6</v>
      </c>
      <c r="AC291" s="2">
        <v>2076.84</v>
      </c>
    </row>
    <row r="292" spans="1:29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  <c r="Q292" s="2">
        <v>10117</v>
      </c>
      <c r="R292" s="2">
        <v>1719</v>
      </c>
      <c r="S292" s="3">
        <v>45285</v>
      </c>
      <c r="T292" s="3">
        <v>45293</v>
      </c>
      <c r="U292" s="2" t="s">
        <v>43</v>
      </c>
      <c r="V292" s="2" t="s">
        <v>57</v>
      </c>
      <c r="W292" s="2" t="s">
        <v>20</v>
      </c>
      <c r="X292" s="2" t="s">
        <v>45</v>
      </c>
      <c r="Y292" s="2" t="s">
        <v>60</v>
      </c>
      <c r="Z292" s="2" t="s">
        <v>61</v>
      </c>
      <c r="AA292" s="2" t="s">
        <v>50</v>
      </c>
      <c r="AB292" s="2">
        <v>6</v>
      </c>
      <c r="AC292" s="2">
        <v>3554.77</v>
      </c>
    </row>
    <row r="293" spans="1:29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  <c r="Q293" s="2">
        <v>10135</v>
      </c>
      <c r="R293" s="2">
        <v>1838</v>
      </c>
      <c r="S293" s="3">
        <v>44981</v>
      </c>
      <c r="T293" s="3">
        <v>44990</v>
      </c>
      <c r="U293" s="2" t="s">
        <v>43</v>
      </c>
      <c r="V293" s="2" t="s">
        <v>19</v>
      </c>
      <c r="W293" s="2" t="s">
        <v>20</v>
      </c>
      <c r="X293" s="2" t="s">
        <v>28</v>
      </c>
      <c r="Y293" s="2" t="s">
        <v>22</v>
      </c>
      <c r="Z293" s="2" t="s">
        <v>46</v>
      </c>
      <c r="AA293" s="2" t="s">
        <v>50</v>
      </c>
      <c r="AB293" s="2">
        <v>6</v>
      </c>
      <c r="AC293" s="2">
        <v>1919.66</v>
      </c>
    </row>
    <row r="294" spans="1:29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  <c r="Q294" s="2">
        <v>10223</v>
      </c>
      <c r="R294" s="2">
        <v>1645</v>
      </c>
      <c r="S294" s="3">
        <v>45108</v>
      </c>
      <c r="T294" s="3">
        <v>45117</v>
      </c>
      <c r="U294" s="2" t="s">
        <v>49</v>
      </c>
      <c r="V294" s="2" t="s">
        <v>57</v>
      </c>
      <c r="W294" s="2" t="s">
        <v>20</v>
      </c>
      <c r="X294" s="2" t="s">
        <v>28</v>
      </c>
      <c r="Y294" s="2" t="s">
        <v>60</v>
      </c>
      <c r="Z294" s="2" t="s">
        <v>62</v>
      </c>
      <c r="AA294" s="2" t="s">
        <v>50</v>
      </c>
      <c r="AB294" s="2">
        <v>6</v>
      </c>
      <c r="AC294" s="2">
        <v>1477.55</v>
      </c>
    </row>
    <row r="295" spans="1:29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  <c r="Q295" s="2">
        <v>10327</v>
      </c>
      <c r="R295" s="2">
        <v>1463</v>
      </c>
      <c r="S295" s="3">
        <v>45169</v>
      </c>
      <c r="T295" s="3">
        <v>45176</v>
      </c>
      <c r="U295" s="2" t="s">
        <v>25</v>
      </c>
      <c r="V295" s="2" t="s">
        <v>26</v>
      </c>
      <c r="W295" s="2" t="s">
        <v>20</v>
      </c>
      <c r="X295" s="2" t="s">
        <v>45</v>
      </c>
      <c r="Y295" s="2" t="s">
        <v>55</v>
      </c>
      <c r="Z295" s="2" t="s">
        <v>63</v>
      </c>
      <c r="AA295" s="2" t="s">
        <v>50</v>
      </c>
      <c r="AB295" s="2">
        <v>6</v>
      </c>
      <c r="AC295" s="2">
        <v>3967.1</v>
      </c>
    </row>
    <row r="296" spans="1:29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  <c r="Q296" s="2">
        <v>10371</v>
      </c>
      <c r="R296" s="2">
        <v>1253</v>
      </c>
      <c r="S296" s="3">
        <v>44973</v>
      </c>
      <c r="T296" s="3">
        <v>44979</v>
      </c>
      <c r="U296" s="2" t="s">
        <v>37</v>
      </c>
      <c r="V296" s="2" t="s">
        <v>44</v>
      </c>
      <c r="W296" s="2" t="s">
        <v>20</v>
      </c>
      <c r="X296" s="2" t="s">
        <v>21</v>
      </c>
      <c r="Y296" s="2" t="s">
        <v>52</v>
      </c>
      <c r="Z296" s="2" t="s">
        <v>70</v>
      </c>
      <c r="AA296" s="2" t="s">
        <v>50</v>
      </c>
      <c r="AB296" s="2">
        <v>6</v>
      </c>
      <c r="AC296" s="2">
        <v>2715.13</v>
      </c>
    </row>
    <row r="297" spans="1:29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  <c r="Q297" s="2">
        <v>10394</v>
      </c>
      <c r="R297" s="2">
        <v>1421</v>
      </c>
      <c r="S297" s="3">
        <v>45172</v>
      </c>
      <c r="T297" s="3">
        <v>45173</v>
      </c>
      <c r="U297" s="2" t="s">
        <v>25</v>
      </c>
      <c r="V297" s="2" t="s">
        <v>32</v>
      </c>
      <c r="W297" s="2" t="s">
        <v>20</v>
      </c>
      <c r="X297" s="2" t="s">
        <v>21</v>
      </c>
      <c r="Y297" s="2" t="s">
        <v>52</v>
      </c>
      <c r="Z297" s="2" t="s">
        <v>53</v>
      </c>
      <c r="AA297" s="2" t="s">
        <v>50</v>
      </c>
      <c r="AB297" s="2">
        <v>6</v>
      </c>
      <c r="AC297" s="2">
        <v>2716.48</v>
      </c>
    </row>
    <row r="298" spans="1:29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  <c r="Q298" s="2">
        <v>10396</v>
      </c>
      <c r="R298" s="2">
        <v>1851</v>
      </c>
      <c r="S298" s="3">
        <v>44958</v>
      </c>
      <c r="T298" s="3">
        <v>44966</v>
      </c>
      <c r="U298" s="2" t="s">
        <v>49</v>
      </c>
      <c r="V298" s="2" t="s">
        <v>19</v>
      </c>
      <c r="W298" s="2" t="s">
        <v>33</v>
      </c>
      <c r="X298" s="2" t="s">
        <v>47</v>
      </c>
      <c r="Y298" s="2" t="s">
        <v>52</v>
      </c>
      <c r="Z298" s="2" t="s">
        <v>54</v>
      </c>
      <c r="AA298" s="2" t="s">
        <v>50</v>
      </c>
      <c r="AB298" s="2">
        <v>6</v>
      </c>
      <c r="AC298" s="2">
        <v>2354.67</v>
      </c>
    </row>
    <row r="299" spans="1:29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  <c r="Q299" s="2">
        <v>10422</v>
      </c>
      <c r="R299" s="2">
        <v>1915</v>
      </c>
      <c r="S299" s="3">
        <v>45059</v>
      </c>
      <c r="T299" s="3">
        <v>45061</v>
      </c>
      <c r="U299" s="2" t="s">
        <v>19</v>
      </c>
      <c r="V299" s="2" t="s">
        <v>57</v>
      </c>
      <c r="W299" s="2" t="s">
        <v>20</v>
      </c>
      <c r="X299" s="2" t="s">
        <v>21</v>
      </c>
      <c r="Y299" s="2" t="s">
        <v>55</v>
      </c>
      <c r="Z299" s="2" t="s">
        <v>67</v>
      </c>
      <c r="AA299" s="2" t="s">
        <v>50</v>
      </c>
      <c r="AB299" s="2">
        <v>6</v>
      </c>
      <c r="AC299" s="2">
        <v>1288.31</v>
      </c>
    </row>
    <row r="300" spans="1:29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  <c r="Q300" s="2">
        <v>10035</v>
      </c>
      <c r="R300" s="2">
        <v>1021</v>
      </c>
      <c r="S300" s="3">
        <v>45012</v>
      </c>
      <c r="T300" s="3">
        <v>45013</v>
      </c>
      <c r="U300" s="2" t="s">
        <v>43</v>
      </c>
      <c r="V300" s="2" t="s">
        <v>32</v>
      </c>
      <c r="W300" s="2" t="s">
        <v>33</v>
      </c>
      <c r="X300" s="2" t="s">
        <v>47</v>
      </c>
      <c r="Y300" s="2" t="s">
        <v>34</v>
      </c>
      <c r="Z300" s="2" t="s">
        <v>51</v>
      </c>
      <c r="AA300" s="2" t="s">
        <v>50</v>
      </c>
      <c r="AB300" s="2">
        <v>7</v>
      </c>
      <c r="AC300" s="2">
        <v>3664.64</v>
      </c>
    </row>
    <row r="301" spans="1:29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  <c r="Q301" s="2">
        <v>10087</v>
      </c>
      <c r="R301" s="2">
        <v>1931</v>
      </c>
      <c r="S301" s="3">
        <v>45038</v>
      </c>
      <c r="T301" s="3">
        <v>45045</v>
      </c>
      <c r="U301" s="2" t="s">
        <v>43</v>
      </c>
      <c r="V301" s="2" t="s">
        <v>32</v>
      </c>
      <c r="W301" s="2" t="s">
        <v>20</v>
      </c>
      <c r="X301" s="2" t="s">
        <v>21</v>
      </c>
      <c r="Y301" s="2" t="s">
        <v>34</v>
      </c>
      <c r="Z301" s="2" t="s">
        <v>42</v>
      </c>
      <c r="AA301" s="2" t="s">
        <v>50</v>
      </c>
      <c r="AB301" s="2">
        <v>7</v>
      </c>
      <c r="AC301" s="2">
        <v>1373.12</v>
      </c>
    </row>
    <row r="302" spans="1:29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  <c r="Q302" s="2">
        <v>10100</v>
      </c>
      <c r="R302" s="2">
        <v>1729</v>
      </c>
      <c r="S302" s="3">
        <v>45169</v>
      </c>
      <c r="T302" s="3">
        <v>45176</v>
      </c>
      <c r="U302" s="2" t="s">
        <v>19</v>
      </c>
      <c r="V302" s="2" t="s">
        <v>32</v>
      </c>
      <c r="W302" s="2" t="s">
        <v>27</v>
      </c>
      <c r="X302" s="2" t="s">
        <v>21</v>
      </c>
      <c r="Y302" s="2" t="s">
        <v>22</v>
      </c>
      <c r="Z302" s="2" t="s">
        <v>46</v>
      </c>
      <c r="AA302" s="2" t="s">
        <v>50</v>
      </c>
      <c r="AB302" s="2">
        <v>7</v>
      </c>
      <c r="AC302" s="2">
        <v>3156.71</v>
      </c>
    </row>
    <row r="303" spans="1:29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  <c r="Q303" s="2">
        <v>10103</v>
      </c>
      <c r="R303" s="2">
        <v>1201</v>
      </c>
      <c r="S303" s="3">
        <v>45238</v>
      </c>
      <c r="T303" s="3">
        <v>45244</v>
      </c>
      <c r="U303" s="2" t="s">
        <v>49</v>
      </c>
      <c r="V303" s="2" t="s">
        <v>26</v>
      </c>
      <c r="W303" s="2" t="s">
        <v>20</v>
      </c>
      <c r="X303" s="2" t="s">
        <v>45</v>
      </c>
      <c r="Y303" s="2" t="s">
        <v>22</v>
      </c>
      <c r="Z303" s="2" t="s">
        <v>23</v>
      </c>
      <c r="AA303" s="2" t="s">
        <v>50</v>
      </c>
      <c r="AB303" s="2">
        <v>7</v>
      </c>
      <c r="AC303" s="2">
        <v>3590.34</v>
      </c>
    </row>
    <row r="304" spans="1:29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  <c r="Q304" s="2">
        <v>10120</v>
      </c>
      <c r="R304" s="2">
        <v>1878</v>
      </c>
      <c r="S304" s="3">
        <v>45186</v>
      </c>
      <c r="T304" s="3">
        <v>45187</v>
      </c>
      <c r="U304" s="2" t="s">
        <v>43</v>
      </c>
      <c r="V304" s="2" t="s">
        <v>26</v>
      </c>
      <c r="W304" s="2" t="s">
        <v>27</v>
      </c>
      <c r="X304" s="2" t="s">
        <v>45</v>
      </c>
      <c r="Y304" s="2" t="s">
        <v>55</v>
      </c>
      <c r="Z304" s="2" t="s">
        <v>56</v>
      </c>
      <c r="AA304" s="2" t="s">
        <v>50</v>
      </c>
      <c r="AB304" s="2">
        <v>7</v>
      </c>
      <c r="AC304" s="2">
        <v>2894.46</v>
      </c>
    </row>
    <row r="305" spans="1:29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  <c r="Q305" s="2">
        <v>10123</v>
      </c>
      <c r="R305" s="2">
        <v>1921</v>
      </c>
      <c r="S305" s="3">
        <v>44946</v>
      </c>
      <c r="T305" s="3">
        <v>44950</v>
      </c>
      <c r="U305" s="2" t="s">
        <v>25</v>
      </c>
      <c r="V305" s="2" t="s">
        <v>19</v>
      </c>
      <c r="W305" s="2" t="s">
        <v>27</v>
      </c>
      <c r="X305" s="2" t="s">
        <v>47</v>
      </c>
      <c r="Y305" s="2" t="s">
        <v>29</v>
      </c>
      <c r="Z305" s="2" t="s">
        <v>71</v>
      </c>
      <c r="AA305" s="2" t="s">
        <v>50</v>
      </c>
      <c r="AB305" s="2">
        <v>7</v>
      </c>
      <c r="AC305" s="2">
        <v>1050.5</v>
      </c>
    </row>
    <row r="306" spans="1:29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  <c r="Q306" s="2">
        <v>10247</v>
      </c>
      <c r="R306" s="2">
        <v>1258</v>
      </c>
      <c r="S306" s="3">
        <v>44996</v>
      </c>
      <c r="T306" s="3">
        <v>44998</v>
      </c>
      <c r="U306" s="2" t="s">
        <v>18</v>
      </c>
      <c r="V306" s="2" t="s">
        <v>57</v>
      </c>
      <c r="W306" s="2" t="s">
        <v>33</v>
      </c>
      <c r="X306" s="2" t="s">
        <v>38</v>
      </c>
      <c r="Y306" s="2" t="s">
        <v>55</v>
      </c>
      <c r="Z306" s="2" t="s">
        <v>67</v>
      </c>
      <c r="AA306" s="2" t="s">
        <v>50</v>
      </c>
      <c r="AB306" s="2">
        <v>7</v>
      </c>
      <c r="AC306" s="2">
        <v>2102.27</v>
      </c>
    </row>
    <row r="307" spans="1:29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  <c r="Q307" s="2">
        <v>10245</v>
      </c>
      <c r="R307" s="2">
        <v>1972</v>
      </c>
      <c r="S307" s="3">
        <v>45143</v>
      </c>
      <c r="T307" s="3">
        <v>45148</v>
      </c>
      <c r="U307" s="2" t="s">
        <v>18</v>
      </c>
      <c r="V307" s="2" t="s">
        <v>19</v>
      </c>
      <c r="W307" s="2" t="s">
        <v>33</v>
      </c>
      <c r="X307" s="2" t="s">
        <v>45</v>
      </c>
      <c r="Y307" s="2" t="s">
        <v>52</v>
      </c>
      <c r="Z307" s="2" t="s">
        <v>54</v>
      </c>
      <c r="AA307" s="2" t="s">
        <v>50</v>
      </c>
      <c r="AB307" s="2">
        <v>8</v>
      </c>
      <c r="AC307" s="2">
        <v>1504.45</v>
      </c>
    </row>
    <row r="308" spans="1:29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  <c r="Q308" s="2">
        <v>10369</v>
      </c>
      <c r="R308" s="2">
        <v>1896</v>
      </c>
      <c r="S308" s="3">
        <v>44998</v>
      </c>
      <c r="T308" s="3">
        <v>45000</v>
      </c>
      <c r="U308" s="2" t="s">
        <v>25</v>
      </c>
      <c r="V308" s="2" t="s">
        <v>26</v>
      </c>
      <c r="W308" s="2" t="s">
        <v>20</v>
      </c>
      <c r="X308" s="2" t="s">
        <v>38</v>
      </c>
      <c r="Y308" s="2" t="s">
        <v>29</v>
      </c>
      <c r="Z308" s="2" t="s">
        <v>39</v>
      </c>
      <c r="AA308" s="2" t="s">
        <v>50</v>
      </c>
      <c r="AB308" s="2">
        <v>8</v>
      </c>
      <c r="AC308" s="2">
        <v>3277.19</v>
      </c>
    </row>
    <row r="309" spans="1:29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  <c r="Q309" s="2">
        <v>10481</v>
      </c>
      <c r="R309" s="2">
        <v>1180</v>
      </c>
      <c r="S309" s="3">
        <v>44947</v>
      </c>
      <c r="T309" s="3">
        <v>44955</v>
      </c>
      <c r="U309" s="2" t="s">
        <v>37</v>
      </c>
      <c r="V309" s="2" t="s">
        <v>44</v>
      </c>
      <c r="W309" s="2" t="s">
        <v>20</v>
      </c>
      <c r="X309" s="2" t="s">
        <v>47</v>
      </c>
      <c r="Y309" s="2" t="s">
        <v>52</v>
      </c>
      <c r="Z309" s="2" t="s">
        <v>53</v>
      </c>
      <c r="AA309" s="2" t="s">
        <v>50</v>
      </c>
      <c r="AB309" s="2">
        <v>8</v>
      </c>
      <c r="AC309" s="2">
        <v>1160.51</v>
      </c>
    </row>
    <row r="310" spans="1:29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  <c r="Q310" s="2">
        <v>10125</v>
      </c>
      <c r="R310" s="2">
        <v>1763</v>
      </c>
      <c r="S310" s="3">
        <v>45045</v>
      </c>
      <c r="T310" s="3">
        <v>45052</v>
      </c>
      <c r="U310" s="2" t="s">
        <v>19</v>
      </c>
      <c r="V310" s="2" t="s">
        <v>26</v>
      </c>
      <c r="W310" s="2" t="s">
        <v>33</v>
      </c>
      <c r="X310" s="2" t="s">
        <v>47</v>
      </c>
      <c r="Y310" s="2" t="s">
        <v>55</v>
      </c>
      <c r="Z310" s="2" t="s">
        <v>67</v>
      </c>
      <c r="AA310" s="2" t="s">
        <v>50</v>
      </c>
      <c r="AB310" s="2">
        <v>9</v>
      </c>
      <c r="AC310" s="2">
        <v>3450.19</v>
      </c>
    </row>
    <row r="311" spans="1:29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  <c r="Q311" s="2">
        <v>10172</v>
      </c>
      <c r="R311" s="2">
        <v>1546</v>
      </c>
      <c r="S311" s="3">
        <v>45087</v>
      </c>
      <c r="T311" s="3">
        <v>45088</v>
      </c>
      <c r="U311" s="2" t="s">
        <v>49</v>
      </c>
      <c r="V311" s="2" t="s">
        <v>57</v>
      </c>
      <c r="W311" s="2" t="s">
        <v>20</v>
      </c>
      <c r="X311" s="2" t="s">
        <v>45</v>
      </c>
      <c r="Y311" s="2" t="s">
        <v>52</v>
      </c>
      <c r="Z311" s="2" t="s">
        <v>66</v>
      </c>
      <c r="AA311" s="2" t="s">
        <v>50</v>
      </c>
      <c r="AB311" s="2">
        <v>9</v>
      </c>
      <c r="AC311" s="2">
        <v>3159.22</v>
      </c>
    </row>
    <row r="312" spans="1:29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  <c r="Q312" s="2">
        <v>10235</v>
      </c>
      <c r="R312" s="2">
        <v>1472</v>
      </c>
      <c r="S312" s="3">
        <v>45032</v>
      </c>
      <c r="T312" s="3">
        <v>45040</v>
      </c>
      <c r="U312" s="2" t="s">
        <v>43</v>
      </c>
      <c r="V312" s="2" t="s">
        <v>32</v>
      </c>
      <c r="W312" s="2" t="s">
        <v>20</v>
      </c>
      <c r="X312" s="2" t="s">
        <v>38</v>
      </c>
      <c r="Y312" s="2" t="s">
        <v>55</v>
      </c>
      <c r="Z312" s="2" t="s">
        <v>63</v>
      </c>
      <c r="AA312" s="2" t="s">
        <v>50</v>
      </c>
      <c r="AB312" s="2">
        <v>9</v>
      </c>
      <c r="AC312" s="2">
        <v>2677.09</v>
      </c>
    </row>
    <row r="313" spans="1:29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  <c r="Q313" s="2">
        <v>10423</v>
      </c>
      <c r="R313" s="2">
        <v>1503</v>
      </c>
      <c r="S313" s="3">
        <v>45153</v>
      </c>
      <c r="T313" s="3">
        <v>45155</v>
      </c>
      <c r="U313" s="2" t="s">
        <v>43</v>
      </c>
      <c r="V313" s="2" t="s">
        <v>19</v>
      </c>
      <c r="W313" s="2" t="s">
        <v>27</v>
      </c>
      <c r="X313" s="2" t="s">
        <v>47</v>
      </c>
      <c r="Y313" s="2" t="s">
        <v>55</v>
      </c>
      <c r="Z313" s="2" t="s">
        <v>63</v>
      </c>
      <c r="AA313" s="2" t="s">
        <v>50</v>
      </c>
      <c r="AB313" s="2">
        <v>9</v>
      </c>
      <c r="AC313" s="2">
        <v>3740.3</v>
      </c>
    </row>
    <row r="314" spans="1:29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  <c r="Q314" s="2">
        <v>10024</v>
      </c>
      <c r="R314" s="2">
        <v>1343</v>
      </c>
      <c r="S314" s="3">
        <v>45075</v>
      </c>
      <c r="T314" s="3">
        <v>45082</v>
      </c>
      <c r="U314" s="2" t="s">
        <v>25</v>
      </c>
      <c r="V314" s="2" t="s">
        <v>44</v>
      </c>
      <c r="W314" s="2" t="s">
        <v>20</v>
      </c>
      <c r="X314" s="2" t="s">
        <v>47</v>
      </c>
      <c r="Y314" s="2" t="s">
        <v>52</v>
      </c>
      <c r="Z314" s="2" t="s">
        <v>54</v>
      </c>
      <c r="AA314" s="2" t="s">
        <v>48</v>
      </c>
      <c r="AB314" s="2">
        <v>1</v>
      </c>
      <c r="AC314" s="2">
        <v>3606.31</v>
      </c>
    </row>
    <row r="315" spans="1:29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  <c r="Q315" s="2">
        <v>10163</v>
      </c>
      <c r="R315" s="2">
        <v>1406</v>
      </c>
      <c r="S315" s="3">
        <v>45245</v>
      </c>
      <c r="T315" s="3">
        <v>45249</v>
      </c>
      <c r="U315" s="2" t="s">
        <v>19</v>
      </c>
      <c r="V315" s="2" t="s">
        <v>26</v>
      </c>
      <c r="W315" s="2" t="s">
        <v>33</v>
      </c>
      <c r="X315" s="2" t="s">
        <v>47</v>
      </c>
      <c r="Y315" s="2" t="s">
        <v>55</v>
      </c>
      <c r="Z315" s="2" t="s">
        <v>56</v>
      </c>
      <c r="AA315" s="2" t="s">
        <v>48</v>
      </c>
      <c r="AB315" s="2">
        <v>1</v>
      </c>
      <c r="AC315" s="2">
        <v>1219.22</v>
      </c>
    </row>
    <row r="316" spans="1:29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  <c r="Q316" s="2">
        <v>10246</v>
      </c>
      <c r="R316" s="2">
        <v>1744</v>
      </c>
      <c r="S316" s="3">
        <v>45131</v>
      </c>
      <c r="T316" s="3">
        <v>45139</v>
      </c>
      <c r="U316" s="2" t="s">
        <v>19</v>
      </c>
      <c r="V316" s="2" t="s">
        <v>32</v>
      </c>
      <c r="W316" s="2" t="s">
        <v>27</v>
      </c>
      <c r="X316" s="2" t="s">
        <v>28</v>
      </c>
      <c r="Y316" s="2" t="s">
        <v>55</v>
      </c>
      <c r="Z316" s="2" t="s">
        <v>56</v>
      </c>
      <c r="AA316" s="2" t="s">
        <v>48</v>
      </c>
      <c r="AB316" s="2">
        <v>1</v>
      </c>
      <c r="AC316" s="2">
        <v>3082.45</v>
      </c>
    </row>
    <row r="317" spans="1:29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  <c r="Q317" s="2">
        <v>10249</v>
      </c>
      <c r="R317" s="2">
        <v>1709</v>
      </c>
      <c r="S317" s="3">
        <v>45255</v>
      </c>
      <c r="T317" s="3">
        <v>45263</v>
      </c>
      <c r="U317" s="2" t="s">
        <v>49</v>
      </c>
      <c r="V317" s="2" t="s">
        <v>44</v>
      </c>
      <c r="W317" s="2" t="s">
        <v>20</v>
      </c>
      <c r="X317" s="2" t="s">
        <v>21</v>
      </c>
      <c r="Y317" s="2" t="s">
        <v>34</v>
      </c>
      <c r="Z317" s="2" t="s">
        <v>68</v>
      </c>
      <c r="AA317" s="2" t="s">
        <v>48</v>
      </c>
      <c r="AB317" s="2">
        <v>1</v>
      </c>
      <c r="AC317" s="2">
        <v>3942.92</v>
      </c>
    </row>
    <row r="318" spans="1:29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  <c r="Q318" s="2">
        <v>10313</v>
      </c>
      <c r="R318" s="2">
        <v>1836</v>
      </c>
      <c r="S318" s="3">
        <v>44992</v>
      </c>
      <c r="T318" s="3">
        <v>44997</v>
      </c>
      <c r="U318" s="2" t="s">
        <v>43</v>
      </c>
      <c r="V318" s="2" t="s">
        <v>44</v>
      </c>
      <c r="W318" s="2" t="s">
        <v>20</v>
      </c>
      <c r="X318" s="2" t="s">
        <v>38</v>
      </c>
      <c r="Y318" s="2" t="s">
        <v>60</v>
      </c>
      <c r="Z318" s="2" t="s">
        <v>65</v>
      </c>
      <c r="AA318" s="2" t="s">
        <v>48</v>
      </c>
      <c r="AB318" s="2">
        <v>1</v>
      </c>
      <c r="AC318" s="2">
        <v>3251.27</v>
      </c>
    </row>
    <row r="319" spans="1:29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  <c r="Q319" s="2">
        <v>10345</v>
      </c>
      <c r="R319" s="2">
        <v>1935</v>
      </c>
      <c r="S319" s="3">
        <v>44984</v>
      </c>
      <c r="T319" s="3">
        <v>44993</v>
      </c>
      <c r="U319" s="2" t="s">
        <v>37</v>
      </c>
      <c r="V319" s="2" t="s">
        <v>32</v>
      </c>
      <c r="W319" s="2" t="s">
        <v>33</v>
      </c>
      <c r="X319" s="2" t="s">
        <v>45</v>
      </c>
      <c r="Y319" s="2" t="s">
        <v>29</v>
      </c>
      <c r="Z319" s="2" t="s">
        <v>39</v>
      </c>
      <c r="AA319" s="2" t="s">
        <v>48</v>
      </c>
      <c r="AB319" s="2">
        <v>1</v>
      </c>
      <c r="AC319" s="2">
        <v>3625.42</v>
      </c>
    </row>
    <row r="320" spans="1:29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  <c r="Q320" s="2">
        <v>10379</v>
      </c>
      <c r="R320" s="2">
        <v>1658</v>
      </c>
      <c r="S320" s="3">
        <v>45262</v>
      </c>
      <c r="T320" s="3">
        <v>45270</v>
      </c>
      <c r="U320" s="2" t="s">
        <v>18</v>
      </c>
      <c r="V320" s="2" t="s">
        <v>19</v>
      </c>
      <c r="W320" s="2" t="s">
        <v>27</v>
      </c>
      <c r="X320" s="2" t="s">
        <v>38</v>
      </c>
      <c r="Y320" s="2" t="s">
        <v>29</v>
      </c>
      <c r="Z320" s="2" t="s">
        <v>71</v>
      </c>
      <c r="AA320" s="2" t="s">
        <v>48</v>
      </c>
      <c r="AB320" s="2">
        <v>1</v>
      </c>
      <c r="AC320" s="2">
        <v>3910.66</v>
      </c>
    </row>
    <row r="321" spans="1:29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  <c r="Q321" s="2">
        <v>10414</v>
      </c>
      <c r="R321" s="2">
        <v>1680</v>
      </c>
      <c r="S321" s="3">
        <v>45209</v>
      </c>
      <c r="T321" s="3">
        <v>45212</v>
      </c>
      <c r="U321" s="2" t="s">
        <v>49</v>
      </c>
      <c r="V321" s="2" t="s">
        <v>57</v>
      </c>
      <c r="W321" s="2" t="s">
        <v>33</v>
      </c>
      <c r="X321" s="2" t="s">
        <v>45</v>
      </c>
      <c r="Y321" s="2" t="s">
        <v>29</v>
      </c>
      <c r="Z321" s="2" t="s">
        <v>39</v>
      </c>
      <c r="AA321" s="2" t="s">
        <v>48</v>
      </c>
      <c r="AB321" s="2">
        <v>1</v>
      </c>
      <c r="AC321" s="2">
        <v>1219.7</v>
      </c>
    </row>
    <row r="322" spans="1:29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  <c r="Q322" s="2">
        <v>10417</v>
      </c>
      <c r="R322" s="2">
        <v>1579</v>
      </c>
      <c r="S322" s="3">
        <v>45057</v>
      </c>
      <c r="T322" s="3">
        <v>45065</v>
      </c>
      <c r="U322" s="2" t="s">
        <v>25</v>
      </c>
      <c r="V322" s="2" t="s">
        <v>57</v>
      </c>
      <c r="W322" s="2" t="s">
        <v>20</v>
      </c>
      <c r="X322" s="2" t="s">
        <v>47</v>
      </c>
      <c r="Y322" s="2" t="s">
        <v>55</v>
      </c>
      <c r="Z322" s="2" t="s">
        <v>67</v>
      </c>
      <c r="AA322" s="2" t="s">
        <v>48</v>
      </c>
      <c r="AB322" s="2">
        <v>1</v>
      </c>
      <c r="AC322" s="2">
        <v>3354.81</v>
      </c>
    </row>
    <row r="323" spans="1:29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  <c r="Q323" s="2">
        <v>10023</v>
      </c>
      <c r="R323" s="2">
        <v>1769</v>
      </c>
      <c r="S323" s="3">
        <v>45075</v>
      </c>
      <c r="T323" s="3">
        <v>45084</v>
      </c>
      <c r="U323" s="2" t="s">
        <v>19</v>
      </c>
      <c r="V323" s="2" t="s">
        <v>26</v>
      </c>
      <c r="W323" s="2" t="s">
        <v>20</v>
      </c>
      <c r="X323" s="2" t="s">
        <v>45</v>
      </c>
      <c r="Y323" s="2" t="s">
        <v>34</v>
      </c>
      <c r="Z323" s="2" t="s">
        <v>35</v>
      </c>
      <c r="AA323" s="2" t="s">
        <v>48</v>
      </c>
      <c r="AB323" s="2">
        <v>2</v>
      </c>
      <c r="AC323" s="2">
        <v>2801.74</v>
      </c>
    </row>
    <row r="324" spans="1:29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  <c r="Q324" s="2">
        <v>10055</v>
      </c>
      <c r="R324" s="2">
        <v>1243</v>
      </c>
      <c r="S324" s="3">
        <v>45110</v>
      </c>
      <c r="T324" s="3">
        <v>45115</v>
      </c>
      <c r="U324" s="2" t="s">
        <v>40</v>
      </c>
      <c r="V324" s="2" t="s">
        <v>19</v>
      </c>
      <c r="W324" s="2" t="s">
        <v>27</v>
      </c>
      <c r="X324" s="2" t="s">
        <v>21</v>
      </c>
      <c r="Y324" s="2" t="s">
        <v>55</v>
      </c>
      <c r="Z324" s="2" t="s">
        <v>67</v>
      </c>
      <c r="AA324" s="2" t="s">
        <v>48</v>
      </c>
      <c r="AB324" s="2">
        <v>2</v>
      </c>
      <c r="AC324" s="2">
        <v>3723.19</v>
      </c>
    </row>
    <row r="325" spans="1:29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  <c r="Q325" s="2">
        <v>10065</v>
      </c>
      <c r="R325" s="2">
        <v>1273</v>
      </c>
      <c r="S325" s="3">
        <v>45054</v>
      </c>
      <c r="T325" s="3">
        <v>45058</v>
      </c>
      <c r="U325" s="2" t="s">
        <v>18</v>
      </c>
      <c r="V325" s="2" t="s">
        <v>41</v>
      </c>
      <c r="W325" s="2" t="s">
        <v>20</v>
      </c>
      <c r="X325" s="2" t="s">
        <v>45</v>
      </c>
      <c r="Y325" s="2" t="s">
        <v>22</v>
      </c>
      <c r="Z325" s="2" t="s">
        <v>46</v>
      </c>
      <c r="AA325" s="2" t="s">
        <v>48</v>
      </c>
      <c r="AB325" s="2">
        <v>2</v>
      </c>
      <c r="AC325" s="2">
        <v>2773.21</v>
      </c>
    </row>
    <row r="326" spans="1:29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  <c r="Q326" s="2">
        <v>10218</v>
      </c>
      <c r="R326" s="2">
        <v>1577</v>
      </c>
      <c r="S326" s="3">
        <v>45206</v>
      </c>
      <c r="T326" s="3">
        <v>45209</v>
      </c>
      <c r="U326" s="2" t="s">
        <v>40</v>
      </c>
      <c r="V326" s="2" t="s">
        <v>32</v>
      </c>
      <c r="W326" s="2" t="s">
        <v>20</v>
      </c>
      <c r="X326" s="2" t="s">
        <v>47</v>
      </c>
      <c r="Y326" s="2" t="s">
        <v>29</v>
      </c>
      <c r="Z326" s="2" t="s">
        <v>71</v>
      </c>
      <c r="AA326" s="2" t="s">
        <v>48</v>
      </c>
      <c r="AB326" s="2">
        <v>2</v>
      </c>
      <c r="AC326" s="2">
        <v>2401.63</v>
      </c>
    </row>
    <row r="327" spans="1:29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  <c r="Q327" s="2">
        <v>10254</v>
      </c>
      <c r="R327" s="2">
        <v>1676</v>
      </c>
      <c r="S327" s="3">
        <v>45010</v>
      </c>
      <c r="T327" s="3">
        <v>45012</v>
      </c>
      <c r="U327" s="2" t="s">
        <v>25</v>
      </c>
      <c r="V327" s="2" t="s">
        <v>19</v>
      </c>
      <c r="W327" s="2" t="s">
        <v>20</v>
      </c>
      <c r="X327" s="2" t="s">
        <v>45</v>
      </c>
      <c r="Y327" s="2" t="s">
        <v>55</v>
      </c>
      <c r="Z327" s="2" t="s">
        <v>67</v>
      </c>
      <c r="AA327" s="2" t="s">
        <v>48</v>
      </c>
      <c r="AB327" s="2">
        <v>2</v>
      </c>
      <c r="AC327" s="2">
        <v>2711.66</v>
      </c>
    </row>
    <row r="328" spans="1:29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  <c r="Q328" s="2">
        <v>10328</v>
      </c>
      <c r="R328" s="2">
        <v>1348</v>
      </c>
      <c r="S328" s="3">
        <v>45245</v>
      </c>
      <c r="T328" s="3">
        <v>45250</v>
      </c>
      <c r="U328" s="2" t="s">
        <v>25</v>
      </c>
      <c r="V328" s="2" t="s">
        <v>57</v>
      </c>
      <c r="W328" s="2" t="s">
        <v>27</v>
      </c>
      <c r="X328" s="2" t="s">
        <v>28</v>
      </c>
      <c r="Y328" s="2" t="s">
        <v>55</v>
      </c>
      <c r="Z328" s="2" t="s">
        <v>56</v>
      </c>
      <c r="AA328" s="2" t="s">
        <v>48</v>
      </c>
      <c r="AB328" s="2">
        <v>2</v>
      </c>
      <c r="AC328" s="2">
        <v>2948.33</v>
      </c>
    </row>
    <row r="329" spans="1:29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  <c r="Q329" s="2">
        <v>10352</v>
      </c>
      <c r="R329" s="2">
        <v>1987</v>
      </c>
      <c r="S329" s="3">
        <v>45023</v>
      </c>
      <c r="T329" s="3">
        <v>45026</v>
      </c>
      <c r="U329" s="2" t="s">
        <v>49</v>
      </c>
      <c r="V329" s="2" t="s">
        <v>26</v>
      </c>
      <c r="W329" s="2" t="s">
        <v>33</v>
      </c>
      <c r="X329" s="2" t="s">
        <v>21</v>
      </c>
      <c r="Y329" s="2" t="s">
        <v>29</v>
      </c>
      <c r="Z329" s="2" t="s">
        <v>39</v>
      </c>
      <c r="AA329" s="2" t="s">
        <v>48</v>
      </c>
      <c r="AB329" s="2">
        <v>2</v>
      </c>
      <c r="AC329" s="2">
        <v>2071.04</v>
      </c>
    </row>
    <row r="330" spans="1:29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  <c r="Q330" s="2">
        <v>10455</v>
      </c>
      <c r="R330" s="2">
        <v>1480</v>
      </c>
      <c r="S330" s="3">
        <v>45034</v>
      </c>
      <c r="T330" s="3">
        <v>45036</v>
      </c>
      <c r="U330" s="2" t="s">
        <v>18</v>
      </c>
      <c r="V330" s="2" t="s">
        <v>32</v>
      </c>
      <c r="W330" s="2" t="s">
        <v>20</v>
      </c>
      <c r="X330" s="2" t="s">
        <v>21</v>
      </c>
      <c r="Y330" s="2" t="s">
        <v>55</v>
      </c>
      <c r="Z330" s="2" t="s">
        <v>67</v>
      </c>
      <c r="AA330" s="2" t="s">
        <v>48</v>
      </c>
      <c r="AB330" s="2">
        <v>2</v>
      </c>
      <c r="AC330" s="2">
        <v>1374.23</v>
      </c>
    </row>
    <row r="331" spans="1:29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  <c r="Q331" s="2">
        <v>10485</v>
      </c>
      <c r="R331" s="2">
        <v>1992</v>
      </c>
      <c r="S331" s="3">
        <v>45228</v>
      </c>
      <c r="T331" s="3">
        <v>45237</v>
      </c>
      <c r="U331" s="2" t="s">
        <v>19</v>
      </c>
      <c r="V331" s="2" t="s">
        <v>19</v>
      </c>
      <c r="W331" s="2" t="s">
        <v>20</v>
      </c>
      <c r="X331" s="2" t="s">
        <v>45</v>
      </c>
      <c r="Y331" s="2" t="s">
        <v>22</v>
      </c>
      <c r="Z331" s="2" t="s">
        <v>46</v>
      </c>
      <c r="AA331" s="2" t="s">
        <v>48</v>
      </c>
      <c r="AB331" s="2">
        <v>2</v>
      </c>
      <c r="AC331" s="2">
        <v>1294.8399999999999</v>
      </c>
    </row>
    <row r="332" spans="1:29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  <c r="Q332" s="2">
        <v>10351</v>
      </c>
      <c r="R332" s="2">
        <v>1778</v>
      </c>
      <c r="S332" s="3">
        <v>44970</v>
      </c>
      <c r="T332" s="3">
        <v>44972</v>
      </c>
      <c r="U332" s="2" t="s">
        <v>49</v>
      </c>
      <c r="V332" s="2" t="s">
        <v>19</v>
      </c>
      <c r="W332" s="2" t="s">
        <v>33</v>
      </c>
      <c r="X332" s="2" t="s">
        <v>38</v>
      </c>
      <c r="Y332" s="2" t="s">
        <v>34</v>
      </c>
      <c r="Z332" s="2" t="s">
        <v>35</v>
      </c>
      <c r="AA332" s="2" t="s">
        <v>48</v>
      </c>
      <c r="AB332" s="2">
        <v>3</v>
      </c>
      <c r="AC332" s="2">
        <v>1923.58</v>
      </c>
    </row>
    <row r="333" spans="1:29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  <c r="Q333" s="2">
        <v>10441</v>
      </c>
      <c r="R333" s="2">
        <v>1229</v>
      </c>
      <c r="S333" s="3">
        <v>45116</v>
      </c>
      <c r="T333" s="3">
        <v>45119</v>
      </c>
      <c r="U333" s="2" t="s">
        <v>19</v>
      </c>
      <c r="V333" s="2" t="s">
        <v>26</v>
      </c>
      <c r="W333" s="2" t="s">
        <v>20</v>
      </c>
      <c r="X333" s="2" t="s">
        <v>45</v>
      </c>
      <c r="Y333" s="2" t="s">
        <v>34</v>
      </c>
      <c r="Z333" s="2" t="s">
        <v>68</v>
      </c>
      <c r="AA333" s="2" t="s">
        <v>48</v>
      </c>
      <c r="AB333" s="2">
        <v>3</v>
      </c>
      <c r="AC333" s="2">
        <v>2189.4</v>
      </c>
    </row>
    <row r="334" spans="1:29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  <c r="Q334" s="2">
        <v>10075</v>
      </c>
      <c r="R334" s="2">
        <v>1339</v>
      </c>
      <c r="S334" s="3">
        <v>45187</v>
      </c>
      <c r="T334" s="3">
        <v>45196</v>
      </c>
      <c r="U334" s="2" t="s">
        <v>43</v>
      </c>
      <c r="V334" s="2" t="s">
        <v>19</v>
      </c>
      <c r="W334" s="2" t="s">
        <v>33</v>
      </c>
      <c r="X334" s="2" t="s">
        <v>45</v>
      </c>
      <c r="Y334" s="2" t="s">
        <v>60</v>
      </c>
      <c r="Z334" s="2" t="s">
        <v>61</v>
      </c>
      <c r="AA334" s="2" t="s">
        <v>48</v>
      </c>
      <c r="AB334" s="2">
        <v>4</v>
      </c>
      <c r="AC334" s="2">
        <v>2220.46</v>
      </c>
    </row>
    <row r="335" spans="1:29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  <c r="Q335" s="2">
        <v>10098</v>
      </c>
      <c r="R335" s="2">
        <v>1702</v>
      </c>
      <c r="S335" s="3">
        <v>44946</v>
      </c>
      <c r="T335" s="3">
        <v>44947</v>
      </c>
      <c r="U335" s="2" t="s">
        <v>40</v>
      </c>
      <c r="V335" s="2" t="s">
        <v>57</v>
      </c>
      <c r="W335" s="2" t="s">
        <v>27</v>
      </c>
      <c r="X335" s="2" t="s">
        <v>45</v>
      </c>
      <c r="Y335" s="2" t="s">
        <v>29</v>
      </c>
      <c r="Z335" s="2" t="s">
        <v>39</v>
      </c>
      <c r="AA335" s="2" t="s">
        <v>48</v>
      </c>
      <c r="AB335" s="2">
        <v>4</v>
      </c>
      <c r="AC335" s="2">
        <v>1362.08</v>
      </c>
    </row>
    <row r="336" spans="1:29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  <c r="Q336" s="2">
        <v>10175</v>
      </c>
      <c r="R336" s="2">
        <v>1612</v>
      </c>
      <c r="S336" s="3">
        <v>45074</v>
      </c>
      <c r="T336" s="3">
        <v>45081</v>
      </c>
      <c r="U336" s="2" t="s">
        <v>19</v>
      </c>
      <c r="V336" s="2" t="s">
        <v>44</v>
      </c>
      <c r="W336" s="2" t="s">
        <v>20</v>
      </c>
      <c r="X336" s="2" t="s">
        <v>21</v>
      </c>
      <c r="Y336" s="2" t="s">
        <v>34</v>
      </c>
      <c r="Z336" s="2" t="s">
        <v>35</v>
      </c>
      <c r="AA336" s="2" t="s">
        <v>48</v>
      </c>
      <c r="AB336" s="2">
        <v>4</v>
      </c>
      <c r="AC336" s="2">
        <v>2836.21</v>
      </c>
    </row>
    <row r="337" spans="1:29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  <c r="Q337" s="2">
        <v>10197</v>
      </c>
      <c r="R337" s="2">
        <v>1742</v>
      </c>
      <c r="S337" s="3">
        <v>45263</v>
      </c>
      <c r="T337" s="3">
        <v>45266</v>
      </c>
      <c r="U337" s="2" t="s">
        <v>19</v>
      </c>
      <c r="V337" s="2" t="s">
        <v>41</v>
      </c>
      <c r="W337" s="2" t="s">
        <v>20</v>
      </c>
      <c r="X337" s="2" t="s">
        <v>38</v>
      </c>
      <c r="Y337" s="2" t="s">
        <v>52</v>
      </c>
      <c r="Z337" s="2" t="s">
        <v>70</v>
      </c>
      <c r="AA337" s="2" t="s">
        <v>48</v>
      </c>
      <c r="AB337" s="2">
        <v>4</v>
      </c>
      <c r="AC337" s="2">
        <v>1256.21</v>
      </c>
    </row>
    <row r="338" spans="1:29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  <c r="Q338" s="2">
        <v>10308</v>
      </c>
      <c r="R338" s="2">
        <v>1122</v>
      </c>
      <c r="S338" s="3">
        <v>44931</v>
      </c>
      <c r="T338" s="3">
        <v>44940</v>
      </c>
      <c r="U338" s="2" t="s">
        <v>40</v>
      </c>
      <c r="V338" s="2" t="s">
        <v>26</v>
      </c>
      <c r="W338" s="2" t="s">
        <v>33</v>
      </c>
      <c r="X338" s="2" t="s">
        <v>28</v>
      </c>
      <c r="Y338" s="2" t="s">
        <v>55</v>
      </c>
      <c r="Z338" s="2" t="s">
        <v>56</v>
      </c>
      <c r="AA338" s="2" t="s">
        <v>48</v>
      </c>
      <c r="AB338" s="2">
        <v>4</v>
      </c>
      <c r="AC338" s="2">
        <v>3143.2</v>
      </c>
    </row>
    <row r="339" spans="1:29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  <c r="Q339" s="2">
        <v>10405</v>
      </c>
      <c r="R339" s="2">
        <v>1913</v>
      </c>
      <c r="S339" s="3">
        <v>45084</v>
      </c>
      <c r="T339" s="3">
        <v>45091</v>
      </c>
      <c r="U339" s="2" t="s">
        <v>49</v>
      </c>
      <c r="V339" s="2" t="s">
        <v>26</v>
      </c>
      <c r="W339" s="2" t="s">
        <v>27</v>
      </c>
      <c r="X339" s="2" t="s">
        <v>28</v>
      </c>
      <c r="Y339" s="2" t="s">
        <v>22</v>
      </c>
      <c r="Z339" s="2" t="s">
        <v>72</v>
      </c>
      <c r="AA339" s="2" t="s">
        <v>48</v>
      </c>
      <c r="AB339" s="2">
        <v>4</v>
      </c>
      <c r="AC339" s="2">
        <v>1333.99</v>
      </c>
    </row>
    <row r="340" spans="1:29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  <c r="Q340" s="2">
        <v>10007</v>
      </c>
      <c r="R340" s="2">
        <v>1700</v>
      </c>
      <c r="S340" s="3">
        <v>45050</v>
      </c>
      <c r="T340" s="3">
        <v>45054</v>
      </c>
      <c r="U340" s="2" t="s">
        <v>37</v>
      </c>
      <c r="V340" s="2" t="s">
        <v>44</v>
      </c>
      <c r="W340" s="2" t="s">
        <v>20</v>
      </c>
      <c r="X340" s="2" t="s">
        <v>47</v>
      </c>
      <c r="Y340" s="2" t="s">
        <v>34</v>
      </c>
      <c r="Z340" s="2" t="s">
        <v>35</v>
      </c>
      <c r="AA340" s="2" t="s">
        <v>48</v>
      </c>
      <c r="AB340" s="2">
        <v>5</v>
      </c>
      <c r="AC340" s="2">
        <v>3030.42</v>
      </c>
    </row>
    <row r="341" spans="1:29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  <c r="Q341" s="2">
        <v>10107</v>
      </c>
      <c r="R341" s="2">
        <v>1862</v>
      </c>
      <c r="S341" s="3">
        <v>45058</v>
      </c>
      <c r="T341" s="3">
        <v>45064</v>
      </c>
      <c r="U341" s="2" t="s">
        <v>49</v>
      </c>
      <c r="V341" s="2" t="s">
        <v>41</v>
      </c>
      <c r="W341" s="2" t="s">
        <v>20</v>
      </c>
      <c r="X341" s="2" t="s">
        <v>47</v>
      </c>
      <c r="Y341" s="2" t="s">
        <v>55</v>
      </c>
      <c r="Z341" s="2" t="s">
        <v>63</v>
      </c>
      <c r="AA341" s="2" t="s">
        <v>48</v>
      </c>
      <c r="AB341" s="2">
        <v>5</v>
      </c>
      <c r="AC341" s="2">
        <v>1063.01</v>
      </c>
    </row>
    <row r="342" spans="1:29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  <c r="Q342" s="2">
        <v>10122</v>
      </c>
      <c r="R342" s="2">
        <v>1791</v>
      </c>
      <c r="S342" s="3">
        <v>44983</v>
      </c>
      <c r="T342" s="3">
        <v>44991</v>
      </c>
      <c r="U342" s="2" t="s">
        <v>19</v>
      </c>
      <c r="V342" s="2" t="s">
        <v>41</v>
      </c>
      <c r="W342" s="2" t="s">
        <v>27</v>
      </c>
      <c r="X342" s="2" t="s">
        <v>45</v>
      </c>
      <c r="Y342" s="2" t="s">
        <v>52</v>
      </c>
      <c r="Z342" s="2" t="s">
        <v>66</v>
      </c>
      <c r="AA342" s="2" t="s">
        <v>48</v>
      </c>
      <c r="AB342" s="2">
        <v>5</v>
      </c>
      <c r="AC342" s="2">
        <v>1398.73</v>
      </c>
    </row>
    <row r="343" spans="1:29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  <c r="Q343" s="2">
        <v>10198</v>
      </c>
      <c r="R343" s="2">
        <v>1240</v>
      </c>
      <c r="S343" s="3">
        <v>45291</v>
      </c>
      <c r="T343" s="3">
        <v>45292</v>
      </c>
      <c r="U343" s="2" t="s">
        <v>37</v>
      </c>
      <c r="V343" s="2" t="s">
        <v>44</v>
      </c>
      <c r="W343" s="2" t="s">
        <v>20</v>
      </c>
      <c r="X343" s="2" t="s">
        <v>45</v>
      </c>
      <c r="Y343" s="2" t="s">
        <v>22</v>
      </c>
      <c r="Z343" s="2" t="s">
        <v>72</v>
      </c>
      <c r="AA343" s="2" t="s">
        <v>48</v>
      </c>
      <c r="AB343" s="2">
        <v>5</v>
      </c>
      <c r="AC343" s="2">
        <v>1227.02</v>
      </c>
    </row>
    <row r="344" spans="1:29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  <c r="Q344" s="2">
        <v>10025</v>
      </c>
      <c r="R344" s="2">
        <v>1491</v>
      </c>
      <c r="S344" s="3">
        <v>45052</v>
      </c>
      <c r="T344" s="3">
        <v>45061</v>
      </c>
      <c r="U344" s="2" t="s">
        <v>40</v>
      </c>
      <c r="V344" s="2" t="s">
        <v>41</v>
      </c>
      <c r="W344" s="2" t="s">
        <v>33</v>
      </c>
      <c r="X344" s="2" t="s">
        <v>47</v>
      </c>
      <c r="Y344" s="2" t="s">
        <v>60</v>
      </c>
      <c r="Z344" s="2" t="s">
        <v>62</v>
      </c>
      <c r="AA344" s="2" t="s">
        <v>48</v>
      </c>
      <c r="AB344" s="2">
        <v>6</v>
      </c>
      <c r="AC344" s="2">
        <v>3018.94</v>
      </c>
    </row>
    <row r="345" spans="1:29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  <c r="Q345" s="2">
        <v>10056</v>
      </c>
      <c r="R345" s="2">
        <v>1831</v>
      </c>
      <c r="S345" s="3">
        <v>44929</v>
      </c>
      <c r="T345" s="3">
        <v>44934</v>
      </c>
      <c r="U345" s="2" t="s">
        <v>40</v>
      </c>
      <c r="V345" s="2" t="s">
        <v>32</v>
      </c>
      <c r="W345" s="2" t="s">
        <v>20</v>
      </c>
      <c r="X345" s="2" t="s">
        <v>45</v>
      </c>
      <c r="Y345" s="2" t="s">
        <v>60</v>
      </c>
      <c r="Z345" s="2" t="s">
        <v>65</v>
      </c>
      <c r="AA345" s="2" t="s">
        <v>48</v>
      </c>
      <c r="AB345" s="2">
        <v>6</v>
      </c>
      <c r="AC345" s="2">
        <v>3402.72</v>
      </c>
    </row>
    <row r="346" spans="1:29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  <c r="Q346" s="2">
        <v>10159</v>
      </c>
      <c r="R346" s="2">
        <v>1929</v>
      </c>
      <c r="S346" s="3">
        <v>45109</v>
      </c>
      <c r="T346" s="3">
        <v>45113</v>
      </c>
      <c r="U346" s="2" t="s">
        <v>37</v>
      </c>
      <c r="V346" s="2" t="s">
        <v>19</v>
      </c>
      <c r="W346" s="2" t="s">
        <v>27</v>
      </c>
      <c r="X346" s="2" t="s">
        <v>28</v>
      </c>
      <c r="Y346" s="2" t="s">
        <v>52</v>
      </c>
      <c r="Z346" s="2" t="s">
        <v>70</v>
      </c>
      <c r="AA346" s="2" t="s">
        <v>48</v>
      </c>
      <c r="AB346" s="2">
        <v>6</v>
      </c>
      <c r="AC346" s="2">
        <v>3800.77</v>
      </c>
    </row>
    <row r="347" spans="1:29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  <c r="Q347" s="2">
        <v>10270</v>
      </c>
      <c r="R347" s="2">
        <v>1496</v>
      </c>
      <c r="S347" s="3">
        <v>45080</v>
      </c>
      <c r="T347" s="3">
        <v>45086</v>
      </c>
      <c r="U347" s="2" t="s">
        <v>25</v>
      </c>
      <c r="V347" s="2" t="s">
        <v>32</v>
      </c>
      <c r="W347" s="2" t="s">
        <v>27</v>
      </c>
      <c r="X347" s="2" t="s">
        <v>38</v>
      </c>
      <c r="Y347" s="2" t="s">
        <v>34</v>
      </c>
      <c r="Z347" s="2" t="s">
        <v>68</v>
      </c>
      <c r="AA347" s="2" t="s">
        <v>48</v>
      </c>
      <c r="AB347" s="2">
        <v>6</v>
      </c>
      <c r="AC347" s="2">
        <v>3197.13</v>
      </c>
    </row>
    <row r="348" spans="1:29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  <c r="Q348" s="2">
        <v>10496</v>
      </c>
      <c r="R348" s="2">
        <v>1017</v>
      </c>
      <c r="S348" s="3">
        <v>45177</v>
      </c>
      <c r="T348" s="3">
        <v>45178</v>
      </c>
      <c r="U348" s="2" t="s">
        <v>18</v>
      </c>
      <c r="V348" s="2" t="s">
        <v>26</v>
      </c>
      <c r="W348" s="2" t="s">
        <v>20</v>
      </c>
      <c r="X348" s="2" t="s">
        <v>45</v>
      </c>
      <c r="Y348" s="2" t="s">
        <v>55</v>
      </c>
      <c r="Z348" s="2" t="s">
        <v>63</v>
      </c>
      <c r="AA348" s="2" t="s">
        <v>48</v>
      </c>
      <c r="AB348" s="2">
        <v>6</v>
      </c>
      <c r="AC348" s="2">
        <v>1128.9100000000001</v>
      </c>
    </row>
    <row r="349" spans="1:29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  <c r="Q349" s="2">
        <v>10033</v>
      </c>
      <c r="R349" s="2">
        <v>1459</v>
      </c>
      <c r="S349" s="3">
        <v>45129</v>
      </c>
      <c r="T349" s="3">
        <v>45130</v>
      </c>
      <c r="U349" s="2" t="s">
        <v>25</v>
      </c>
      <c r="V349" s="2" t="s">
        <v>41</v>
      </c>
      <c r="W349" s="2" t="s">
        <v>20</v>
      </c>
      <c r="X349" s="2" t="s">
        <v>47</v>
      </c>
      <c r="Y349" s="2" t="s">
        <v>60</v>
      </c>
      <c r="Z349" s="2" t="s">
        <v>62</v>
      </c>
      <c r="AA349" s="2" t="s">
        <v>48</v>
      </c>
      <c r="AB349" s="2">
        <v>7</v>
      </c>
      <c r="AC349" s="2">
        <v>3363.18</v>
      </c>
    </row>
    <row r="350" spans="1:29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  <c r="Q350" s="2">
        <v>10039</v>
      </c>
      <c r="R350" s="2">
        <v>1560</v>
      </c>
      <c r="S350" s="3">
        <v>44948</v>
      </c>
      <c r="T350" s="3">
        <v>44953</v>
      </c>
      <c r="U350" s="2" t="s">
        <v>37</v>
      </c>
      <c r="V350" s="2" t="s">
        <v>44</v>
      </c>
      <c r="W350" s="2" t="s">
        <v>20</v>
      </c>
      <c r="X350" s="2" t="s">
        <v>21</v>
      </c>
      <c r="Y350" s="2" t="s">
        <v>34</v>
      </c>
      <c r="Z350" s="2" t="s">
        <v>51</v>
      </c>
      <c r="AA350" s="2" t="s">
        <v>48</v>
      </c>
      <c r="AB350" s="2">
        <v>7</v>
      </c>
      <c r="AC350" s="2">
        <v>2369.42</v>
      </c>
    </row>
    <row r="351" spans="1:29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  <c r="Q351" s="2">
        <v>10167</v>
      </c>
      <c r="R351" s="2">
        <v>1098</v>
      </c>
      <c r="S351" s="3">
        <v>45177</v>
      </c>
      <c r="T351" s="3">
        <v>45182</v>
      </c>
      <c r="U351" s="2" t="s">
        <v>43</v>
      </c>
      <c r="V351" s="2" t="s">
        <v>44</v>
      </c>
      <c r="W351" s="2" t="s">
        <v>33</v>
      </c>
      <c r="X351" s="2" t="s">
        <v>45</v>
      </c>
      <c r="Y351" s="2" t="s">
        <v>34</v>
      </c>
      <c r="Z351" s="2" t="s">
        <v>35</v>
      </c>
      <c r="AA351" s="2" t="s">
        <v>48</v>
      </c>
      <c r="AB351" s="2">
        <v>7</v>
      </c>
      <c r="AC351" s="2">
        <v>1767.02</v>
      </c>
    </row>
    <row r="352" spans="1:29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  <c r="Q352" s="2">
        <v>10321</v>
      </c>
      <c r="R352" s="2">
        <v>1143</v>
      </c>
      <c r="S352" s="3">
        <v>45270</v>
      </c>
      <c r="T352" s="3">
        <v>45275</v>
      </c>
      <c r="U352" s="2" t="s">
        <v>40</v>
      </c>
      <c r="V352" s="2" t="s">
        <v>19</v>
      </c>
      <c r="W352" s="2" t="s">
        <v>33</v>
      </c>
      <c r="X352" s="2" t="s">
        <v>45</v>
      </c>
      <c r="Y352" s="2" t="s">
        <v>55</v>
      </c>
      <c r="Z352" s="2" t="s">
        <v>63</v>
      </c>
      <c r="AA352" s="2" t="s">
        <v>48</v>
      </c>
      <c r="AB352" s="2">
        <v>7</v>
      </c>
      <c r="AC352" s="2">
        <v>3383.31</v>
      </c>
    </row>
    <row r="353" spans="1:29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  <c r="Q353" s="2">
        <v>10490</v>
      </c>
      <c r="R353" s="2">
        <v>1927</v>
      </c>
      <c r="S353" s="3">
        <v>45259</v>
      </c>
      <c r="T353" s="3">
        <v>45261</v>
      </c>
      <c r="U353" s="2" t="s">
        <v>18</v>
      </c>
      <c r="V353" s="2" t="s">
        <v>32</v>
      </c>
      <c r="W353" s="2" t="s">
        <v>20</v>
      </c>
      <c r="X353" s="2" t="s">
        <v>38</v>
      </c>
      <c r="Y353" s="2" t="s">
        <v>34</v>
      </c>
      <c r="Z353" s="2" t="s">
        <v>35</v>
      </c>
      <c r="AA353" s="2" t="s">
        <v>48</v>
      </c>
      <c r="AB353" s="2">
        <v>7</v>
      </c>
      <c r="AC353" s="2">
        <v>2838.06</v>
      </c>
    </row>
    <row r="354" spans="1:29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  <c r="Q354" s="2">
        <v>10060</v>
      </c>
      <c r="R354" s="2">
        <v>1818</v>
      </c>
      <c r="S354" s="3">
        <v>44949</v>
      </c>
      <c r="T354" s="3">
        <v>44952</v>
      </c>
      <c r="U354" s="2" t="s">
        <v>49</v>
      </c>
      <c r="V354" s="2" t="s">
        <v>44</v>
      </c>
      <c r="W354" s="2" t="s">
        <v>33</v>
      </c>
      <c r="X354" s="2" t="s">
        <v>45</v>
      </c>
      <c r="Y354" s="2" t="s">
        <v>60</v>
      </c>
      <c r="Z354" s="2" t="s">
        <v>65</v>
      </c>
      <c r="AA354" s="2" t="s">
        <v>48</v>
      </c>
      <c r="AB354" s="2">
        <v>8</v>
      </c>
      <c r="AC354" s="2">
        <v>3128.25</v>
      </c>
    </row>
    <row r="355" spans="1:29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  <c r="Q355" s="2">
        <v>10066</v>
      </c>
      <c r="R355" s="2">
        <v>1387</v>
      </c>
      <c r="S355" s="3">
        <v>45155</v>
      </c>
      <c r="T355" s="3">
        <v>45158</v>
      </c>
      <c r="U355" s="2" t="s">
        <v>18</v>
      </c>
      <c r="V355" s="2" t="s">
        <v>26</v>
      </c>
      <c r="W355" s="2" t="s">
        <v>20</v>
      </c>
      <c r="X355" s="2" t="s">
        <v>38</v>
      </c>
      <c r="Y355" s="2" t="s">
        <v>60</v>
      </c>
      <c r="Z355" s="2" t="s">
        <v>69</v>
      </c>
      <c r="AA355" s="2" t="s">
        <v>48</v>
      </c>
      <c r="AB355" s="2">
        <v>8</v>
      </c>
      <c r="AC355" s="2">
        <v>3769.71</v>
      </c>
    </row>
    <row r="356" spans="1:29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  <c r="Q356" s="2">
        <v>10180</v>
      </c>
      <c r="R356" s="2">
        <v>1004</v>
      </c>
      <c r="S356" s="3">
        <v>45004</v>
      </c>
      <c r="T356" s="3">
        <v>45006</v>
      </c>
      <c r="U356" s="2" t="s">
        <v>18</v>
      </c>
      <c r="V356" s="2" t="s">
        <v>32</v>
      </c>
      <c r="W356" s="2" t="s">
        <v>20</v>
      </c>
      <c r="X356" s="2" t="s">
        <v>38</v>
      </c>
      <c r="Y356" s="2" t="s">
        <v>22</v>
      </c>
      <c r="Z356" s="2" t="s">
        <v>46</v>
      </c>
      <c r="AA356" s="2" t="s">
        <v>48</v>
      </c>
      <c r="AB356" s="2">
        <v>8</v>
      </c>
      <c r="AC356" s="2">
        <v>2211.17</v>
      </c>
    </row>
    <row r="357" spans="1:29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  <c r="Q357" s="2">
        <v>10209</v>
      </c>
      <c r="R357" s="2">
        <v>1540</v>
      </c>
      <c r="S357" s="3">
        <v>45187</v>
      </c>
      <c r="T357" s="3">
        <v>45193</v>
      </c>
      <c r="U357" s="2" t="s">
        <v>43</v>
      </c>
      <c r="V357" s="2" t="s">
        <v>19</v>
      </c>
      <c r="W357" s="2" t="s">
        <v>20</v>
      </c>
      <c r="X357" s="2" t="s">
        <v>45</v>
      </c>
      <c r="Y357" s="2" t="s">
        <v>52</v>
      </c>
      <c r="Z357" s="2" t="s">
        <v>53</v>
      </c>
      <c r="AA357" s="2" t="s">
        <v>48</v>
      </c>
      <c r="AB357" s="2">
        <v>8</v>
      </c>
      <c r="AC357" s="2">
        <v>1291.1099999999999</v>
      </c>
    </row>
    <row r="358" spans="1:29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  <c r="Q358" s="2">
        <v>10210</v>
      </c>
      <c r="R358" s="2">
        <v>1035</v>
      </c>
      <c r="S358" s="3">
        <v>45282</v>
      </c>
      <c r="T358" s="3">
        <v>45284</v>
      </c>
      <c r="U358" s="2" t="s">
        <v>18</v>
      </c>
      <c r="V358" s="2" t="s">
        <v>57</v>
      </c>
      <c r="W358" s="2" t="s">
        <v>33</v>
      </c>
      <c r="X358" s="2" t="s">
        <v>21</v>
      </c>
      <c r="Y358" s="2" t="s">
        <v>22</v>
      </c>
      <c r="Z358" s="2" t="s">
        <v>23</v>
      </c>
      <c r="AA358" s="2" t="s">
        <v>48</v>
      </c>
      <c r="AB358" s="2">
        <v>8</v>
      </c>
      <c r="AC358" s="2">
        <v>3656.59</v>
      </c>
    </row>
    <row r="359" spans="1:29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  <c r="Q359" s="2">
        <v>10315</v>
      </c>
      <c r="R359" s="2">
        <v>1609</v>
      </c>
      <c r="S359" s="3">
        <v>45024</v>
      </c>
      <c r="T359" s="3">
        <v>45029</v>
      </c>
      <c r="U359" s="2" t="s">
        <v>40</v>
      </c>
      <c r="V359" s="2" t="s">
        <v>32</v>
      </c>
      <c r="W359" s="2" t="s">
        <v>27</v>
      </c>
      <c r="X359" s="2" t="s">
        <v>21</v>
      </c>
      <c r="Y359" s="2" t="s">
        <v>52</v>
      </c>
      <c r="Z359" s="2" t="s">
        <v>53</v>
      </c>
      <c r="AA359" s="2" t="s">
        <v>48</v>
      </c>
      <c r="AB359" s="2">
        <v>8</v>
      </c>
      <c r="AC359" s="2">
        <v>3253.02</v>
      </c>
    </row>
    <row r="360" spans="1:29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  <c r="Q360" s="2">
        <v>10360</v>
      </c>
      <c r="R360" s="2">
        <v>1610</v>
      </c>
      <c r="S360" s="3">
        <v>45123</v>
      </c>
      <c r="T360" s="3">
        <v>45124</v>
      </c>
      <c r="U360" s="2" t="s">
        <v>37</v>
      </c>
      <c r="V360" s="2" t="s">
        <v>44</v>
      </c>
      <c r="W360" s="2" t="s">
        <v>33</v>
      </c>
      <c r="X360" s="2" t="s">
        <v>45</v>
      </c>
      <c r="Y360" s="2" t="s">
        <v>34</v>
      </c>
      <c r="Z360" s="2" t="s">
        <v>35</v>
      </c>
      <c r="AA360" s="2" t="s">
        <v>48</v>
      </c>
      <c r="AB360" s="2">
        <v>8</v>
      </c>
      <c r="AC360" s="2">
        <v>1392.5</v>
      </c>
    </row>
    <row r="361" spans="1:29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  <c r="Q361" s="2">
        <v>10367</v>
      </c>
      <c r="R361" s="2">
        <v>1880</v>
      </c>
      <c r="S361" s="3">
        <v>45090</v>
      </c>
      <c r="T361" s="3">
        <v>45095</v>
      </c>
      <c r="U361" s="2" t="s">
        <v>49</v>
      </c>
      <c r="V361" s="2" t="s">
        <v>44</v>
      </c>
      <c r="W361" s="2" t="s">
        <v>33</v>
      </c>
      <c r="X361" s="2" t="s">
        <v>38</v>
      </c>
      <c r="Y361" s="2" t="s">
        <v>60</v>
      </c>
      <c r="Z361" s="2" t="s">
        <v>65</v>
      </c>
      <c r="AA361" s="2" t="s">
        <v>48</v>
      </c>
      <c r="AB361" s="2">
        <v>8</v>
      </c>
      <c r="AC361" s="2">
        <v>3610.33</v>
      </c>
    </row>
    <row r="362" spans="1:29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  <c r="Q362" s="2">
        <v>10393</v>
      </c>
      <c r="R362" s="2">
        <v>1419</v>
      </c>
      <c r="S362" s="3">
        <v>45186</v>
      </c>
      <c r="T362" s="3">
        <v>45191</v>
      </c>
      <c r="U362" s="2" t="s">
        <v>43</v>
      </c>
      <c r="V362" s="2" t="s">
        <v>26</v>
      </c>
      <c r="W362" s="2" t="s">
        <v>27</v>
      </c>
      <c r="X362" s="2" t="s">
        <v>38</v>
      </c>
      <c r="Y362" s="2" t="s">
        <v>55</v>
      </c>
      <c r="Z362" s="2" t="s">
        <v>63</v>
      </c>
      <c r="AA362" s="2" t="s">
        <v>48</v>
      </c>
      <c r="AB362" s="2">
        <v>8</v>
      </c>
      <c r="AC362" s="2">
        <v>2993.25</v>
      </c>
    </row>
    <row r="363" spans="1:29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  <c r="Q363" s="2">
        <v>10114</v>
      </c>
      <c r="R363" s="2">
        <v>1701</v>
      </c>
      <c r="S363" s="3">
        <v>45219</v>
      </c>
      <c r="T363" s="3">
        <v>45227</v>
      </c>
      <c r="U363" s="2" t="s">
        <v>43</v>
      </c>
      <c r="V363" s="2" t="s">
        <v>26</v>
      </c>
      <c r="W363" s="2" t="s">
        <v>33</v>
      </c>
      <c r="X363" s="2" t="s">
        <v>28</v>
      </c>
      <c r="Y363" s="2" t="s">
        <v>29</v>
      </c>
      <c r="Z363" s="2" t="s">
        <v>71</v>
      </c>
      <c r="AA363" s="2" t="s">
        <v>48</v>
      </c>
      <c r="AB363" s="2">
        <v>9</v>
      </c>
      <c r="AC363" s="2">
        <v>1206.3800000000001</v>
      </c>
    </row>
    <row r="364" spans="1:29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  <c r="Q364" s="2">
        <v>10442</v>
      </c>
      <c r="R364" s="2">
        <v>1364</v>
      </c>
      <c r="S364" s="3">
        <v>45089</v>
      </c>
      <c r="T364" s="3">
        <v>45094</v>
      </c>
      <c r="U364" s="2" t="s">
        <v>18</v>
      </c>
      <c r="V364" s="2" t="s">
        <v>26</v>
      </c>
      <c r="W364" s="2" t="s">
        <v>27</v>
      </c>
      <c r="X364" s="2" t="s">
        <v>38</v>
      </c>
      <c r="Y364" s="2" t="s">
        <v>60</v>
      </c>
      <c r="Z364" s="2" t="s">
        <v>61</v>
      </c>
      <c r="AA364" s="2" t="s">
        <v>48</v>
      </c>
      <c r="AB364" s="2">
        <v>9</v>
      </c>
      <c r="AC364" s="2">
        <v>2969.7</v>
      </c>
    </row>
    <row r="365" spans="1:29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  <c r="Q365" s="2">
        <v>10468</v>
      </c>
      <c r="R365" s="2">
        <v>1157</v>
      </c>
      <c r="S365" s="3">
        <v>45074</v>
      </c>
      <c r="T365" s="3">
        <v>45082</v>
      </c>
      <c r="U365" s="2" t="s">
        <v>25</v>
      </c>
      <c r="V365" s="2" t="s">
        <v>19</v>
      </c>
      <c r="W365" s="2" t="s">
        <v>20</v>
      </c>
      <c r="X365" s="2" t="s">
        <v>21</v>
      </c>
      <c r="Y365" s="2" t="s">
        <v>60</v>
      </c>
      <c r="Z365" s="2" t="s">
        <v>62</v>
      </c>
      <c r="AA365" s="2" t="s">
        <v>48</v>
      </c>
      <c r="AB365" s="2">
        <v>9</v>
      </c>
      <c r="AC365" s="2">
        <v>1890.53</v>
      </c>
    </row>
    <row r="366" spans="1:29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  <c r="Q366" s="2">
        <v>10018</v>
      </c>
      <c r="R366" s="2">
        <v>1871</v>
      </c>
      <c r="S366" s="3">
        <v>45045</v>
      </c>
      <c r="T366" s="3">
        <v>45048</v>
      </c>
      <c r="U366" s="2" t="s">
        <v>18</v>
      </c>
      <c r="V366" s="2" t="s">
        <v>32</v>
      </c>
      <c r="W366" s="2" t="s">
        <v>27</v>
      </c>
      <c r="X366" s="2" t="s">
        <v>21</v>
      </c>
      <c r="Y366" s="2" t="s">
        <v>22</v>
      </c>
      <c r="Z366" s="2" t="s">
        <v>58</v>
      </c>
      <c r="AA366" s="2" t="s">
        <v>31</v>
      </c>
      <c r="AB366" s="2">
        <v>1</v>
      </c>
      <c r="AC366" s="2">
        <v>2165.81</v>
      </c>
    </row>
    <row r="367" spans="1:29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  <c r="Q367" s="2">
        <v>10085</v>
      </c>
      <c r="R367" s="2">
        <v>1205</v>
      </c>
      <c r="S367" s="3">
        <v>45145</v>
      </c>
      <c r="T367" s="3">
        <v>45148</v>
      </c>
      <c r="U367" s="2" t="s">
        <v>49</v>
      </c>
      <c r="V367" s="2" t="s">
        <v>19</v>
      </c>
      <c r="W367" s="2" t="s">
        <v>33</v>
      </c>
      <c r="X367" s="2" t="s">
        <v>21</v>
      </c>
      <c r="Y367" s="2" t="s">
        <v>52</v>
      </c>
      <c r="Z367" s="2" t="s">
        <v>53</v>
      </c>
      <c r="AA367" s="2" t="s">
        <v>31</v>
      </c>
      <c r="AB367" s="2">
        <v>1</v>
      </c>
      <c r="AC367" s="2">
        <v>2883.94</v>
      </c>
    </row>
    <row r="368" spans="1:29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  <c r="Q368" s="2">
        <v>10133</v>
      </c>
      <c r="R368" s="2">
        <v>1064</v>
      </c>
      <c r="S368" s="3">
        <v>45262</v>
      </c>
      <c r="T368" s="3">
        <v>45267</v>
      </c>
      <c r="U368" s="2" t="s">
        <v>43</v>
      </c>
      <c r="V368" s="2" t="s">
        <v>19</v>
      </c>
      <c r="W368" s="2" t="s">
        <v>20</v>
      </c>
      <c r="X368" s="2" t="s">
        <v>21</v>
      </c>
      <c r="Y368" s="2" t="s">
        <v>34</v>
      </c>
      <c r="Z368" s="2" t="s">
        <v>51</v>
      </c>
      <c r="AA368" s="2" t="s">
        <v>31</v>
      </c>
      <c r="AB368" s="2">
        <v>1</v>
      </c>
      <c r="AC368" s="2">
        <v>3990.85</v>
      </c>
    </row>
    <row r="369" spans="1:29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  <c r="Q369" s="2">
        <v>10268</v>
      </c>
      <c r="R369" s="2">
        <v>1112</v>
      </c>
      <c r="S369" s="3">
        <v>45069</v>
      </c>
      <c r="T369" s="3">
        <v>45072</v>
      </c>
      <c r="U369" s="2" t="s">
        <v>40</v>
      </c>
      <c r="V369" s="2" t="s">
        <v>19</v>
      </c>
      <c r="W369" s="2" t="s">
        <v>33</v>
      </c>
      <c r="X369" s="2" t="s">
        <v>45</v>
      </c>
      <c r="Y369" s="2" t="s">
        <v>34</v>
      </c>
      <c r="Z369" s="2" t="s">
        <v>42</v>
      </c>
      <c r="AA369" s="2" t="s">
        <v>31</v>
      </c>
      <c r="AB369" s="2">
        <v>1</v>
      </c>
      <c r="AC369" s="2">
        <v>2660.56</v>
      </c>
    </row>
    <row r="370" spans="1:29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  <c r="Q370" s="2">
        <v>10306</v>
      </c>
      <c r="R370" s="2">
        <v>1202</v>
      </c>
      <c r="S370" s="3">
        <v>45256</v>
      </c>
      <c r="T370" s="3">
        <v>45264</v>
      </c>
      <c r="U370" s="2" t="s">
        <v>49</v>
      </c>
      <c r="V370" s="2" t="s">
        <v>32</v>
      </c>
      <c r="W370" s="2" t="s">
        <v>33</v>
      </c>
      <c r="X370" s="2" t="s">
        <v>45</v>
      </c>
      <c r="Y370" s="2" t="s">
        <v>60</v>
      </c>
      <c r="Z370" s="2" t="s">
        <v>65</v>
      </c>
      <c r="AA370" s="2" t="s">
        <v>31</v>
      </c>
      <c r="AB370" s="2">
        <v>1</v>
      </c>
      <c r="AC370" s="2">
        <v>3391.76</v>
      </c>
    </row>
    <row r="371" spans="1:29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  <c r="Q371" s="2">
        <v>10314</v>
      </c>
      <c r="R371" s="2">
        <v>1883</v>
      </c>
      <c r="S371" s="3">
        <v>45256</v>
      </c>
      <c r="T371" s="3">
        <v>45264</v>
      </c>
      <c r="U371" s="2" t="s">
        <v>40</v>
      </c>
      <c r="V371" s="2" t="s">
        <v>19</v>
      </c>
      <c r="W371" s="2" t="s">
        <v>27</v>
      </c>
      <c r="X371" s="2" t="s">
        <v>28</v>
      </c>
      <c r="Y371" s="2" t="s">
        <v>29</v>
      </c>
      <c r="Z371" s="2" t="s">
        <v>71</v>
      </c>
      <c r="AA371" s="2" t="s">
        <v>31</v>
      </c>
      <c r="AB371" s="2">
        <v>1</v>
      </c>
      <c r="AC371" s="2">
        <v>1681.85</v>
      </c>
    </row>
    <row r="372" spans="1:29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  <c r="Q372" s="2">
        <v>10452</v>
      </c>
      <c r="R372" s="2">
        <v>1283</v>
      </c>
      <c r="S372" s="3">
        <v>45076</v>
      </c>
      <c r="T372" s="3">
        <v>45082</v>
      </c>
      <c r="U372" s="2" t="s">
        <v>49</v>
      </c>
      <c r="V372" s="2" t="s">
        <v>26</v>
      </c>
      <c r="W372" s="2" t="s">
        <v>27</v>
      </c>
      <c r="X372" s="2" t="s">
        <v>45</v>
      </c>
      <c r="Y372" s="2" t="s">
        <v>52</v>
      </c>
      <c r="Z372" s="2" t="s">
        <v>70</v>
      </c>
      <c r="AA372" s="2" t="s">
        <v>31</v>
      </c>
      <c r="AB372" s="2">
        <v>1</v>
      </c>
      <c r="AC372" s="2">
        <v>1574.59</v>
      </c>
    </row>
    <row r="373" spans="1:29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19</v>
      </c>
      <c r="F373" s="2" t="s">
        <v>44</v>
      </c>
      <c r="G373" s="2" t="s">
        <v>27</v>
      </c>
      <c r="H373" s="2" t="s">
        <v>45</v>
      </c>
      <c r="I373" s="2" t="s">
        <v>52</v>
      </c>
      <c r="J373" s="2" t="s">
        <v>66</v>
      </c>
      <c r="K373" s="2" t="s">
        <v>36</v>
      </c>
      <c r="L373" s="2">
        <v>9</v>
      </c>
      <c r="M373" s="2">
        <v>775.77</v>
      </c>
      <c r="Q373" s="2">
        <v>10115</v>
      </c>
      <c r="R373" s="2">
        <v>1295</v>
      </c>
      <c r="S373" s="3">
        <v>45156</v>
      </c>
      <c r="T373" s="3">
        <v>45159</v>
      </c>
      <c r="U373" s="2" t="s">
        <v>25</v>
      </c>
      <c r="V373" s="2" t="s">
        <v>57</v>
      </c>
      <c r="W373" s="2" t="s">
        <v>27</v>
      </c>
      <c r="X373" s="2" t="s">
        <v>45</v>
      </c>
      <c r="Y373" s="2" t="s">
        <v>60</v>
      </c>
      <c r="Z373" s="2" t="s">
        <v>65</v>
      </c>
      <c r="AA373" s="2" t="s">
        <v>31</v>
      </c>
      <c r="AB373" s="2">
        <v>2</v>
      </c>
      <c r="AC373" s="2">
        <v>3621.09</v>
      </c>
    </row>
    <row r="374" spans="1:29" x14ac:dyDescent="0.3">
      <c r="Q374" s="2">
        <v>10141</v>
      </c>
      <c r="R374" s="2">
        <v>1062</v>
      </c>
      <c r="S374" s="3">
        <v>45085</v>
      </c>
      <c r="T374" s="3">
        <v>45092</v>
      </c>
      <c r="U374" s="2" t="s">
        <v>40</v>
      </c>
      <c r="V374" s="2" t="s">
        <v>32</v>
      </c>
      <c r="W374" s="2" t="s">
        <v>20</v>
      </c>
      <c r="X374" s="2" t="s">
        <v>28</v>
      </c>
      <c r="Y374" s="2" t="s">
        <v>34</v>
      </c>
      <c r="Z374" s="2" t="s">
        <v>42</v>
      </c>
      <c r="AA374" s="2" t="s">
        <v>31</v>
      </c>
      <c r="AB374" s="2">
        <v>2</v>
      </c>
      <c r="AC374" s="2">
        <v>1766.42</v>
      </c>
    </row>
    <row r="375" spans="1:29" x14ac:dyDescent="0.3">
      <c r="Q375" s="2">
        <v>10150</v>
      </c>
      <c r="R375" s="2">
        <v>1772</v>
      </c>
      <c r="S375" s="3">
        <v>44956</v>
      </c>
      <c r="T375" s="3">
        <v>44961</v>
      </c>
      <c r="U375" s="2" t="s">
        <v>25</v>
      </c>
      <c r="V375" s="2" t="s">
        <v>57</v>
      </c>
      <c r="W375" s="2" t="s">
        <v>27</v>
      </c>
      <c r="X375" s="2" t="s">
        <v>21</v>
      </c>
      <c r="Y375" s="2" t="s">
        <v>52</v>
      </c>
      <c r="Z375" s="2" t="s">
        <v>54</v>
      </c>
      <c r="AA375" s="2" t="s">
        <v>31</v>
      </c>
      <c r="AB375" s="2">
        <v>2</v>
      </c>
      <c r="AC375" s="2">
        <v>2808.06</v>
      </c>
    </row>
    <row r="376" spans="1:29" x14ac:dyDescent="0.3">
      <c r="Q376" s="2">
        <v>10386</v>
      </c>
      <c r="R376" s="2">
        <v>1119</v>
      </c>
      <c r="S376" s="3">
        <v>45146</v>
      </c>
      <c r="T376" s="3">
        <v>45154</v>
      </c>
      <c r="U376" s="2" t="s">
        <v>18</v>
      </c>
      <c r="V376" s="2" t="s">
        <v>26</v>
      </c>
      <c r="W376" s="2" t="s">
        <v>27</v>
      </c>
      <c r="X376" s="2" t="s">
        <v>47</v>
      </c>
      <c r="Y376" s="2" t="s">
        <v>52</v>
      </c>
      <c r="Z376" s="2" t="s">
        <v>70</v>
      </c>
      <c r="AA376" s="2" t="s">
        <v>31</v>
      </c>
      <c r="AB376" s="2">
        <v>2</v>
      </c>
      <c r="AC376" s="2">
        <v>1984.38</v>
      </c>
    </row>
    <row r="377" spans="1:29" x14ac:dyDescent="0.3">
      <c r="Q377" s="2">
        <v>10173</v>
      </c>
      <c r="R377" s="2">
        <v>1960</v>
      </c>
      <c r="S377" s="3">
        <v>45124</v>
      </c>
      <c r="T377" s="3">
        <v>45127</v>
      </c>
      <c r="U377" s="2" t="s">
        <v>18</v>
      </c>
      <c r="V377" s="2" t="s">
        <v>41</v>
      </c>
      <c r="W377" s="2" t="s">
        <v>27</v>
      </c>
      <c r="X377" s="2" t="s">
        <v>45</v>
      </c>
      <c r="Y377" s="2" t="s">
        <v>34</v>
      </c>
      <c r="Z377" s="2" t="s">
        <v>68</v>
      </c>
      <c r="AA377" s="2" t="s">
        <v>31</v>
      </c>
      <c r="AB377" s="2">
        <v>3</v>
      </c>
      <c r="AC377" s="2">
        <v>1357.77</v>
      </c>
    </row>
    <row r="378" spans="1:29" x14ac:dyDescent="0.3">
      <c r="Q378" s="2">
        <v>10174</v>
      </c>
      <c r="R378" s="2">
        <v>1738</v>
      </c>
      <c r="S378" s="3">
        <v>45186</v>
      </c>
      <c r="T378" s="3">
        <v>45195</v>
      </c>
      <c r="U378" s="2" t="s">
        <v>37</v>
      </c>
      <c r="V378" s="2" t="s">
        <v>19</v>
      </c>
      <c r="W378" s="2" t="s">
        <v>33</v>
      </c>
      <c r="X378" s="2" t="s">
        <v>21</v>
      </c>
      <c r="Y378" s="2" t="s">
        <v>55</v>
      </c>
      <c r="Z378" s="2" t="s">
        <v>56</v>
      </c>
      <c r="AA378" s="2" t="s">
        <v>31</v>
      </c>
      <c r="AB378" s="2">
        <v>3</v>
      </c>
      <c r="AC378" s="2">
        <v>1104.31</v>
      </c>
    </row>
    <row r="379" spans="1:29" x14ac:dyDescent="0.3">
      <c r="Q379" s="2">
        <v>10439</v>
      </c>
      <c r="R379" s="2">
        <v>1669</v>
      </c>
      <c r="S379" s="3">
        <v>45174</v>
      </c>
      <c r="T379" s="3">
        <v>45179</v>
      </c>
      <c r="U379" s="2" t="s">
        <v>37</v>
      </c>
      <c r="V379" s="2" t="s">
        <v>32</v>
      </c>
      <c r="W379" s="2" t="s">
        <v>27</v>
      </c>
      <c r="X379" s="2" t="s">
        <v>38</v>
      </c>
      <c r="Y379" s="2" t="s">
        <v>52</v>
      </c>
      <c r="Z379" s="2" t="s">
        <v>54</v>
      </c>
      <c r="AA379" s="2" t="s">
        <v>31</v>
      </c>
      <c r="AB379" s="2">
        <v>3</v>
      </c>
      <c r="AC379" s="2">
        <v>1448.62</v>
      </c>
    </row>
    <row r="380" spans="1:29" x14ac:dyDescent="0.3">
      <c r="Q380" s="2">
        <v>10165</v>
      </c>
      <c r="R380" s="2">
        <v>1727</v>
      </c>
      <c r="S380" s="3">
        <v>45039</v>
      </c>
      <c r="T380" s="3">
        <v>45043</v>
      </c>
      <c r="U380" s="2" t="s">
        <v>37</v>
      </c>
      <c r="V380" s="2" t="s">
        <v>41</v>
      </c>
      <c r="W380" s="2" t="s">
        <v>27</v>
      </c>
      <c r="X380" s="2" t="s">
        <v>38</v>
      </c>
      <c r="Y380" s="2" t="s">
        <v>60</v>
      </c>
      <c r="Z380" s="2" t="s">
        <v>65</v>
      </c>
      <c r="AA380" s="2" t="s">
        <v>31</v>
      </c>
      <c r="AB380" s="2">
        <v>4</v>
      </c>
      <c r="AC380" s="2">
        <v>3718.63</v>
      </c>
    </row>
    <row r="381" spans="1:29" x14ac:dyDescent="0.3">
      <c r="Q381" s="2">
        <v>10217</v>
      </c>
      <c r="R381" s="2">
        <v>1795</v>
      </c>
      <c r="S381" s="3">
        <v>45055</v>
      </c>
      <c r="T381" s="3">
        <v>45057</v>
      </c>
      <c r="U381" s="2" t="s">
        <v>40</v>
      </c>
      <c r="V381" s="2" t="s">
        <v>44</v>
      </c>
      <c r="W381" s="2" t="s">
        <v>27</v>
      </c>
      <c r="X381" s="2" t="s">
        <v>45</v>
      </c>
      <c r="Y381" s="2" t="s">
        <v>52</v>
      </c>
      <c r="Z381" s="2" t="s">
        <v>53</v>
      </c>
      <c r="AA381" s="2" t="s">
        <v>31</v>
      </c>
      <c r="AB381" s="2">
        <v>4</v>
      </c>
      <c r="AC381" s="2">
        <v>3335.32</v>
      </c>
    </row>
    <row r="382" spans="1:29" x14ac:dyDescent="0.3">
      <c r="Q382" s="2">
        <v>10307</v>
      </c>
      <c r="R382" s="2">
        <v>1183</v>
      </c>
      <c r="S382" s="3">
        <v>45267</v>
      </c>
      <c r="T382" s="3">
        <v>45273</v>
      </c>
      <c r="U382" s="2" t="s">
        <v>18</v>
      </c>
      <c r="V382" s="2" t="s">
        <v>19</v>
      </c>
      <c r="W382" s="2" t="s">
        <v>27</v>
      </c>
      <c r="X382" s="2" t="s">
        <v>45</v>
      </c>
      <c r="Y382" s="2" t="s">
        <v>60</v>
      </c>
      <c r="Z382" s="2" t="s">
        <v>61</v>
      </c>
      <c r="AA382" s="2" t="s">
        <v>31</v>
      </c>
      <c r="AB382" s="2">
        <v>4</v>
      </c>
      <c r="AC382" s="2">
        <v>2008.45</v>
      </c>
    </row>
    <row r="383" spans="1:29" x14ac:dyDescent="0.3">
      <c r="Q383" s="2">
        <v>10447</v>
      </c>
      <c r="R383" s="2">
        <v>1026</v>
      </c>
      <c r="S383" s="3">
        <v>45264</v>
      </c>
      <c r="T383" s="3">
        <v>45265</v>
      </c>
      <c r="U383" s="2" t="s">
        <v>37</v>
      </c>
      <c r="V383" s="2" t="s">
        <v>41</v>
      </c>
      <c r="W383" s="2" t="s">
        <v>20</v>
      </c>
      <c r="X383" s="2" t="s">
        <v>38</v>
      </c>
      <c r="Y383" s="2" t="s">
        <v>29</v>
      </c>
      <c r="Z383" s="2" t="s">
        <v>71</v>
      </c>
      <c r="AA383" s="2" t="s">
        <v>31</v>
      </c>
      <c r="AB383" s="2">
        <v>4</v>
      </c>
      <c r="AC383" s="2">
        <v>3871.21</v>
      </c>
    </row>
    <row r="384" spans="1:29" x14ac:dyDescent="0.3">
      <c r="Q384" s="2">
        <v>10009</v>
      </c>
      <c r="R384" s="2">
        <v>1614</v>
      </c>
      <c r="S384" s="3">
        <v>45204</v>
      </c>
      <c r="T384" s="3">
        <v>45213</v>
      </c>
      <c r="U384" s="2" t="s">
        <v>18</v>
      </c>
      <c r="V384" s="2" t="s">
        <v>32</v>
      </c>
      <c r="W384" s="2" t="s">
        <v>27</v>
      </c>
      <c r="X384" s="2" t="s">
        <v>28</v>
      </c>
      <c r="Y384" s="2" t="s">
        <v>34</v>
      </c>
      <c r="Z384" s="2" t="s">
        <v>51</v>
      </c>
      <c r="AA384" s="2" t="s">
        <v>31</v>
      </c>
      <c r="AB384" s="2">
        <v>5</v>
      </c>
      <c r="AC384" s="2">
        <v>1098.04</v>
      </c>
    </row>
    <row r="385" spans="17:29" x14ac:dyDescent="0.3">
      <c r="Q385" s="2">
        <v>10036</v>
      </c>
      <c r="R385" s="2">
        <v>1252</v>
      </c>
      <c r="S385" s="3">
        <v>45076</v>
      </c>
      <c r="T385" s="3">
        <v>45084</v>
      </c>
      <c r="U385" s="2" t="s">
        <v>19</v>
      </c>
      <c r="V385" s="2" t="s">
        <v>41</v>
      </c>
      <c r="W385" s="2" t="s">
        <v>20</v>
      </c>
      <c r="X385" s="2" t="s">
        <v>45</v>
      </c>
      <c r="Y385" s="2" t="s">
        <v>29</v>
      </c>
      <c r="Z385" s="2" t="s">
        <v>30</v>
      </c>
      <c r="AA385" s="2" t="s">
        <v>31</v>
      </c>
      <c r="AB385" s="2">
        <v>5</v>
      </c>
      <c r="AC385" s="2">
        <v>2327.9</v>
      </c>
    </row>
    <row r="386" spans="17:29" x14ac:dyDescent="0.3">
      <c r="Q386" s="2">
        <v>10048</v>
      </c>
      <c r="R386" s="2">
        <v>1189</v>
      </c>
      <c r="S386" s="3">
        <v>45021</v>
      </c>
      <c r="T386" s="3">
        <v>45027</v>
      </c>
      <c r="U386" s="2" t="s">
        <v>25</v>
      </c>
      <c r="V386" s="2" t="s">
        <v>41</v>
      </c>
      <c r="W386" s="2" t="s">
        <v>27</v>
      </c>
      <c r="X386" s="2" t="s">
        <v>47</v>
      </c>
      <c r="Y386" s="2" t="s">
        <v>34</v>
      </c>
      <c r="Z386" s="2" t="s">
        <v>68</v>
      </c>
      <c r="AA386" s="2" t="s">
        <v>31</v>
      </c>
      <c r="AB386" s="2">
        <v>5</v>
      </c>
      <c r="AC386" s="2">
        <v>2466.48</v>
      </c>
    </row>
    <row r="387" spans="17:29" x14ac:dyDescent="0.3">
      <c r="Q387" s="2">
        <v>10091</v>
      </c>
      <c r="R387" s="2">
        <v>1001</v>
      </c>
      <c r="S387" s="3">
        <v>45016</v>
      </c>
      <c r="T387" s="3">
        <v>45019</v>
      </c>
      <c r="U387" s="2" t="s">
        <v>40</v>
      </c>
      <c r="V387" s="2" t="s">
        <v>19</v>
      </c>
      <c r="W387" s="2" t="s">
        <v>20</v>
      </c>
      <c r="X387" s="2" t="s">
        <v>47</v>
      </c>
      <c r="Y387" s="2" t="s">
        <v>29</v>
      </c>
      <c r="Z387" s="2" t="s">
        <v>30</v>
      </c>
      <c r="AA387" s="2" t="s">
        <v>31</v>
      </c>
      <c r="AB387" s="2">
        <v>5</v>
      </c>
      <c r="AC387" s="2">
        <v>3370.52</v>
      </c>
    </row>
    <row r="388" spans="17:29" x14ac:dyDescent="0.3">
      <c r="Q388" s="2">
        <v>10201</v>
      </c>
      <c r="R388" s="2">
        <v>1899</v>
      </c>
      <c r="S388" s="3">
        <v>44961</v>
      </c>
      <c r="T388" s="3">
        <v>44966</v>
      </c>
      <c r="U388" s="2" t="s">
        <v>18</v>
      </c>
      <c r="V388" s="2" t="s">
        <v>32</v>
      </c>
      <c r="W388" s="2" t="s">
        <v>33</v>
      </c>
      <c r="X388" s="2" t="s">
        <v>45</v>
      </c>
      <c r="Y388" s="2" t="s">
        <v>60</v>
      </c>
      <c r="Z388" s="2" t="s">
        <v>62</v>
      </c>
      <c r="AA388" s="2" t="s">
        <v>31</v>
      </c>
      <c r="AB388" s="2">
        <v>5</v>
      </c>
      <c r="AC388" s="2">
        <v>3501.94</v>
      </c>
    </row>
    <row r="389" spans="17:29" x14ac:dyDescent="0.3">
      <c r="Q389" s="2">
        <v>10384</v>
      </c>
      <c r="R389" s="2">
        <v>1151</v>
      </c>
      <c r="S389" s="3">
        <v>45289</v>
      </c>
      <c r="T389" s="3">
        <v>45297</v>
      </c>
      <c r="U389" s="2" t="s">
        <v>25</v>
      </c>
      <c r="V389" s="2" t="s">
        <v>19</v>
      </c>
      <c r="W389" s="2" t="s">
        <v>27</v>
      </c>
      <c r="X389" s="2" t="s">
        <v>45</v>
      </c>
      <c r="Y389" s="2" t="s">
        <v>22</v>
      </c>
      <c r="Z389" s="2" t="s">
        <v>58</v>
      </c>
      <c r="AA389" s="2" t="s">
        <v>31</v>
      </c>
      <c r="AB389" s="2">
        <v>5</v>
      </c>
      <c r="AC389" s="2">
        <v>1935.68</v>
      </c>
    </row>
    <row r="390" spans="17:29" x14ac:dyDescent="0.3">
      <c r="Q390" s="2">
        <v>10457</v>
      </c>
      <c r="R390" s="2">
        <v>1828</v>
      </c>
      <c r="S390" s="3">
        <v>45276</v>
      </c>
      <c r="T390" s="3">
        <v>45280</v>
      </c>
      <c r="U390" s="2" t="s">
        <v>49</v>
      </c>
      <c r="V390" s="2" t="s">
        <v>32</v>
      </c>
      <c r="W390" s="2" t="s">
        <v>27</v>
      </c>
      <c r="X390" s="2" t="s">
        <v>47</v>
      </c>
      <c r="Y390" s="2" t="s">
        <v>29</v>
      </c>
      <c r="Z390" s="2" t="s">
        <v>30</v>
      </c>
      <c r="AA390" s="2" t="s">
        <v>31</v>
      </c>
      <c r="AB390" s="2">
        <v>5</v>
      </c>
      <c r="AC390" s="2">
        <v>1480.66</v>
      </c>
    </row>
    <row r="391" spans="17:29" x14ac:dyDescent="0.3">
      <c r="Q391" s="2">
        <v>10472</v>
      </c>
      <c r="R391" s="2">
        <v>1517</v>
      </c>
      <c r="S391" s="3">
        <v>45269</v>
      </c>
      <c r="T391" s="3">
        <v>45278</v>
      </c>
      <c r="U391" s="2" t="s">
        <v>18</v>
      </c>
      <c r="V391" s="2" t="s">
        <v>57</v>
      </c>
      <c r="W391" s="2" t="s">
        <v>33</v>
      </c>
      <c r="X391" s="2" t="s">
        <v>38</v>
      </c>
      <c r="Y391" s="2" t="s">
        <v>34</v>
      </c>
      <c r="Z391" s="2" t="s">
        <v>51</v>
      </c>
      <c r="AA391" s="2" t="s">
        <v>31</v>
      </c>
      <c r="AB391" s="2">
        <v>5</v>
      </c>
      <c r="AC391" s="2">
        <v>2523.25</v>
      </c>
    </row>
    <row r="392" spans="17:29" x14ac:dyDescent="0.3">
      <c r="Q392" s="2">
        <v>10040</v>
      </c>
      <c r="R392" s="2">
        <v>1474</v>
      </c>
      <c r="S392" s="3">
        <v>45274</v>
      </c>
      <c r="T392" s="3">
        <v>45277</v>
      </c>
      <c r="U392" s="2" t="s">
        <v>18</v>
      </c>
      <c r="V392" s="2" t="s">
        <v>19</v>
      </c>
      <c r="W392" s="2" t="s">
        <v>33</v>
      </c>
      <c r="X392" s="2" t="s">
        <v>38</v>
      </c>
      <c r="Y392" s="2" t="s">
        <v>29</v>
      </c>
      <c r="Z392" s="2" t="s">
        <v>30</v>
      </c>
      <c r="AA392" s="2" t="s">
        <v>31</v>
      </c>
      <c r="AB392" s="2">
        <v>6</v>
      </c>
      <c r="AC392" s="2">
        <v>3083.25</v>
      </c>
    </row>
    <row r="393" spans="17:29" x14ac:dyDescent="0.3">
      <c r="Q393" s="2">
        <v>10050</v>
      </c>
      <c r="R393" s="2">
        <v>1686</v>
      </c>
      <c r="S393" s="3">
        <v>44970</v>
      </c>
      <c r="T393" s="3">
        <v>44978</v>
      </c>
      <c r="U393" s="2" t="s">
        <v>43</v>
      </c>
      <c r="V393" s="2" t="s">
        <v>19</v>
      </c>
      <c r="W393" s="2" t="s">
        <v>20</v>
      </c>
      <c r="X393" s="2" t="s">
        <v>45</v>
      </c>
      <c r="Y393" s="2" t="s">
        <v>29</v>
      </c>
      <c r="Z393" s="2" t="s">
        <v>64</v>
      </c>
      <c r="AA393" s="2" t="s">
        <v>31</v>
      </c>
      <c r="AB393" s="2">
        <v>6</v>
      </c>
      <c r="AC393" s="2">
        <v>1350.44</v>
      </c>
    </row>
    <row r="394" spans="17:29" x14ac:dyDescent="0.3">
      <c r="Q394" s="2">
        <v>10063</v>
      </c>
      <c r="R394" s="2">
        <v>1840</v>
      </c>
      <c r="S394" s="3">
        <v>45034</v>
      </c>
      <c r="T394" s="3">
        <v>45043</v>
      </c>
      <c r="U394" s="2" t="s">
        <v>43</v>
      </c>
      <c r="V394" s="2" t="s">
        <v>26</v>
      </c>
      <c r="W394" s="2" t="s">
        <v>33</v>
      </c>
      <c r="X394" s="2" t="s">
        <v>45</v>
      </c>
      <c r="Y394" s="2" t="s">
        <v>60</v>
      </c>
      <c r="Z394" s="2" t="s">
        <v>65</v>
      </c>
      <c r="AA394" s="2" t="s">
        <v>31</v>
      </c>
      <c r="AB394" s="2">
        <v>6</v>
      </c>
      <c r="AC394" s="2">
        <v>2645.71</v>
      </c>
    </row>
    <row r="395" spans="17:29" x14ac:dyDescent="0.3">
      <c r="Q395" s="2">
        <v>10068</v>
      </c>
      <c r="R395" s="2">
        <v>1315</v>
      </c>
      <c r="S395" s="3">
        <v>45062</v>
      </c>
      <c r="T395" s="3">
        <v>45064</v>
      </c>
      <c r="U395" s="2" t="s">
        <v>37</v>
      </c>
      <c r="V395" s="2" t="s">
        <v>44</v>
      </c>
      <c r="W395" s="2" t="s">
        <v>33</v>
      </c>
      <c r="X395" s="2" t="s">
        <v>47</v>
      </c>
      <c r="Y395" s="2" t="s">
        <v>34</v>
      </c>
      <c r="Z395" s="2" t="s">
        <v>51</v>
      </c>
      <c r="AA395" s="2" t="s">
        <v>31</v>
      </c>
      <c r="AB395" s="2">
        <v>6</v>
      </c>
      <c r="AC395" s="2">
        <v>1380.66</v>
      </c>
    </row>
    <row r="396" spans="17:29" x14ac:dyDescent="0.3">
      <c r="Q396" s="2">
        <v>10370</v>
      </c>
      <c r="R396" s="2">
        <v>1303</v>
      </c>
      <c r="S396" s="3">
        <v>44981</v>
      </c>
      <c r="T396" s="3">
        <v>44987</v>
      </c>
      <c r="U396" s="2" t="s">
        <v>25</v>
      </c>
      <c r="V396" s="2" t="s">
        <v>44</v>
      </c>
      <c r="W396" s="2" t="s">
        <v>33</v>
      </c>
      <c r="X396" s="2" t="s">
        <v>21</v>
      </c>
      <c r="Y396" s="2" t="s">
        <v>52</v>
      </c>
      <c r="Z396" s="2" t="s">
        <v>66</v>
      </c>
      <c r="AA396" s="2" t="s">
        <v>31</v>
      </c>
      <c r="AB396" s="2">
        <v>6</v>
      </c>
      <c r="AC396" s="2">
        <v>1628.56</v>
      </c>
    </row>
    <row r="397" spans="17:29" x14ac:dyDescent="0.3">
      <c r="Q397" s="2">
        <v>10431</v>
      </c>
      <c r="R397" s="2">
        <v>1687</v>
      </c>
      <c r="S397" s="3">
        <v>45139</v>
      </c>
      <c r="T397" s="3">
        <v>45146</v>
      </c>
      <c r="U397" s="2" t="s">
        <v>49</v>
      </c>
      <c r="V397" s="2" t="s">
        <v>41</v>
      </c>
      <c r="W397" s="2" t="s">
        <v>33</v>
      </c>
      <c r="X397" s="2" t="s">
        <v>38</v>
      </c>
      <c r="Y397" s="2" t="s">
        <v>52</v>
      </c>
      <c r="Z397" s="2" t="s">
        <v>54</v>
      </c>
      <c r="AA397" s="2" t="s">
        <v>31</v>
      </c>
      <c r="AB397" s="2">
        <v>6</v>
      </c>
      <c r="AC397" s="2">
        <v>2247.37</v>
      </c>
    </row>
    <row r="398" spans="17:29" x14ac:dyDescent="0.3">
      <c r="Q398" s="2">
        <v>10466</v>
      </c>
      <c r="R398" s="2">
        <v>1171</v>
      </c>
      <c r="S398" s="3">
        <v>44973</v>
      </c>
      <c r="T398" s="3">
        <v>44975</v>
      </c>
      <c r="U398" s="2" t="s">
        <v>19</v>
      </c>
      <c r="V398" s="2" t="s">
        <v>44</v>
      </c>
      <c r="W398" s="2" t="s">
        <v>33</v>
      </c>
      <c r="X398" s="2" t="s">
        <v>38</v>
      </c>
      <c r="Y398" s="2" t="s">
        <v>22</v>
      </c>
      <c r="Z398" s="2" t="s">
        <v>46</v>
      </c>
      <c r="AA398" s="2" t="s">
        <v>31</v>
      </c>
      <c r="AB398" s="2">
        <v>6</v>
      </c>
      <c r="AC398" s="2">
        <v>3773.04</v>
      </c>
    </row>
    <row r="399" spans="17:29" x14ac:dyDescent="0.3">
      <c r="Q399" s="2">
        <v>10493</v>
      </c>
      <c r="R399" s="2">
        <v>1255</v>
      </c>
      <c r="S399" s="3">
        <v>45041</v>
      </c>
      <c r="T399" s="3">
        <v>45043</v>
      </c>
      <c r="U399" s="2" t="s">
        <v>43</v>
      </c>
      <c r="V399" s="2" t="s">
        <v>19</v>
      </c>
      <c r="W399" s="2" t="s">
        <v>27</v>
      </c>
      <c r="X399" s="2" t="s">
        <v>47</v>
      </c>
      <c r="Y399" s="2" t="s">
        <v>52</v>
      </c>
      <c r="Z399" s="2" t="s">
        <v>70</v>
      </c>
      <c r="AA399" s="2" t="s">
        <v>31</v>
      </c>
      <c r="AB399" s="2">
        <v>7</v>
      </c>
      <c r="AC399" s="2">
        <v>1550.03</v>
      </c>
    </row>
    <row r="400" spans="17:29" x14ac:dyDescent="0.3">
      <c r="Q400" s="2">
        <v>10014</v>
      </c>
      <c r="R400" s="2">
        <v>1458</v>
      </c>
      <c r="S400" s="3">
        <v>45039</v>
      </c>
      <c r="T400" s="3">
        <v>45045</v>
      </c>
      <c r="U400" s="2" t="s">
        <v>40</v>
      </c>
      <c r="V400" s="2" t="s">
        <v>41</v>
      </c>
      <c r="W400" s="2" t="s">
        <v>33</v>
      </c>
      <c r="X400" s="2" t="s">
        <v>38</v>
      </c>
      <c r="Y400" s="2" t="s">
        <v>29</v>
      </c>
      <c r="Z400" s="2" t="s">
        <v>39</v>
      </c>
      <c r="AA400" s="2" t="s">
        <v>31</v>
      </c>
      <c r="AB400" s="2">
        <v>8</v>
      </c>
      <c r="AC400" s="2">
        <v>1074.27</v>
      </c>
    </row>
    <row r="401" spans="17:29" x14ac:dyDescent="0.3">
      <c r="Q401" s="2">
        <v>10101</v>
      </c>
      <c r="R401" s="2">
        <v>1555</v>
      </c>
      <c r="S401" s="3">
        <v>45149</v>
      </c>
      <c r="T401" s="3">
        <v>45155</v>
      </c>
      <c r="U401" s="2" t="s">
        <v>19</v>
      </c>
      <c r="V401" s="2" t="s">
        <v>19</v>
      </c>
      <c r="W401" s="2" t="s">
        <v>33</v>
      </c>
      <c r="X401" s="2" t="s">
        <v>45</v>
      </c>
      <c r="Y401" s="2" t="s">
        <v>60</v>
      </c>
      <c r="Z401" s="2" t="s">
        <v>62</v>
      </c>
      <c r="AA401" s="2" t="s">
        <v>31</v>
      </c>
      <c r="AB401" s="2">
        <v>8</v>
      </c>
      <c r="AC401" s="2">
        <v>1683.18</v>
      </c>
    </row>
    <row r="402" spans="17:29" x14ac:dyDescent="0.3">
      <c r="Q402" s="2">
        <v>10158</v>
      </c>
      <c r="R402" s="2">
        <v>1779</v>
      </c>
      <c r="S402" s="3">
        <v>45276</v>
      </c>
      <c r="T402" s="3">
        <v>45277</v>
      </c>
      <c r="U402" s="2" t="s">
        <v>25</v>
      </c>
      <c r="V402" s="2" t="s">
        <v>44</v>
      </c>
      <c r="W402" s="2" t="s">
        <v>27</v>
      </c>
      <c r="X402" s="2" t="s">
        <v>21</v>
      </c>
      <c r="Y402" s="2" t="s">
        <v>52</v>
      </c>
      <c r="Z402" s="2" t="s">
        <v>66</v>
      </c>
      <c r="AA402" s="2" t="s">
        <v>31</v>
      </c>
      <c r="AB402" s="2">
        <v>8</v>
      </c>
      <c r="AC402" s="2">
        <v>3346.08</v>
      </c>
    </row>
    <row r="403" spans="17:29" x14ac:dyDescent="0.3">
      <c r="Q403" s="2">
        <v>10251</v>
      </c>
      <c r="R403" s="2">
        <v>1410</v>
      </c>
      <c r="S403" s="3">
        <v>45154</v>
      </c>
      <c r="T403" s="3">
        <v>45155</v>
      </c>
      <c r="U403" s="2" t="s">
        <v>19</v>
      </c>
      <c r="V403" s="2" t="s">
        <v>26</v>
      </c>
      <c r="W403" s="2" t="s">
        <v>20</v>
      </c>
      <c r="X403" s="2" t="s">
        <v>28</v>
      </c>
      <c r="Y403" s="2" t="s">
        <v>34</v>
      </c>
      <c r="Z403" s="2" t="s">
        <v>51</v>
      </c>
      <c r="AA403" s="2" t="s">
        <v>31</v>
      </c>
      <c r="AB403" s="2">
        <v>8</v>
      </c>
      <c r="AC403" s="2">
        <v>1822.29</v>
      </c>
    </row>
    <row r="404" spans="17:29" x14ac:dyDescent="0.3">
      <c r="Q404" s="2">
        <v>10290</v>
      </c>
      <c r="R404" s="2">
        <v>1996</v>
      </c>
      <c r="S404" s="3">
        <v>45215</v>
      </c>
      <c r="T404" s="3">
        <v>45218</v>
      </c>
      <c r="U404" s="2" t="s">
        <v>40</v>
      </c>
      <c r="V404" s="2" t="s">
        <v>44</v>
      </c>
      <c r="W404" s="2" t="s">
        <v>33</v>
      </c>
      <c r="X404" s="2" t="s">
        <v>21</v>
      </c>
      <c r="Y404" s="2" t="s">
        <v>22</v>
      </c>
      <c r="Z404" s="2" t="s">
        <v>23</v>
      </c>
      <c r="AA404" s="2" t="s">
        <v>31</v>
      </c>
      <c r="AB404" s="2">
        <v>8</v>
      </c>
      <c r="AC404" s="2">
        <v>2695.39</v>
      </c>
    </row>
    <row r="405" spans="17:29" x14ac:dyDescent="0.3">
      <c r="Q405" s="2">
        <v>10320</v>
      </c>
      <c r="R405" s="2">
        <v>1751</v>
      </c>
      <c r="S405" s="3">
        <v>45002</v>
      </c>
      <c r="T405" s="3">
        <v>45005</v>
      </c>
      <c r="U405" s="2" t="s">
        <v>18</v>
      </c>
      <c r="V405" s="2" t="s">
        <v>19</v>
      </c>
      <c r="W405" s="2" t="s">
        <v>20</v>
      </c>
      <c r="X405" s="2" t="s">
        <v>38</v>
      </c>
      <c r="Y405" s="2" t="s">
        <v>29</v>
      </c>
      <c r="Z405" s="2" t="s">
        <v>39</v>
      </c>
      <c r="AA405" s="2" t="s">
        <v>31</v>
      </c>
      <c r="AB405" s="2">
        <v>8</v>
      </c>
      <c r="AC405" s="2">
        <v>2254.7800000000002</v>
      </c>
    </row>
    <row r="406" spans="17:29" x14ac:dyDescent="0.3">
      <c r="Q406" s="2">
        <v>10357</v>
      </c>
      <c r="R406" s="2">
        <v>1414</v>
      </c>
      <c r="S406" s="3">
        <v>45205</v>
      </c>
      <c r="T406" s="3">
        <v>45213</v>
      </c>
      <c r="U406" s="2" t="s">
        <v>40</v>
      </c>
      <c r="V406" s="2" t="s">
        <v>41</v>
      </c>
      <c r="W406" s="2" t="s">
        <v>20</v>
      </c>
      <c r="X406" s="2" t="s">
        <v>28</v>
      </c>
      <c r="Y406" s="2" t="s">
        <v>60</v>
      </c>
      <c r="Z406" s="2" t="s">
        <v>61</v>
      </c>
      <c r="AA406" s="2" t="s">
        <v>31</v>
      </c>
      <c r="AB406" s="2">
        <v>8</v>
      </c>
      <c r="AC406" s="2">
        <v>1300.31</v>
      </c>
    </row>
    <row r="407" spans="17:29" x14ac:dyDescent="0.3">
      <c r="Q407" s="2">
        <v>10413</v>
      </c>
      <c r="R407" s="2">
        <v>1956</v>
      </c>
      <c r="S407" s="3">
        <v>45054</v>
      </c>
      <c r="T407" s="3">
        <v>45056</v>
      </c>
      <c r="U407" s="2" t="s">
        <v>40</v>
      </c>
      <c r="V407" s="2" t="s">
        <v>57</v>
      </c>
      <c r="W407" s="2" t="s">
        <v>27</v>
      </c>
      <c r="X407" s="2" t="s">
        <v>21</v>
      </c>
      <c r="Y407" s="2" t="s">
        <v>55</v>
      </c>
      <c r="Z407" s="2" t="s">
        <v>56</v>
      </c>
      <c r="AA407" s="2" t="s">
        <v>31</v>
      </c>
      <c r="AB407" s="2">
        <v>8</v>
      </c>
      <c r="AC407" s="2">
        <v>1297.5899999999999</v>
      </c>
    </row>
    <row r="408" spans="17:29" x14ac:dyDescent="0.3">
      <c r="Q408" s="2">
        <v>10002</v>
      </c>
      <c r="R408" s="2">
        <v>1435</v>
      </c>
      <c r="S408" s="3">
        <v>45199</v>
      </c>
      <c r="T408" s="3">
        <v>45203</v>
      </c>
      <c r="U408" s="2" t="s">
        <v>25</v>
      </c>
      <c r="V408" s="2" t="s">
        <v>26</v>
      </c>
      <c r="W408" s="2" t="s">
        <v>27</v>
      </c>
      <c r="X408" s="2" t="s">
        <v>28</v>
      </c>
      <c r="Y408" s="2" t="s">
        <v>29</v>
      </c>
      <c r="Z408" s="2" t="s">
        <v>30</v>
      </c>
      <c r="AA408" s="2" t="s">
        <v>31</v>
      </c>
      <c r="AB408" s="2">
        <v>9</v>
      </c>
      <c r="AC408" s="2">
        <v>2525.23</v>
      </c>
    </row>
    <row r="409" spans="17:29" x14ac:dyDescent="0.3">
      <c r="Q409" s="2">
        <v>10126</v>
      </c>
      <c r="R409" s="2">
        <v>1187</v>
      </c>
      <c r="S409" s="3">
        <v>44997</v>
      </c>
      <c r="T409" s="3">
        <v>45002</v>
      </c>
      <c r="U409" s="2" t="s">
        <v>25</v>
      </c>
      <c r="V409" s="2" t="s">
        <v>57</v>
      </c>
      <c r="W409" s="2" t="s">
        <v>27</v>
      </c>
      <c r="X409" s="2" t="s">
        <v>21</v>
      </c>
      <c r="Y409" s="2" t="s">
        <v>34</v>
      </c>
      <c r="Z409" s="2" t="s">
        <v>51</v>
      </c>
      <c r="AA409" s="2" t="s">
        <v>31</v>
      </c>
      <c r="AB409" s="2">
        <v>9</v>
      </c>
      <c r="AC409" s="2">
        <v>3308.64</v>
      </c>
    </row>
    <row r="410" spans="17:29" x14ac:dyDescent="0.3">
      <c r="Q410" s="2">
        <v>10202</v>
      </c>
      <c r="R410" s="2">
        <v>1733</v>
      </c>
      <c r="S410" s="3">
        <v>45228</v>
      </c>
      <c r="T410" s="3">
        <v>45229</v>
      </c>
      <c r="U410" s="2" t="s">
        <v>43</v>
      </c>
      <c r="V410" s="2" t="s">
        <v>57</v>
      </c>
      <c r="W410" s="2" t="s">
        <v>20</v>
      </c>
      <c r="X410" s="2" t="s">
        <v>21</v>
      </c>
      <c r="Y410" s="2" t="s">
        <v>34</v>
      </c>
      <c r="Z410" s="2" t="s">
        <v>68</v>
      </c>
      <c r="AA410" s="2" t="s">
        <v>31</v>
      </c>
      <c r="AB410" s="2">
        <v>9</v>
      </c>
      <c r="AC410" s="2">
        <v>3072.48</v>
      </c>
    </row>
    <row r="411" spans="17:29" x14ac:dyDescent="0.3">
      <c r="Q411" s="2">
        <v>10427</v>
      </c>
      <c r="R411" s="2">
        <v>1194</v>
      </c>
      <c r="S411" s="3">
        <v>45137</v>
      </c>
      <c r="T411" s="3">
        <v>45140</v>
      </c>
      <c r="U411" s="2" t="s">
        <v>43</v>
      </c>
      <c r="V411" s="2" t="s">
        <v>26</v>
      </c>
      <c r="W411" s="2" t="s">
        <v>27</v>
      </c>
      <c r="X411" s="2" t="s">
        <v>28</v>
      </c>
      <c r="Y411" s="2" t="s">
        <v>22</v>
      </c>
      <c r="Z411" s="2" t="s">
        <v>58</v>
      </c>
      <c r="AA411" s="2" t="s">
        <v>31</v>
      </c>
      <c r="AB411" s="2">
        <v>9</v>
      </c>
      <c r="AC411" s="2">
        <v>2454.59</v>
      </c>
    </row>
    <row r="412" spans="17:29" x14ac:dyDescent="0.3">
      <c r="Q412" s="2">
        <v>10454</v>
      </c>
      <c r="R412" s="2">
        <v>1959</v>
      </c>
      <c r="S412" s="3">
        <v>45251</v>
      </c>
      <c r="T412" s="3">
        <v>45255</v>
      </c>
      <c r="U412" s="2" t="s">
        <v>37</v>
      </c>
      <c r="V412" s="2" t="s">
        <v>44</v>
      </c>
      <c r="W412" s="2" t="s">
        <v>20</v>
      </c>
      <c r="X412" s="2" t="s">
        <v>28</v>
      </c>
      <c r="Y412" s="2" t="s">
        <v>60</v>
      </c>
      <c r="Z412" s="2" t="s">
        <v>61</v>
      </c>
      <c r="AA412" s="2" t="s">
        <v>31</v>
      </c>
      <c r="AB412" s="2">
        <v>9</v>
      </c>
      <c r="AC412" s="2">
        <v>3191.56</v>
      </c>
    </row>
    <row r="413" spans="17:29" x14ac:dyDescent="0.3">
      <c r="Q413" s="2">
        <v>10498</v>
      </c>
      <c r="R413" s="2">
        <v>1734</v>
      </c>
      <c r="S413" s="3">
        <v>45017</v>
      </c>
      <c r="T413" s="3">
        <v>45025</v>
      </c>
      <c r="U413" s="2" t="s">
        <v>49</v>
      </c>
      <c r="V413" s="2" t="s">
        <v>19</v>
      </c>
      <c r="W413" s="2" t="s">
        <v>33</v>
      </c>
      <c r="X413" s="2" t="s">
        <v>21</v>
      </c>
      <c r="Y413" s="2" t="s">
        <v>29</v>
      </c>
      <c r="Z413" s="2" t="s">
        <v>39</v>
      </c>
      <c r="AA413" s="2" t="s">
        <v>31</v>
      </c>
      <c r="AB413" s="2">
        <v>9</v>
      </c>
      <c r="AC413" s="2">
        <v>2190.39</v>
      </c>
    </row>
    <row r="414" spans="17:29" x14ac:dyDescent="0.3">
      <c r="Q414" s="2">
        <v>10111</v>
      </c>
      <c r="R414" s="2">
        <v>1461</v>
      </c>
      <c r="S414" s="3">
        <v>44950</v>
      </c>
      <c r="T414" s="3">
        <v>44959</v>
      </c>
      <c r="U414" s="2" t="s">
        <v>18</v>
      </c>
      <c r="V414" s="2" t="s">
        <v>57</v>
      </c>
      <c r="W414" s="2" t="s">
        <v>33</v>
      </c>
      <c r="X414" s="2" t="s">
        <v>38</v>
      </c>
      <c r="Y414" s="2" t="s">
        <v>52</v>
      </c>
      <c r="Z414" s="2" t="s">
        <v>70</v>
      </c>
      <c r="AA414" s="2" t="s">
        <v>36</v>
      </c>
      <c r="AB414" s="2">
        <v>1</v>
      </c>
      <c r="AC414" s="2">
        <v>1820.02</v>
      </c>
    </row>
    <row r="415" spans="17:29" x14ac:dyDescent="0.3">
      <c r="Q415" s="2">
        <v>10130</v>
      </c>
      <c r="R415" s="2">
        <v>1156</v>
      </c>
      <c r="S415" s="3">
        <v>44929</v>
      </c>
      <c r="T415" s="3">
        <v>44938</v>
      </c>
      <c r="U415" s="2" t="s">
        <v>18</v>
      </c>
      <c r="V415" s="2" t="s">
        <v>44</v>
      </c>
      <c r="W415" s="2" t="s">
        <v>20</v>
      </c>
      <c r="X415" s="2" t="s">
        <v>45</v>
      </c>
      <c r="Y415" s="2" t="s">
        <v>60</v>
      </c>
      <c r="Z415" s="2" t="s">
        <v>65</v>
      </c>
      <c r="AA415" s="2" t="s">
        <v>36</v>
      </c>
      <c r="AB415" s="2">
        <v>1</v>
      </c>
      <c r="AC415" s="2">
        <v>2534.4699999999998</v>
      </c>
    </row>
    <row r="416" spans="17:29" x14ac:dyDescent="0.3">
      <c r="Q416" s="2">
        <v>10142</v>
      </c>
      <c r="R416" s="2">
        <v>1138</v>
      </c>
      <c r="S416" s="3">
        <v>45114</v>
      </c>
      <c r="T416" s="3">
        <v>45123</v>
      </c>
      <c r="U416" s="2" t="s">
        <v>19</v>
      </c>
      <c r="V416" s="2" t="s">
        <v>41</v>
      </c>
      <c r="W416" s="2" t="s">
        <v>20</v>
      </c>
      <c r="X416" s="2" t="s">
        <v>45</v>
      </c>
      <c r="Y416" s="2" t="s">
        <v>52</v>
      </c>
      <c r="Z416" s="2" t="s">
        <v>54</v>
      </c>
      <c r="AA416" s="2" t="s">
        <v>36</v>
      </c>
      <c r="AB416" s="2">
        <v>1</v>
      </c>
      <c r="AC416" s="2">
        <v>2063.0500000000002</v>
      </c>
    </row>
    <row r="417" spans="17:29" x14ac:dyDescent="0.3">
      <c r="Q417" s="2">
        <v>10187</v>
      </c>
      <c r="R417" s="2">
        <v>1392</v>
      </c>
      <c r="S417" s="3">
        <v>44987</v>
      </c>
      <c r="T417" s="3">
        <v>44991</v>
      </c>
      <c r="U417" s="2" t="s">
        <v>19</v>
      </c>
      <c r="V417" s="2" t="s">
        <v>44</v>
      </c>
      <c r="W417" s="2" t="s">
        <v>20</v>
      </c>
      <c r="X417" s="2" t="s">
        <v>47</v>
      </c>
      <c r="Y417" s="2" t="s">
        <v>22</v>
      </c>
      <c r="Z417" s="2" t="s">
        <v>46</v>
      </c>
      <c r="AA417" s="2" t="s">
        <v>36</v>
      </c>
      <c r="AB417" s="2">
        <v>1</v>
      </c>
      <c r="AC417" s="2">
        <v>1730.41</v>
      </c>
    </row>
    <row r="418" spans="17:29" x14ac:dyDescent="0.3">
      <c r="Q418" s="2">
        <v>10212</v>
      </c>
      <c r="R418" s="2">
        <v>1159</v>
      </c>
      <c r="S418" s="3">
        <v>45016</v>
      </c>
      <c r="T418" s="3">
        <v>45019</v>
      </c>
      <c r="U418" s="2" t="s">
        <v>19</v>
      </c>
      <c r="V418" s="2" t="s">
        <v>32</v>
      </c>
      <c r="W418" s="2" t="s">
        <v>33</v>
      </c>
      <c r="X418" s="2" t="s">
        <v>47</v>
      </c>
      <c r="Y418" s="2" t="s">
        <v>29</v>
      </c>
      <c r="Z418" s="2" t="s">
        <v>64</v>
      </c>
      <c r="AA418" s="2" t="s">
        <v>36</v>
      </c>
      <c r="AB418" s="2">
        <v>1</v>
      </c>
      <c r="AC418" s="2">
        <v>2975.54</v>
      </c>
    </row>
    <row r="419" spans="17:29" x14ac:dyDescent="0.3">
      <c r="Q419" s="2">
        <v>10312</v>
      </c>
      <c r="R419" s="2">
        <v>1279</v>
      </c>
      <c r="S419" s="3">
        <v>44983</v>
      </c>
      <c r="T419" s="3">
        <v>44990</v>
      </c>
      <c r="U419" s="2" t="s">
        <v>49</v>
      </c>
      <c r="V419" s="2" t="s">
        <v>41</v>
      </c>
      <c r="W419" s="2" t="s">
        <v>33</v>
      </c>
      <c r="X419" s="2" t="s">
        <v>21</v>
      </c>
      <c r="Y419" s="2" t="s">
        <v>55</v>
      </c>
      <c r="Z419" s="2" t="s">
        <v>59</v>
      </c>
      <c r="AA419" s="2" t="s">
        <v>36</v>
      </c>
      <c r="AB419" s="2">
        <v>1</v>
      </c>
      <c r="AC419" s="2">
        <v>2588.64</v>
      </c>
    </row>
    <row r="420" spans="17:29" x14ac:dyDescent="0.3">
      <c r="Q420" s="2">
        <v>10336</v>
      </c>
      <c r="R420" s="2">
        <v>1962</v>
      </c>
      <c r="S420" s="3">
        <v>45069</v>
      </c>
      <c r="T420" s="3">
        <v>45072</v>
      </c>
      <c r="U420" s="2" t="s">
        <v>19</v>
      </c>
      <c r="V420" s="2" t="s">
        <v>44</v>
      </c>
      <c r="W420" s="2" t="s">
        <v>27</v>
      </c>
      <c r="X420" s="2" t="s">
        <v>45</v>
      </c>
      <c r="Y420" s="2" t="s">
        <v>22</v>
      </c>
      <c r="Z420" s="2" t="s">
        <v>72</v>
      </c>
      <c r="AA420" s="2" t="s">
        <v>36</v>
      </c>
      <c r="AB420" s="2">
        <v>1</v>
      </c>
      <c r="AC420" s="2">
        <v>1126.5</v>
      </c>
    </row>
    <row r="421" spans="17:29" x14ac:dyDescent="0.3">
      <c r="Q421" s="2">
        <v>10383</v>
      </c>
      <c r="R421" s="2">
        <v>1403</v>
      </c>
      <c r="S421" s="3">
        <v>45040</v>
      </c>
      <c r="T421" s="3">
        <v>45042</v>
      </c>
      <c r="U421" s="2" t="s">
        <v>40</v>
      </c>
      <c r="V421" s="2" t="s">
        <v>26</v>
      </c>
      <c r="W421" s="2" t="s">
        <v>27</v>
      </c>
      <c r="X421" s="2" t="s">
        <v>45</v>
      </c>
      <c r="Y421" s="2" t="s">
        <v>34</v>
      </c>
      <c r="Z421" s="2" t="s">
        <v>51</v>
      </c>
      <c r="AA421" s="2" t="s">
        <v>36</v>
      </c>
      <c r="AB421" s="2">
        <v>1</v>
      </c>
      <c r="AC421" s="2">
        <v>3581.58</v>
      </c>
    </row>
    <row r="422" spans="17:29" x14ac:dyDescent="0.3">
      <c r="Q422" s="2">
        <v>10440</v>
      </c>
      <c r="R422" s="2">
        <v>1037</v>
      </c>
      <c r="S422" s="3">
        <v>45144</v>
      </c>
      <c r="T422" s="3">
        <v>45149</v>
      </c>
      <c r="U422" s="2" t="s">
        <v>40</v>
      </c>
      <c r="V422" s="2" t="s">
        <v>57</v>
      </c>
      <c r="W422" s="2" t="s">
        <v>20</v>
      </c>
      <c r="X422" s="2" t="s">
        <v>45</v>
      </c>
      <c r="Y422" s="2" t="s">
        <v>52</v>
      </c>
      <c r="Z422" s="2" t="s">
        <v>53</v>
      </c>
      <c r="AA422" s="2" t="s">
        <v>36</v>
      </c>
      <c r="AB422" s="2">
        <v>1</v>
      </c>
      <c r="AC422" s="2">
        <v>3775.07</v>
      </c>
    </row>
    <row r="423" spans="17:29" x14ac:dyDescent="0.3">
      <c r="Q423" s="2">
        <v>10500</v>
      </c>
      <c r="R423" s="2">
        <v>1569</v>
      </c>
      <c r="S423" s="3">
        <v>44972</v>
      </c>
      <c r="T423" s="3">
        <v>44977</v>
      </c>
      <c r="U423" s="2" t="s">
        <v>18</v>
      </c>
      <c r="V423" s="2" t="s">
        <v>19</v>
      </c>
      <c r="W423" s="2" t="s">
        <v>33</v>
      </c>
      <c r="X423" s="2" t="s">
        <v>45</v>
      </c>
      <c r="Y423" s="2" t="s">
        <v>34</v>
      </c>
      <c r="Z423" s="2" t="s">
        <v>68</v>
      </c>
      <c r="AA423" s="2" t="s">
        <v>36</v>
      </c>
      <c r="AB423" s="2">
        <v>1</v>
      </c>
      <c r="AC423" s="2">
        <v>2432.17</v>
      </c>
    </row>
    <row r="424" spans="17:29" x14ac:dyDescent="0.3">
      <c r="Q424" s="2">
        <v>10084</v>
      </c>
      <c r="R424" s="2">
        <v>1034</v>
      </c>
      <c r="S424" s="3">
        <v>45157</v>
      </c>
      <c r="T424" s="3">
        <v>45166</v>
      </c>
      <c r="U424" s="2" t="s">
        <v>43</v>
      </c>
      <c r="V424" s="2" t="s">
        <v>32</v>
      </c>
      <c r="W424" s="2" t="s">
        <v>33</v>
      </c>
      <c r="X424" s="2" t="s">
        <v>47</v>
      </c>
      <c r="Y424" s="2" t="s">
        <v>55</v>
      </c>
      <c r="Z424" s="2" t="s">
        <v>59</v>
      </c>
      <c r="AA424" s="2" t="s">
        <v>36</v>
      </c>
      <c r="AB424" s="2">
        <v>2</v>
      </c>
      <c r="AC424" s="2">
        <v>2145.36</v>
      </c>
    </row>
    <row r="425" spans="17:29" x14ac:dyDescent="0.3">
      <c r="Q425" s="2">
        <v>10096</v>
      </c>
      <c r="R425" s="2">
        <v>1821</v>
      </c>
      <c r="S425" s="3">
        <v>44940</v>
      </c>
      <c r="T425" s="3">
        <v>44947</v>
      </c>
      <c r="U425" s="2" t="s">
        <v>43</v>
      </c>
      <c r="V425" s="2" t="s">
        <v>19</v>
      </c>
      <c r="W425" s="2" t="s">
        <v>20</v>
      </c>
      <c r="X425" s="2" t="s">
        <v>28</v>
      </c>
      <c r="Y425" s="2" t="s">
        <v>55</v>
      </c>
      <c r="Z425" s="2" t="s">
        <v>63</v>
      </c>
      <c r="AA425" s="2" t="s">
        <v>36</v>
      </c>
      <c r="AB425" s="2">
        <v>2</v>
      </c>
      <c r="AC425" s="2">
        <v>1249.94</v>
      </c>
    </row>
    <row r="426" spans="17:29" x14ac:dyDescent="0.3">
      <c r="Q426" s="2">
        <v>10118</v>
      </c>
      <c r="R426" s="2">
        <v>1748</v>
      </c>
      <c r="S426" s="3">
        <v>45128</v>
      </c>
      <c r="T426" s="3">
        <v>45129</v>
      </c>
      <c r="U426" s="2" t="s">
        <v>25</v>
      </c>
      <c r="V426" s="2" t="s">
        <v>19</v>
      </c>
      <c r="W426" s="2" t="s">
        <v>20</v>
      </c>
      <c r="X426" s="2" t="s">
        <v>47</v>
      </c>
      <c r="Y426" s="2" t="s">
        <v>34</v>
      </c>
      <c r="Z426" s="2" t="s">
        <v>51</v>
      </c>
      <c r="AA426" s="2" t="s">
        <v>36</v>
      </c>
      <c r="AB426" s="2">
        <v>2</v>
      </c>
      <c r="AC426" s="2">
        <v>2303.71</v>
      </c>
    </row>
    <row r="427" spans="17:29" x14ac:dyDescent="0.3">
      <c r="Q427" s="2">
        <v>10326</v>
      </c>
      <c r="R427" s="2">
        <v>1325</v>
      </c>
      <c r="S427" s="3">
        <v>45118</v>
      </c>
      <c r="T427" s="3">
        <v>45124</v>
      </c>
      <c r="U427" s="2" t="s">
        <v>40</v>
      </c>
      <c r="V427" s="2" t="s">
        <v>19</v>
      </c>
      <c r="W427" s="2" t="s">
        <v>27</v>
      </c>
      <c r="X427" s="2" t="s">
        <v>47</v>
      </c>
      <c r="Y427" s="2" t="s">
        <v>55</v>
      </c>
      <c r="Z427" s="2" t="s">
        <v>63</v>
      </c>
      <c r="AA427" s="2" t="s">
        <v>36</v>
      </c>
      <c r="AB427" s="2">
        <v>2</v>
      </c>
      <c r="AC427" s="2">
        <v>3428.64</v>
      </c>
    </row>
    <row r="428" spans="17:29" x14ac:dyDescent="0.3">
      <c r="Q428" s="2">
        <v>10006</v>
      </c>
      <c r="R428" s="2">
        <v>1071</v>
      </c>
      <c r="S428" s="3">
        <v>45260</v>
      </c>
      <c r="T428" s="3">
        <v>45263</v>
      </c>
      <c r="U428" s="2" t="s">
        <v>43</v>
      </c>
      <c r="V428" s="2" t="s">
        <v>44</v>
      </c>
      <c r="W428" s="2" t="s">
        <v>27</v>
      </c>
      <c r="X428" s="2" t="s">
        <v>45</v>
      </c>
      <c r="Y428" s="2" t="s">
        <v>22</v>
      </c>
      <c r="Z428" s="2" t="s">
        <v>46</v>
      </c>
      <c r="AA428" s="2" t="s">
        <v>36</v>
      </c>
      <c r="AB428" s="2">
        <v>3</v>
      </c>
      <c r="AC428" s="2">
        <v>3189.55</v>
      </c>
    </row>
    <row r="429" spans="17:29" x14ac:dyDescent="0.3">
      <c r="Q429" s="2">
        <v>10052</v>
      </c>
      <c r="R429" s="2">
        <v>1562</v>
      </c>
      <c r="S429" s="3">
        <v>45097</v>
      </c>
      <c r="T429" s="3">
        <v>45098</v>
      </c>
      <c r="U429" s="2" t="s">
        <v>25</v>
      </c>
      <c r="V429" s="2" t="s">
        <v>57</v>
      </c>
      <c r="W429" s="2" t="s">
        <v>27</v>
      </c>
      <c r="X429" s="2" t="s">
        <v>38</v>
      </c>
      <c r="Y429" s="2" t="s">
        <v>60</v>
      </c>
      <c r="Z429" s="2" t="s">
        <v>65</v>
      </c>
      <c r="AA429" s="2" t="s">
        <v>36</v>
      </c>
      <c r="AB429" s="2">
        <v>3</v>
      </c>
      <c r="AC429" s="2">
        <v>2668.52</v>
      </c>
    </row>
    <row r="430" spans="17:29" x14ac:dyDescent="0.3">
      <c r="Q430" s="2">
        <v>10074</v>
      </c>
      <c r="R430" s="2">
        <v>1897</v>
      </c>
      <c r="S430" s="3">
        <v>45290</v>
      </c>
      <c r="T430" s="3">
        <v>45296</v>
      </c>
      <c r="U430" s="2" t="s">
        <v>19</v>
      </c>
      <c r="V430" s="2" t="s">
        <v>57</v>
      </c>
      <c r="W430" s="2" t="s">
        <v>33</v>
      </c>
      <c r="X430" s="2" t="s">
        <v>38</v>
      </c>
      <c r="Y430" s="2" t="s">
        <v>22</v>
      </c>
      <c r="Z430" s="2" t="s">
        <v>46</v>
      </c>
      <c r="AA430" s="2" t="s">
        <v>36</v>
      </c>
      <c r="AB430" s="2">
        <v>3</v>
      </c>
      <c r="AC430" s="2">
        <v>2196.89</v>
      </c>
    </row>
    <row r="431" spans="17:29" x14ac:dyDescent="0.3">
      <c r="Q431" s="2">
        <v>10200</v>
      </c>
      <c r="R431" s="2">
        <v>1095</v>
      </c>
      <c r="S431" s="3">
        <v>45171</v>
      </c>
      <c r="T431" s="3">
        <v>45176</v>
      </c>
      <c r="U431" s="2" t="s">
        <v>18</v>
      </c>
      <c r="V431" s="2" t="s">
        <v>32</v>
      </c>
      <c r="W431" s="2" t="s">
        <v>33</v>
      </c>
      <c r="X431" s="2" t="s">
        <v>47</v>
      </c>
      <c r="Y431" s="2" t="s">
        <v>22</v>
      </c>
      <c r="Z431" s="2" t="s">
        <v>72</v>
      </c>
      <c r="AA431" s="2" t="s">
        <v>36</v>
      </c>
      <c r="AB431" s="2">
        <v>3</v>
      </c>
      <c r="AC431" s="2">
        <v>2701.77</v>
      </c>
    </row>
    <row r="432" spans="17:29" x14ac:dyDescent="0.3">
      <c r="Q432" s="2">
        <v>10385</v>
      </c>
      <c r="R432" s="2">
        <v>1053</v>
      </c>
      <c r="S432" s="3">
        <v>44966</v>
      </c>
      <c r="T432" s="3">
        <v>44967</v>
      </c>
      <c r="U432" s="2" t="s">
        <v>19</v>
      </c>
      <c r="V432" s="2" t="s">
        <v>26</v>
      </c>
      <c r="W432" s="2" t="s">
        <v>27</v>
      </c>
      <c r="X432" s="2" t="s">
        <v>45</v>
      </c>
      <c r="Y432" s="2" t="s">
        <v>55</v>
      </c>
      <c r="Z432" s="2" t="s">
        <v>67</v>
      </c>
      <c r="AA432" s="2" t="s">
        <v>36</v>
      </c>
      <c r="AB432" s="2">
        <v>3</v>
      </c>
      <c r="AC432" s="2">
        <v>1382.11</v>
      </c>
    </row>
    <row r="433" spans="17:29" x14ac:dyDescent="0.3">
      <c r="Q433" s="2">
        <v>10388</v>
      </c>
      <c r="R433" s="2">
        <v>1919</v>
      </c>
      <c r="S433" s="3">
        <v>44934</v>
      </c>
      <c r="T433" s="3">
        <v>44941</v>
      </c>
      <c r="U433" s="2" t="s">
        <v>25</v>
      </c>
      <c r="V433" s="2" t="s">
        <v>57</v>
      </c>
      <c r="W433" s="2" t="s">
        <v>33</v>
      </c>
      <c r="X433" s="2" t="s">
        <v>21</v>
      </c>
      <c r="Y433" s="2" t="s">
        <v>34</v>
      </c>
      <c r="Z433" s="2" t="s">
        <v>42</v>
      </c>
      <c r="AA433" s="2" t="s">
        <v>36</v>
      </c>
      <c r="AB433" s="2">
        <v>3</v>
      </c>
      <c r="AC433" s="2">
        <v>2032.79</v>
      </c>
    </row>
    <row r="434" spans="17:29" x14ac:dyDescent="0.3">
      <c r="Q434" s="2">
        <v>10392</v>
      </c>
      <c r="R434" s="2">
        <v>1967</v>
      </c>
      <c r="S434" s="3">
        <v>45027</v>
      </c>
      <c r="T434" s="3">
        <v>45036</v>
      </c>
      <c r="U434" s="2" t="s">
        <v>25</v>
      </c>
      <c r="V434" s="2" t="s">
        <v>41</v>
      </c>
      <c r="W434" s="2" t="s">
        <v>27</v>
      </c>
      <c r="X434" s="2" t="s">
        <v>28</v>
      </c>
      <c r="Y434" s="2" t="s">
        <v>55</v>
      </c>
      <c r="Z434" s="2" t="s">
        <v>63</v>
      </c>
      <c r="AA434" s="2" t="s">
        <v>36</v>
      </c>
      <c r="AB434" s="2">
        <v>3</v>
      </c>
      <c r="AC434" s="2">
        <v>1553.98</v>
      </c>
    </row>
    <row r="435" spans="17:29" x14ac:dyDescent="0.3">
      <c r="Q435" s="2">
        <v>10399</v>
      </c>
      <c r="R435" s="2">
        <v>1111</v>
      </c>
      <c r="S435" s="3">
        <v>45228</v>
      </c>
      <c r="T435" s="3">
        <v>45237</v>
      </c>
      <c r="U435" s="2" t="s">
        <v>19</v>
      </c>
      <c r="V435" s="2" t="s">
        <v>19</v>
      </c>
      <c r="W435" s="2" t="s">
        <v>27</v>
      </c>
      <c r="X435" s="2" t="s">
        <v>45</v>
      </c>
      <c r="Y435" s="2" t="s">
        <v>22</v>
      </c>
      <c r="Z435" s="2" t="s">
        <v>46</v>
      </c>
      <c r="AA435" s="2" t="s">
        <v>36</v>
      </c>
      <c r="AB435" s="2">
        <v>3</v>
      </c>
      <c r="AC435" s="2">
        <v>1789.86</v>
      </c>
    </row>
    <row r="436" spans="17:29" x14ac:dyDescent="0.3">
      <c r="Q436" s="2">
        <v>10411</v>
      </c>
      <c r="R436" s="2">
        <v>1162</v>
      </c>
      <c r="S436" s="3">
        <v>44985</v>
      </c>
      <c r="T436" s="3">
        <v>44993</v>
      </c>
      <c r="U436" s="2" t="s">
        <v>49</v>
      </c>
      <c r="V436" s="2" t="s">
        <v>19</v>
      </c>
      <c r="W436" s="2" t="s">
        <v>33</v>
      </c>
      <c r="X436" s="2" t="s">
        <v>28</v>
      </c>
      <c r="Y436" s="2" t="s">
        <v>22</v>
      </c>
      <c r="Z436" s="2" t="s">
        <v>46</v>
      </c>
      <c r="AA436" s="2" t="s">
        <v>36</v>
      </c>
      <c r="AB436" s="2">
        <v>3</v>
      </c>
      <c r="AC436" s="2">
        <v>2165.7199999999998</v>
      </c>
    </row>
    <row r="437" spans="17:29" x14ac:dyDescent="0.3">
      <c r="Q437" s="2">
        <v>10042</v>
      </c>
      <c r="R437" s="2">
        <v>1510</v>
      </c>
      <c r="S437" s="3">
        <v>45195</v>
      </c>
      <c r="T437" s="3">
        <v>45204</v>
      </c>
      <c r="U437" s="2" t="s">
        <v>18</v>
      </c>
      <c r="V437" s="2" t="s">
        <v>57</v>
      </c>
      <c r="W437" s="2" t="s">
        <v>27</v>
      </c>
      <c r="X437" s="2" t="s">
        <v>38</v>
      </c>
      <c r="Y437" s="2" t="s">
        <v>29</v>
      </c>
      <c r="Z437" s="2" t="s">
        <v>30</v>
      </c>
      <c r="AA437" s="2" t="s">
        <v>36</v>
      </c>
      <c r="AB437" s="2">
        <v>4</v>
      </c>
      <c r="AC437" s="2">
        <v>1211.67</v>
      </c>
    </row>
    <row r="438" spans="17:29" x14ac:dyDescent="0.3">
      <c r="Q438" s="2">
        <v>10070</v>
      </c>
      <c r="R438" s="2">
        <v>1241</v>
      </c>
      <c r="S438" s="3">
        <v>45112</v>
      </c>
      <c r="T438" s="3">
        <v>45113</v>
      </c>
      <c r="U438" s="2" t="s">
        <v>49</v>
      </c>
      <c r="V438" s="2" t="s">
        <v>44</v>
      </c>
      <c r="W438" s="2" t="s">
        <v>20</v>
      </c>
      <c r="X438" s="2" t="s">
        <v>38</v>
      </c>
      <c r="Y438" s="2" t="s">
        <v>34</v>
      </c>
      <c r="Z438" s="2" t="s">
        <v>42</v>
      </c>
      <c r="AA438" s="2" t="s">
        <v>36</v>
      </c>
      <c r="AB438" s="2">
        <v>4</v>
      </c>
      <c r="AC438" s="2">
        <v>3612.15</v>
      </c>
    </row>
    <row r="439" spans="17:29" x14ac:dyDescent="0.3">
      <c r="Q439" s="2">
        <v>10146</v>
      </c>
      <c r="R439" s="2">
        <v>1674</v>
      </c>
      <c r="S439" s="3">
        <v>45137</v>
      </c>
      <c r="T439" s="3">
        <v>45145</v>
      </c>
      <c r="U439" s="2" t="s">
        <v>43</v>
      </c>
      <c r="V439" s="2" t="s">
        <v>44</v>
      </c>
      <c r="W439" s="2" t="s">
        <v>33</v>
      </c>
      <c r="X439" s="2" t="s">
        <v>45</v>
      </c>
      <c r="Y439" s="2" t="s">
        <v>60</v>
      </c>
      <c r="Z439" s="2" t="s">
        <v>65</v>
      </c>
      <c r="AA439" s="2" t="s">
        <v>36</v>
      </c>
      <c r="AB439" s="2">
        <v>4</v>
      </c>
      <c r="AC439" s="2">
        <v>2326.87</v>
      </c>
    </row>
    <row r="440" spans="17:29" x14ac:dyDescent="0.3">
      <c r="Q440" s="2">
        <v>10252</v>
      </c>
      <c r="R440" s="2">
        <v>1648</v>
      </c>
      <c r="S440" s="3">
        <v>45110</v>
      </c>
      <c r="T440" s="3">
        <v>45114</v>
      </c>
      <c r="U440" s="2" t="s">
        <v>40</v>
      </c>
      <c r="V440" s="2" t="s">
        <v>41</v>
      </c>
      <c r="W440" s="2" t="s">
        <v>27</v>
      </c>
      <c r="X440" s="2" t="s">
        <v>45</v>
      </c>
      <c r="Y440" s="2" t="s">
        <v>55</v>
      </c>
      <c r="Z440" s="2" t="s">
        <v>63</v>
      </c>
      <c r="AA440" s="2" t="s">
        <v>36</v>
      </c>
      <c r="AB440" s="2">
        <v>4</v>
      </c>
      <c r="AC440" s="2">
        <v>1868.8</v>
      </c>
    </row>
    <row r="441" spans="17:29" x14ac:dyDescent="0.3">
      <c r="Q441" s="2">
        <v>10274</v>
      </c>
      <c r="R441" s="2">
        <v>1509</v>
      </c>
      <c r="S441" s="3">
        <v>45240</v>
      </c>
      <c r="T441" s="3">
        <v>45241</v>
      </c>
      <c r="U441" s="2" t="s">
        <v>40</v>
      </c>
      <c r="V441" s="2" t="s">
        <v>19</v>
      </c>
      <c r="W441" s="2" t="s">
        <v>27</v>
      </c>
      <c r="X441" s="2" t="s">
        <v>47</v>
      </c>
      <c r="Y441" s="2" t="s">
        <v>55</v>
      </c>
      <c r="Z441" s="2" t="s">
        <v>63</v>
      </c>
      <c r="AA441" s="2" t="s">
        <v>36</v>
      </c>
      <c r="AB441" s="2">
        <v>4</v>
      </c>
      <c r="AC441" s="2">
        <v>1258.1500000000001</v>
      </c>
    </row>
    <row r="442" spans="17:29" x14ac:dyDescent="0.3">
      <c r="Q442" s="2">
        <v>10311</v>
      </c>
      <c r="R442" s="2">
        <v>1293</v>
      </c>
      <c r="S442" s="3">
        <v>45038</v>
      </c>
      <c r="T442" s="3">
        <v>45043</v>
      </c>
      <c r="U442" s="2" t="s">
        <v>49</v>
      </c>
      <c r="V442" s="2" t="s">
        <v>26</v>
      </c>
      <c r="W442" s="2" t="s">
        <v>27</v>
      </c>
      <c r="X442" s="2" t="s">
        <v>21</v>
      </c>
      <c r="Y442" s="2" t="s">
        <v>22</v>
      </c>
      <c r="Z442" s="2" t="s">
        <v>46</v>
      </c>
      <c r="AA442" s="2" t="s">
        <v>36</v>
      </c>
      <c r="AB442" s="2">
        <v>4</v>
      </c>
      <c r="AC442" s="2">
        <v>2046.51</v>
      </c>
    </row>
    <row r="443" spans="17:29" x14ac:dyDescent="0.3">
      <c r="Q443" s="2">
        <v>10344</v>
      </c>
      <c r="R443" s="2">
        <v>1928</v>
      </c>
      <c r="S443" s="3">
        <v>45094</v>
      </c>
      <c r="T443" s="3">
        <v>45101</v>
      </c>
      <c r="U443" s="2" t="s">
        <v>25</v>
      </c>
      <c r="V443" s="2" t="s">
        <v>32</v>
      </c>
      <c r="W443" s="2" t="s">
        <v>33</v>
      </c>
      <c r="X443" s="2" t="s">
        <v>47</v>
      </c>
      <c r="Y443" s="2" t="s">
        <v>55</v>
      </c>
      <c r="Z443" s="2" t="s">
        <v>59</v>
      </c>
      <c r="AA443" s="2" t="s">
        <v>36</v>
      </c>
      <c r="AB443" s="2">
        <v>4</v>
      </c>
      <c r="AC443" s="2">
        <v>2785.81</v>
      </c>
    </row>
    <row r="444" spans="17:29" x14ac:dyDescent="0.3">
      <c r="Q444" s="2">
        <v>10076</v>
      </c>
      <c r="R444" s="2">
        <v>1091</v>
      </c>
      <c r="S444" s="3">
        <v>44929</v>
      </c>
      <c r="T444" s="3">
        <v>44932</v>
      </c>
      <c r="U444" s="2" t="s">
        <v>25</v>
      </c>
      <c r="V444" s="2" t="s">
        <v>19</v>
      </c>
      <c r="W444" s="2" t="s">
        <v>33</v>
      </c>
      <c r="X444" s="2" t="s">
        <v>38</v>
      </c>
      <c r="Y444" s="2" t="s">
        <v>34</v>
      </c>
      <c r="Z444" s="2" t="s">
        <v>42</v>
      </c>
      <c r="AA444" s="2" t="s">
        <v>36</v>
      </c>
      <c r="AB444" s="2">
        <v>5</v>
      </c>
      <c r="AC444" s="2">
        <v>1220.68</v>
      </c>
    </row>
    <row r="445" spans="17:29" x14ac:dyDescent="0.3">
      <c r="Q445" s="2">
        <v>10079</v>
      </c>
      <c r="R445" s="2">
        <v>1454</v>
      </c>
      <c r="S445" s="3">
        <v>45246</v>
      </c>
      <c r="T445" s="3">
        <v>45254</v>
      </c>
      <c r="U445" s="2" t="s">
        <v>37</v>
      </c>
      <c r="V445" s="2" t="s">
        <v>19</v>
      </c>
      <c r="W445" s="2" t="s">
        <v>33</v>
      </c>
      <c r="X445" s="2" t="s">
        <v>38</v>
      </c>
      <c r="Y445" s="2" t="s">
        <v>34</v>
      </c>
      <c r="Z445" s="2" t="s">
        <v>35</v>
      </c>
      <c r="AA445" s="2" t="s">
        <v>36</v>
      </c>
      <c r="AB445" s="2">
        <v>5</v>
      </c>
      <c r="AC445" s="2">
        <v>2291.86</v>
      </c>
    </row>
    <row r="446" spans="17:29" x14ac:dyDescent="0.3">
      <c r="Q446" s="2">
        <v>10121</v>
      </c>
      <c r="R446" s="2">
        <v>1052</v>
      </c>
      <c r="S446" s="3">
        <v>45114</v>
      </c>
      <c r="T446" s="3">
        <v>45115</v>
      </c>
      <c r="U446" s="2" t="s">
        <v>19</v>
      </c>
      <c r="V446" s="2" t="s">
        <v>19</v>
      </c>
      <c r="W446" s="2" t="s">
        <v>27</v>
      </c>
      <c r="X446" s="2" t="s">
        <v>38</v>
      </c>
      <c r="Y446" s="2" t="s">
        <v>60</v>
      </c>
      <c r="Z446" s="2" t="s">
        <v>65</v>
      </c>
      <c r="AA446" s="2" t="s">
        <v>36</v>
      </c>
      <c r="AB446" s="2">
        <v>5</v>
      </c>
      <c r="AC446" s="2">
        <v>2832.28</v>
      </c>
    </row>
    <row r="447" spans="17:29" x14ac:dyDescent="0.3">
      <c r="Q447" s="2">
        <v>10181</v>
      </c>
      <c r="R447" s="2">
        <v>1217</v>
      </c>
      <c r="S447" s="3">
        <v>45050</v>
      </c>
      <c r="T447" s="3">
        <v>45053</v>
      </c>
      <c r="U447" s="2" t="s">
        <v>18</v>
      </c>
      <c r="V447" s="2" t="s">
        <v>26</v>
      </c>
      <c r="W447" s="2" t="s">
        <v>20</v>
      </c>
      <c r="X447" s="2" t="s">
        <v>45</v>
      </c>
      <c r="Y447" s="2" t="s">
        <v>52</v>
      </c>
      <c r="Z447" s="2" t="s">
        <v>53</v>
      </c>
      <c r="AA447" s="2" t="s">
        <v>36</v>
      </c>
      <c r="AB447" s="2">
        <v>5</v>
      </c>
      <c r="AC447" s="2">
        <v>2329.38</v>
      </c>
    </row>
    <row r="448" spans="17:29" x14ac:dyDescent="0.3">
      <c r="Q448" s="2">
        <v>10365</v>
      </c>
      <c r="R448" s="2">
        <v>1623</v>
      </c>
      <c r="S448" s="3">
        <v>44934</v>
      </c>
      <c r="T448" s="3">
        <v>44940</v>
      </c>
      <c r="U448" s="2" t="s">
        <v>19</v>
      </c>
      <c r="V448" s="2" t="s">
        <v>44</v>
      </c>
      <c r="W448" s="2" t="s">
        <v>20</v>
      </c>
      <c r="X448" s="2" t="s">
        <v>38</v>
      </c>
      <c r="Y448" s="2" t="s">
        <v>55</v>
      </c>
      <c r="Z448" s="2" t="s">
        <v>56</v>
      </c>
      <c r="AA448" s="2" t="s">
        <v>36</v>
      </c>
      <c r="AB448" s="2">
        <v>5</v>
      </c>
      <c r="AC448" s="2">
        <v>3593.46</v>
      </c>
    </row>
    <row r="449" spans="17:29" x14ac:dyDescent="0.3">
      <c r="Q449" s="2">
        <v>10374</v>
      </c>
      <c r="R449" s="2">
        <v>1036</v>
      </c>
      <c r="S449" s="3">
        <v>45136</v>
      </c>
      <c r="T449" s="3">
        <v>45141</v>
      </c>
      <c r="U449" s="2" t="s">
        <v>40</v>
      </c>
      <c r="V449" s="2" t="s">
        <v>19</v>
      </c>
      <c r="W449" s="2" t="s">
        <v>20</v>
      </c>
      <c r="X449" s="2" t="s">
        <v>45</v>
      </c>
      <c r="Y449" s="2" t="s">
        <v>60</v>
      </c>
      <c r="Z449" s="2" t="s">
        <v>61</v>
      </c>
      <c r="AA449" s="2" t="s">
        <v>36</v>
      </c>
      <c r="AB449" s="2">
        <v>5</v>
      </c>
      <c r="AC449" s="2">
        <v>1651.11</v>
      </c>
    </row>
    <row r="450" spans="17:29" x14ac:dyDescent="0.3">
      <c r="Q450" s="2">
        <v>10398</v>
      </c>
      <c r="R450" s="2">
        <v>1226</v>
      </c>
      <c r="S450" s="3">
        <v>44938</v>
      </c>
      <c r="T450" s="3">
        <v>44943</v>
      </c>
      <c r="U450" s="2" t="s">
        <v>25</v>
      </c>
      <c r="V450" s="2" t="s">
        <v>32</v>
      </c>
      <c r="W450" s="2" t="s">
        <v>20</v>
      </c>
      <c r="X450" s="2" t="s">
        <v>47</v>
      </c>
      <c r="Y450" s="2" t="s">
        <v>52</v>
      </c>
      <c r="Z450" s="2" t="s">
        <v>66</v>
      </c>
      <c r="AA450" s="2" t="s">
        <v>36</v>
      </c>
      <c r="AB450" s="2">
        <v>5</v>
      </c>
      <c r="AC450" s="2">
        <v>3245.77</v>
      </c>
    </row>
    <row r="451" spans="17:29" x14ac:dyDescent="0.3">
      <c r="Q451" s="2">
        <v>10003</v>
      </c>
      <c r="R451" s="2">
        <v>1860</v>
      </c>
      <c r="S451" s="3">
        <v>45109</v>
      </c>
      <c r="T451" s="3">
        <v>45114</v>
      </c>
      <c r="U451" s="2" t="s">
        <v>18</v>
      </c>
      <c r="V451" s="2" t="s">
        <v>32</v>
      </c>
      <c r="W451" s="2" t="s">
        <v>33</v>
      </c>
      <c r="X451" s="2" t="s">
        <v>28</v>
      </c>
      <c r="Y451" s="2" t="s">
        <v>34</v>
      </c>
      <c r="Z451" s="2" t="s">
        <v>35</v>
      </c>
      <c r="AA451" s="2" t="s">
        <v>36</v>
      </c>
      <c r="AB451" s="2">
        <v>6</v>
      </c>
      <c r="AC451" s="2">
        <v>3474.34</v>
      </c>
    </row>
    <row r="452" spans="17:29" x14ac:dyDescent="0.3">
      <c r="Q452" s="2">
        <v>10011</v>
      </c>
      <c r="R452" s="2">
        <v>1466</v>
      </c>
      <c r="S452" s="3">
        <v>45098</v>
      </c>
      <c r="T452" s="3">
        <v>45106</v>
      </c>
      <c r="U452" s="2" t="s">
        <v>37</v>
      </c>
      <c r="V452" s="2" t="s">
        <v>41</v>
      </c>
      <c r="W452" s="2" t="s">
        <v>20</v>
      </c>
      <c r="X452" s="2" t="s">
        <v>38</v>
      </c>
      <c r="Y452" s="2" t="s">
        <v>52</v>
      </c>
      <c r="Z452" s="2" t="s">
        <v>53</v>
      </c>
      <c r="AA452" s="2" t="s">
        <v>36</v>
      </c>
      <c r="AB452" s="2">
        <v>6</v>
      </c>
      <c r="AC452" s="2">
        <v>3205.25</v>
      </c>
    </row>
    <row r="453" spans="17:29" x14ac:dyDescent="0.3">
      <c r="Q453" s="2">
        <v>10028</v>
      </c>
      <c r="R453" s="2">
        <v>1385</v>
      </c>
      <c r="S453" s="3">
        <v>45164</v>
      </c>
      <c r="T453" s="3">
        <v>45172</v>
      </c>
      <c r="U453" s="2" t="s">
        <v>43</v>
      </c>
      <c r="V453" s="2" t="s">
        <v>26</v>
      </c>
      <c r="W453" s="2" t="s">
        <v>27</v>
      </c>
      <c r="X453" s="2" t="s">
        <v>28</v>
      </c>
      <c r="Y453" s="2" t="s">
        <v>52</v>
      </c>
      <c r="Z453" s="2" t="s">
        <v>54</v>
      </c>
      <c r="AA453" s="2" t="s">
        <v>36</v>
      </c>
      <c r="AB453" s="2">
        <v>6</v>
      </c>
      <c r="AC453" s="2">
        <v>3206.63</v>
      </c>
    </row>
    <row r="454" spans="17:29" x14ac:dyDescent="0.3">
      <c r="Q454" s="2">
        <v>10069</v>
      </c>
      <c r="R454" s="2">
        <v>1013</v>
      </c>
      <c r="S454" s="3">
        <v>45288</v>
      </c>
      <c r="T454" s="3">
        <v>45296</v>
      </c>
      <c r="U454" s="2" t="s">
        <v>18</v>
      </c>
      <c r="V454" s="2" t="s">
        <v>26</v>
      </c>
      <c r="W454" s="2" t="s">
        <v>20</v>
      </c>
      <c r="X454" s="2" t="s">
        <v>47</v>
      </c>
      <c r="Y454" s="2" t="s">
        <v>60</v>
      </c>
      <c r="Z454" s="2" t="s">
        <v>65</v>
      </c>
      <c r="AA454" s="2" t="s">
        <v>36</v>
      </c>
      <c r="AB454" s="2">
        <v>6</v>
      </c>
      <c r="AC454" s="2">
        <v>1836.98</v>
      </c>
    </row>
    <row r="455" spans="17:29" x14ac:dyDescent="0.3">
      <c r="Q455" s="2">
        <v>10136</v>
      </c>
      <c r="R455" s="2">
        <v>1520</v>
      </c>
      <c r="S455" s="3">
        <v>45180</v>
      </c>
      <c r="T455" s="3">
        <v>45181</v>
      </c>
      <c r="U455" s="2" t="s">
        <v>49</v>
      </c>
      <c r="V455" s="2" t="s">
        <v>26</v>
      </c>
      <c r="W455" s="2" t="s">
        <v>20</v>
      </c>
      <c r="X455" s="2" t="s">
        <v>28</v>
      </c>
      <c r="Y455" s="2" t="s">
        <v>34</v>
      </c>
      <c r="Z455" s="2" t="s">
        <v>42</v>
      </c>
      <c r="AA455" s="2" t="s">
        <v>36</v>
      </c>
      <c r="AB455" s="2">
        <v>6</v>
      </c>
      <c r="AC455" s="2">
        <v>1809.29</v>
      </c>
    </row>
    <row r="456" spans="17:29" x14ac:dyDescent="0.3">
      <c r="Q456" s="2">
        <v>10241</v>
      </c>
      <c r="R456" s="2">
        <v>1282</v>
      </c>
      <c r="S456" s="3">
        <v>45046</v>
      </c>
      <c r="T456" s="3">
        <v>45049</v>
      </c>
      <c r="U456" s="2" t="s">
        <v>43</v>
      </c>
      <c r="V456" s="2" t="s">
        <v>44</v>
      </c>
      <c r="W456" s="2" t="s">
        <v>33</v>
      </c>
      <c r="X456" s="2" t="s">
        <v>21</v>
      </c>
      <c r="Y456" s="2" t="s">
        <v>22</v>
      </c>
      <c r="Z456" s="2" t="s">
        <v>72</v>
      </c>
      <c r="AA456" s="2" t="s">
        <v>36</v>
      </c>
      <c r="AB456" s="2">
        <v>6</v>
      </c>
      <c r="AC456" s="2">
        <v>1861.43</v>
      </c>
    </row>
    <row r="457" spans="17:29" x14ac:dyDescent="0.3">
      <c r="Q457" s="2">
        <v>10170</v>
      </c>
      <c r="R457" s="2">
        <v>1725</v>
      </c>
      <c r="S457" s="3">
        <v>45044</v>
      </c>
      <c r="T457" s="3">
        <v>45048</v>
      </c>
      <c r="U457" s="2" t="s">
        <v>40</v>
      </c>
      <c r="V457" s="2" t="s">
        <v>19</v>
      </c>
      <c r="W457" s="2" t="s">
        <v>27</v>
      </c>
      <c r="X457" s="2" t="s">
        <v>21</v>
      </c>
      <c r="Y457" s="2" t="s">
        <v>34</v>
      </c>
      <c r="Z457" s="2" t="s">
        <v>68</v>
      </c>
      <c r="AA457" s="2" t="s">
        <v>36</v>
      </c>
      <c r="AB457" s="2">
        <v>7</v>
      </c>
      <c r="AC457" s="2">
        <v>2964.96</v>
      </c>
    </row>
    <row r="458" spans="17:29" x14ac:dyDescent="0.3">
      <c r="Q458" s="2">
        <v>10263</v>
      </c>
      <c r="R458" s="2">
        <v>1671</v>
      </c>
      <c r="S458" s="3">
        <v>45053</v>
      </c>
      <c r="T458" s="3">
        <v>45059</v>
      </c>
      <c r="U458" s="2" t="s">
        <v>43</v>
      </c>
      <c r="V458" s="2" t="s">
        <v>41</v>
      </c>
      <c r="W458" s="2" t="s">
        <v>33</v>
      </c>
      <c r="X458" s="2" t="s">
        <v>38</v>
      </c>
      <c r="Y458" s="2" t="s">
        <v>52</v>
      </c>
      <c r="Z458" s="2" t="s">
        <v>66</v>
      </c>
      <c r="AA458" s="2" t="s">
        <v>36</v>
      </c>
      <c r="AB458" s="2">
        <v>7</v>
      </c>
      <c r="AC458" s="2">
        <v>2165.86</v>
      </c>
    </row>
    <row r="459" spans="17:29" x14ac:dyDescent="0.3">
      <c r="Q459" s="2">
        <v>10409</v>
      </c>
      <c r="R459" s="2">
        <v>1705</v>
      </c>
      <c r="S459" s="3">
        <v>45028</v>
      </c>
      <c r="T459" s="3">
        <v>45034</v>
      </c>
      <c r="U459" s="2" t="s">
        <v>40</v>
      </c>
      <c r="V459" s="2" t="s">
        <v>19</v>
      </c>
      <c r="W459" s="2" t="s">
        <v>27</v>
      </c>
      <c r="X459" s="2" t="s">
        <v>21</v>
      </c>
      <c r="Y459" s="2" t="s">
        <v>34</v>
      </c>
      <c r="Z459" s="2" t="s">
        <v>42</v>
      </c>
      <c r="AA459" s="2" t="s">
        <v>36</v>
      </c>
      <c r="AB459" s="2">
        <v>7</v>
      </c>
      <c r="AC459" s="2">
        <v>1020.23</v>
      </c>
    </row>
    <row r="460" spans="17:29" x14ac:dyDescent="0.3">
      <c r="Q460" s="2">
        <v>10448</v>
      </c>
      <c r="R460" s="2">
        <v>1225</v>
      </c>
      <c r="S460" s="3">
        <v>45240</v>
      </c>
      <c r="T460" s="3">
        <v>45247</v>
      </c>
      <c r="U460" s="2" t="s">
        <v>43</v>
      </c>
      <c r="V460" s="2" t="s">
        <v>41</v>
      </c>
      <c r="W460" s="2" t="s">
        <v>33</v>
      </c>
      <c r="X460" s="2" t="s">
        <v>21</v>
      </c>
      <c r="Y460" s="2" t="s">
        <v>22</v>
      </c>
      <c r="Z460" s="2" t="s">
        <v>23</v>
      </c>
      <c r="AA460" s="2" t="s">
        <v>36</v>
      </c>
      <c r="AB460" s="2">
        <v>7</v>
      </c>
      <c r="AC460" s="2">
        <v>2568.2600000000002</v>
      </c>
    </row>
    <row r="461" spans="17:29" x14ac:dyDescent="0.3">
      <c r="Q461" s="2">
        <v>10482</v>
      </c>
      <c r="R461" s="2">
        <v>1606</v>
      </c>
      <c r="S461" s="3">
        <v>45153</v>
      </c>
      <c r="T461" s="3">
        <v>45162</v>
      </c>
      <c r="U461" s="2" t="s">
        <v>37</v>
      </c>
      <c r="V461" s="2" t="s">
        <v>57</v>
      </c>
      <c r="W461" s="2" t="s">
        <v>27</v>
      </c>
      <c r="X461" s="2" t="s">
        <v>28</v>
      </c>
      <c r="Y461" s="2" t="s">
        <v>60</v>
      </c>
      <c r="Z461" s="2" t="s">
        <v>69</v>
      </c>
      <c r="AA461" s="2" t="s">
        <v>36</v>
      </c>
      <c r="AB461" s="2">
        <v>7</v>
      </c>
      <c r="AC461" s="2">
        <v>2172.2399999999998</v>
      </c>
    </row>
    <row r="462" spans="17:29" x14ac:dyDescent="0.3">
      <c r="Q462" s="2">
        <v>10059</v>
      </c>
      <c r="R462" s="2">
        <v>1484</v>
      </c>
      <c r="S462" s="3">
        <v>44945</v>
      </c>
      <c r="T462" s="3">
        <v>44950</v>
      </c>
      <c r="U462" s="2" t="s">
        <v>43</v>
      </c>
      <c r="V462" s="2" t="s">
        <v>44</v>
      </c>
      <c r="W462" s="2" t="s">
        <v>27</v>
      </c>
      <c r="X462" s="2" t="s">
        <v>45</v>
      </c>
      <c r="Y462" s="2" t="s">
        <v>55</v>
      </c>
      <c r="Z462" s="2" t="s">
        <v>67</v>
      </c>
      <c r="AA462" s="2" t="s">
        <v>36</v>
      </c>
      <c r="AB462" s="2">
        <v>8</v>
      </c>
      <c r="AC462" s="2">
        <v>2122.36</v>
      </c>
    </row>
    <row r="463" spans="17:29" x14ac:dyDescent="0.3">
      <c r="Q463" s="2">
        <v>10119</v>
      </c>
      <c r="R463" s="2">
        <v>1337</v>
      </c>
      <c r="S463" s="3">
        <v>44964</v>
      </c>
      <c r="T463" s="3">
        <v>44970</v>
      </c>
      <c r="U463" s="2" t="s">
        <v>19</v>
      </c>
      <c r="V463" s="2" t="s">
        <v>41</v>
      </c>
      <c r="W463" s="2" t="s">
        <v>20</v>
      </c>
      <c r="X463" s="2" t="s">
        <v>38</v>
      </c>
      <c r="Y463" s="2" t="s">
        <v>34</v>
      </c>
      <c r="Z463" s="2" t="s">
        <v>35</v>
      </c>
      <c r="AA463" s="2" t="s">
        <v>36</v>
      </c>
      <c r="AB463" s="2">
        <v>8</v>
      </c>
      <c r="AC463" s="2">
        <v>3339.68</v>
      </c>
    </row>
    <row r="464" spans="17:29" x14ac:dyDescent="0.3">
      <c r="Q464" s="2">
        <v>10144</v>
      </c>
      <c r="R464" s="2">
        <v>1592</v>
      </c>
      <c r="S464" s="3">
        <v>45231</v>
      </c>
      <c r="T464" s="3">
        <v>45234</v>
      </c>
      <c r="U464" s="2" t="s">
        <v>43</v>
      </c>
      <c r="V464" s="2" t="s">
        <v>57</v>
      </c>
      <c r="W464" s="2" t="s">
        <v>33</v>
      </c>
      <c r="X464" s="2" t="s">
        <v>21</v>
      </c>
      <c r="Y464" s="2" t="s">
        <v>22</v>
      </c>
      <c r="Z464" s="2" t="s">
        <v>58</v>
      </c>
      <c r="AA464" s="2" t="s">
        <v>36</v>
      </c>
      <c r="AB464" s="2">
        <v>8</v>
      </c>
      <c r="AC464" s="2">
        <v>3138.72</v>
      </c>
    </row>
    <row r="465" spans="17:29" x14ac:dyDescent="0.3">
      <c r="Q465" s="2">
        <v>10149</v>
      </c>
      <c r="R465" s="2">
        <v>1378</v>
      </c>
      <c r="S465" s="3">
        <v>45002</v>
      </c>
      <c r="T465" s="3">
        <v>45010</v>
      </c>
      <c r="U465" s="2" t="s">
        <v>25</v>
      </c>
      <c r="V465" s="2" t="s">
        <v>26</v>
      </c>
      <c r="W465" s="2" t="s">
        <v>33</v>
      </c>
      <c r="X465" s="2" t="s">
        <v>45</v>
      </c>
      <c r="Y465" s="2" t="s">
        <v>60</v>
      </c>
      <c r="Z465" s="2" t="s">
        <v>65</v>
      </c>
      <c r="AA465" s="2" t="s">
        <v>36</v>
      </c>
      <c r="AB465" s="2">
        <v>8</v>
      </c>
      <c r="AC465" s="2">
        <v>2938.3</v>
      </c>
    </row>
    <row r="466" spans="17:29" x14ac:dyDescent="0.3">
      <c r="Q466" s="2">
        <v>10157</v>
      </c>
      <c r="R466" s="2">
        <v>1839</v>
      </c>
      <c r="S466" s="3">
        <v>45154</v>
      </c>
      <c r="T466" s="3">
        <v>45161</v>
      </c>
      <c r="U466" s="2" t="s">
        <v>19</v>
      </c>
      <c r="V466" s="2" t="s">
        <v>26</v>
      </c>
      <c r="W466" s="2" t="s">
        <v>33</v>
      </c>
      <c r="X466" s="2" t="s">
        <v>28</v>
      </c>
      <c r="Y466" s="2" t="s">
        <v>22</v>
      </c>
      <c r="Z466" s="2" t="s">
        <v>23</v>
      </c>
      <c r="AA466" s="2" t="s">
        <v>36</v>
      </c>
      <c r="AB466" s="2">
        <v>8</v>
      </c>
      <c r="AC466" s="2">
        <v>1054.73</v>
      </c>
    </row>
    <row r="467" spans="17:29" x14ac:dyDescent="0.3">
      <c r="Q467" s="2">
        <v>10161</v>
      </c>
      <c r="R467" s="2">
        <v>1047</v>
      </c>
      <c r="S467" s="3">
        <v>45109</v>
      </c>
      <c r="T467" s="3">
        <v>45111</v>
      </c>
      <c r="U467" s="2" t="s">
        <v>49</v>
      </c>
      <c r="V467" s="2" t="s">
        <v>44</v>
      </c>
      <c r="W467" s="2" t="s">
        <v>20</v>
      </c>
      <c r="X467" s="2" t="s">
        <v>38</v>
      </c>
      <c r="Y467" s="2" t="s">
        <v>22</v>
      </c>
      <c r="Z467" s="2" t="s">
        <v>23</v>
      </c>
      <c r="AA467" s="2" t="s">
        <v>36</v>
      </c>
      <c r="AB467" s="2">
        <v>8</v>
      </c>
      <c r="AC467" s="2">
        <v>1168.3900000000001</v>
      </c>
    </row>
    <row r="468" spans="17:29" x14ac:dyDescent="0.3">
      <c r="Q468" s="2">
        <v>10162</v>
      </c>
      <c r="R468" s="2">
        <v>1502</v>
      </c>
      <c r="S468" s="3">
        <v>45072</v>
      </c>
      <c r="T468" s="3">
        <v>45074</v>
      </c>
      <c r="U468" s="2" t="s">
        <v>40</v>
      </c>
      <c r="V468" s="2" t="s">
        <v>32</v>
      </c>
      <c r="W468" s="2" t="s">
        <v>27</v>
      </c>
      <c r="X468" s="2" t="s">
        <v>47</v>
      </c>
      <c r="Y468" s="2" t="s">
        <v>60</v>
      </c>
      <c r="Z468" s="2" t="s">
        <v>61</v>
      </c>
      <c r="AA468" s="2" t="s">
        <v>36</v>
      </c>
      <c r="AB468" s="2">
        <v>8</v>
      </c>
      <c r="AC468" s="2">
        <v>1227.5899999999999</v>
      </c>
    </row>
    <row r="469" spans="17:29" x14ac:dyDescent="0.3">
      <c r="Q469" s="2">
        <v>10229</v>
      </c>
      <c r="R469" s="2">
        <v>1797</v>
      </c>
      <c r="S469" s="3">
        <v>44957</v>
      </c>
      <c r="T469" s="3">
        <v>44959</v>
      </c>
      <c r="U469" s="2" t="s">
        <v>19</v>
      </c>
      <c r="V469" s="2" t="s">
        <v>57</v>
      </c>
      <c r="W469" s="2" t="s">
        <v>33</v>
      </c>
      <c r="X469" s="2" t="s">
        <v>47</v>
      </c>
      <c r="Y469" s="2" t="s">
        <v>52</v>
      </c>
      <c r="Z469" s="2" t="s">
        <v>70</v>
      </c>
      <c r="AA469" s="2" t="s">
        <v>36</v>
      </c>
      <c r="AB469" s="2">
        <v>8</v>
      </c>
      <c r="AC469" s="2">
        <v>3519.2</v>
      </c>
    </row>
    <row r="470" spans="17:29" x14ac:dyDescent="0.3">
      <c r="Q470" s="2">
        <v>10266</v>
      </c>
      <c r="R470" s="2">
        <v>1232</v>
      </c>
      <c r="S470" s="3">
        <v>45129</v>
      </c>
      <c r="T470" s="3">
        <v>45134</v>
      </c>
      <c r="U470" s="2" t="s">
        <v>43</v>
      </c>
      <c r="V470" s="2" t="s">
        <v>19</v>
      </c>
      <c r="W470" s="2" t="s">
        <v>33</v>
      </c>
      <c r="X470" s="2" t="s">
        <v>38</v>
      </c>
      <c r="Y470" s="2" t="s">
        <v>29</v>
      </c>
      <c r="Z470" s="2" t="s">
        <v>64</v>
      </c>
      <c r="AA470" s="2" t="s">
        <v>36</v>
      </c>
      <c r="AB470" s="2">
        <v>8</v>
      </c>
      <c r="AC470" s="2">
        <v>2045.09</v>
      </c>
    </row>
    <row r="471" spans="17:29" x14ac:dyDescent="0.3">
      <c r="Q471" s="2">
        <v>10280</v>
      </c>
      <c r="R471" s="2">
        <v>1624</v>
      </c>
      <c r="S471" s="3">
        <v>45144</v>
      </c>
      <c r="T471" s="3">
        <v>45149</v>
      </c>
      <c r="U471" s="2" t="s">
        <v>49</v>
      </c>
      <c r="V471" s="2" t="s">
        <v>44</v>
      </c>
      <c r="W471" s="2" t="s">
        <v>27</v>
      </c>
      <c r="X471" s="2" t="s">
        <v>21</v>
      </c>
      <c r="Y471" s="2" t="s">
        <v>52</v>
      </c>
      <c r="Z471" s="2" t="s">
        <v>70</v>
      </c>
      <c r="AA471" s="2" t="s">
        <v>36</v>
      </c>
      <c r="AB471" s="2">
        <v>8</v>
      </c>
      <c r="AC471" s="2">
        <v>3784.12</v>
      </c>
    </row>
    <row r="472" spans="17:29" x14ac:dyDescent="0.3">
      <c r="Q472" s="2">
        <v>10316</v>
      </c>
      <c r="R472" s="2">
        <v>1197</v>
      </c>
      <c r="S472" s="3">
        <v>45070</v>
      </c>
      <c r="T472" s="3">
        <v>45071</v>
      </c>
      <c r="U472" s="2" t="s">
        <v>49</v>
      </c>
      <c r="V472" s="2" t="s">
        <v>41</v>
      </c>
      <c r="W472" s="2" t="s">
        <v>33</v>
      </c>
      <c r="X472" s="2" t="s">
        <v>21</v>
      </c>
      <c r="Y472" s="2" t="s">
        <v>60</v>
      </c>
      <c r="Z472" s="2" t="s">
        <v>61</v>
      </c>
      <c r="AA472" s="2" t="s">
        <v>36</v>
      </c>
      <c r="AB472" s="2">
        <v>8</v>
      </c>
      <c r="AC472" s="2">
        <v>2429.2600000000002</v>
      </c>
    </row>
    <row r="473" spans="17:29" x14ac:dyDescent="0.3">
      <c r="Q473" s="2">
        <v>10358</v>
      </c>
      <c r="R473" s="2">
        <v>1989</v>
      </c>
      <c r="S473" s="3">
        <v>45015</v>
      </c>
      <c r="T473" s="3">
        <v>45019</v>
      </c>
      <c r="U473" s="2" t="s">
        <v>18</v>
      </c>
      <c r="V473" s="2" t="s">
        <v>32</v>
      </c>
      <c r="W473" s="2" t="s">
        <v>33</v>
      </c>
      <c r="X473" s="2" t="s">
        <v>38</v>
      </c>
      <c r="Y473" s="2" t="s">
        <v>60</v>
      </c>
      <c r="Z473" s="2" t="s">
        <v>61</v>
      </c>
      <c r="AA473" s="2" t="s">
        <v>36</v>
      </c>
      <c r="AB473" s="2">
        <v>8</v>
      </c>
      <c r="AC473" s="2">
        <v>3581.12</v>
      </c>
    </row>
    <row r="474" spans="17:29" x14ac:dyDescent="0.3">
      <c r="Q474" s="2">
        <v>10387</v>
      </c>
      <c r="R474" s="2">
        <v>1672</v>
      </c>
      <c r="S474" s="3">
        <v>45055</v>
      </c>
      <c r="T474" s="3">
        <v>45062</v>
      </c>
      <c r="U474" s="2" t="s">
        <v>49</v>
      </c>
      <c r="V474" s="2" t="s">
        <v>32</v>
      </c>
      <c r="W474" s="2" t="s">
        <v>27</v>
      </c>
      <c r="X474" s="2" t="s">
        <v>45</v>
      </c>
      <c r="Y474" s="2" t="s">
        <v>34</v>
      </c>
      <c r="Z474" s="2" t="s">
        <v>35</v>
      </c>
      <c r="AA474" s="2" t="s">
        <v>36</v>
      </c>
      <c r="AB474" s="2">
        <v>8</v>
      </c>
      <c r="AC474" s="2">
        <v>1375.47</v>
      </c>
    </row>
    <row r="475" spans="17:29" x14ac:dyDescent="0.3">
      <c r="Q475" s="2">
        <v>10418</v>
      </c>
      <c r="R475" s="2">
        <v>1800</v>
      </c>
      <c r="S475" s="3">
        <v>45279</v>
      </c>
      <c r="T475" s="3">
        <v>45280</v>
      </c>
      <c r="U475" s="2" t="s">
        <v>43</v>
      </c>
      <c r="V475" s="2" t="s">
        <v>57</v>
      </c>
      <c r="W475" s="2" t="s">
        <v>27</v>
      </c>
      <c r="X475" s="2" t="s">
        <v>38</v>
      </c>
      <c r="Y475" s="2" t="s">
        <v>55</v>
      </c>
      <c r="Z475" s="2" t="s">
        <v>59</v>
      </c>
      <c r="AA475" s="2" t="s">
        <v>36</v>
      </c>
      <c r="AB475" s="2">
        <v>8</v>
      </c>
      <c r="AC475" s="2">
        <v>3905.57</v>
      </c>
    </row>
    <row r="476" spans="17:29" x14ac:dyDescent="0.3">
      <c r="Q476" s="2">
        <v>10489</v>
      </c>
      <c r="R476" s="2">
        <v>1980</v>
      </c>
      <c r="S476" s="3">
        <v>45178</v>
      </c>
      <c r="T476" s="3">
        <v>45187</v>
      </c>
      <c r="U476" s="2" t="s">
        <v>37</v>
      </c>
      <c r="V476" s="2" t="s">
        <v>26</v>
      </c>
      <c r="W476" s="2" t="s">
        <v>27</v>
      </c>
      <c r="X476" s="2" t="s">
        <v>21</v>
      </c>
      <c r="Y476" s="2" t="s">
        <v>60</v>
      </c>
      <c r="Z476" s="2" t="s">
        <v>65</v>
      </c>
      <c r="AA476" s="2" t="s">
        <v>36</v>
      </c>
      <c r="AB476" s="2">
        <v>8</v>
      </c>
      <c r="AC476" s="2">
        <v>2536.88</v>
      </c>
    </row>
    <row r="477" spans="17:29" x14ac:dyDescent="0.3">
      <c r="Q477" s="2">
        <v>10057</v>
      </c>
      <c r="R477" s="2">
        <v>1504</v>
      </c>
      <c r="S477" s="3">
        <v>45117</v>
      </c>
      <c r="T477" s="3">
        <v>45122</v>
      </c>
      <c r="U477" s="2" t="s">
        <v>40</v>
      </c>
      <c r="V477" s="2" t="s">
        <v>32</v>
      </c>
      <c r="W477" s="2" t="s">
        <v>20</v>
      </c>
      <c r="X477" s="2" t="s">
        <v>28</v>
      </c>
      <c r="Y477" s="2" t="s">
        <v>60</v>
      </c>
      <c r="Z477" s="2" t="s">
        <v>61</v>
      </c>
      <c r="AA477" s="2" t="s">
        <v>36</v>
      </c>
      <c r="AB477" s="2">
        <v>9</v>
      </c>
      <c r="AC477" s="2">
        <v>1012.33</v>
      </c>
    </row>
    <row r="478" spans="17:29" x14ac:dyDescent="0.3">
      <c r="Q478" s="2">
        <v>10093</v>
      </c>
      <c r="R478" s="2">
        <v>1565</v>
      </c>
      <c r="S478" s="3">
        <v>44980</v>
      </c>
      <c r="T478" s="3">
        <v>44982</v>
      </c>
      <c r="U478" s="2" t="s">
        <v>43</v>
      </c>
      <c r="V478" s="2" t="s">
        <v>32</v>
      </c>
      <c r="W478" s="2" t="s">
        <v>20</v>
      </c>
      <c r="X478" s="2" t="s">
        <v>45</v>
      </c>
      <c r="Y478" s="2" t="s">
        <v>55</v>
      </c>
      <c r="Z478" s="2" t="s">
        <v>59</v>
      </c>
      <c r="AA478" s="2" t="s">
        <v>36</v>
      </c>
      <c r="AB478" s="2">
        <v>9</v>
      </c>
      <c r="AC478" s="2">
        <v>1938.76</v>
      </c>
    </row>
    <row r="479" spans="17:29" x14ac:dyDescent="0.3">
      <c r="Q479" s="2">
        <v>10291</v>
      </c>
      <c r="R479" s="2">
        <v>1735</v>
      </c>
      <c r="S479" s="3">
        <v>45007</v>
      </c>
      <c r="T479" s="3">
        <v>45008</v>
      </c>
      <c r="U479" s="2" t="s">
        <v>18</v>
      </c>
      <c r="V479" s="2" t="s">
        <v>57</v>
      </c>
      <c r="W479" s="2" t="s">
        <v>27</v>
      </c>
      <c r="X479" s="2" t="s">
        <v>28</v>
      </c>
      <c r="Y479" s="2" t="s">
        <v>55</v>
      </c>
      <c r="Z479" s="2" t="s">
        <v>56</v>
      </c>
      <c r="AA479" s="2" t="s">
        <v>36</v>
      </c>
      <c r="AB479" s="2">
        <v>9</v>
      </c>
      <c r="AC479" s="2">
        <v>2661.11</v>
      </c>
    </row>
    <row r="480" spans="17:29" x14ac:dyDescent="0.3">
      <c r="Q480" s="2">
        <v>10324</v>
      </c>
      <c r="R480" s="2">
        <v>1123</v>
      </c>
      <c r="S480" s="3">
        <v>45064</v>
      </c>
      <c r="T480" s="3">
        <v>45070</v>
      </c>
      <c r="U480" s="2" t="s">
        <v>49</v>
      </c>
      <c r="V480" s="2" t="s">
        <v>44</v>
      </c>
      <c r="W480" s="2" t="s">
        <v>27</v>
      </c>
      <c r="X480" s="2" t="s">
        <v>47</v>
      </c>
      <c r="Y480" s="2" t="s">
        <v>60</v>
      </c>
      <c r="Z480" s="2" t="s">
        <v>61</v>
      </c>
      <c r="AA480" s="2" t="s">
        <v>36</v>
      </c>
      <c r="AB480" s="2">
        <v>9</v>
      </c>
      <c r="AC480" s="2">
        <v>3472.58</v>
      </c>
    </row>
    <row r="481" spans="17:29" x14ac:dyDescent="0.3">
      <c r="Q481" s="2">
        <v>10407</v>
      </c>
      <c r="R481" s="2">
        <v>1877</v>
      </c>
      <c r="S481" s="3">
        <v>45088</v>
      </c>
      <c r="T481" s="3">
        <v>45090</v>
      </c>
      <c r="U481" s="2" t="s">
        <v>25</v>
      </c>
      <c r="V481" s="2" t="s">
        <v>26</v>
      </c>
      <c r="W481" s="2" t="s">
        <v>27</v>
      </c>
      <c r="X481" s="2" t="s">
        <v>28</v>
      </c>
      <c r="Y481" s="2" t="s">
        <v>55</v>
      </c>
      <c r="Z481" s="2" t="s">
        <v>56</v>
      </c>
      <c r="AA481" s="2" t="s">
        <v>36</v>
      </c>
      <c r="AB481" s="2">
        <v>9</v>
      </c>
      <c r="AC481" s="2">
        <v>3216.56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9C0-0F56-4028-A616-2803E80EA5DF}">
  <dimension ref="A1:AA122"/>
  <sheetViews>
    <sheetView topLeftCell="H1" workbookViewId="0">
      <selection activeCell="O12" sqref="O1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7.109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21" max="21" width="1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 s="2">
        <v>10102</v>
      </c>
      <c r="B2" s="2">
        <v>1161</v>
      </c>
      <c r="C2" s="3">
        <v>44996</v>
      </c>
      <c r="D2" s="3">
        <v>45002</v>
      </c>
      <c r="E2" s="2" t="s">
        <v>40</v>
      </c>
      <c r="F2" s="13" t="s">
        <v>57</v>
      </c>
      <c r="G2" s="2" t="s">
        <v>33</v>
      </c>
      <c r="H2" s="2" t="s">
        <v>28</v>
      </c>
      <c r="I2" s="2" t="s">
        <v>34</v>
      </c>
      <c r="J2" s="2" t="s">
        <v>42</v>
      </c>
      <c r="K2" s="2" t="s">
        <v>24</v>
      </c>
      <c r="L2" s="2">
        <v>2</v>
      </c>
      <c r="M2" s="2">
        <v>1859.03</v>
      </c>
      <c r="O2" s="2">
        <v>10020</v>
      </c>
      <c r="P2" s="2">
        <v>1130</v>
      </c>
      <c r="Q2" s="3">
        <v>45194</v>
      </c>
      <c r="R2" s="3">
        <v>45203</v>
      </c>
      <c r="S2" s="2" t="s">
        <v>49</v>
      </c>
      <c r="T2" s="13" t="s">
        <v>41</v>
      </c>
      <c r="U2" s="2" t="s">
        <v>20</v>
      </c>
      <c r="V2" s="2" t="s">
        <v>21</v>
      </c>
      <c r="W2" s="2" t="s">
        <v>52</v>
      </c>
      <c r="X2" s="2" t="s">
        <v>54</v>
      </c>
      <c r="Y2" s="2" t="s">
        <v>24</v>
      </c>
      <c r="Z2" s="2">
        <v>2</v>
      </c>
      <c r="AA2" s="2">
        <v>3959.31</v>
      </c>
    </row>
    <row r="3" spans="1:27" x14ac:dyDescent="0.3">
      <c r="A3" s="2">
        <v>10027</v>
      </c>
      <c r="B3" s="2">
        <v>1805</v>
      </c>
      <c r="C3" s="3">
        <v>45286</v>
      </c>
      <c r="D3" s="3">
        <v>45290</v>
      </c>
      <c r="E3" s="2" t="s">
        <v>40</v>
      </c>
      <c r="F3" s="2" t="s">
        <v>44</v>
      </c>
      <c r="G3" s="2" t="s">
        <v>27</v>
      </c>
      <c r="H3" s="2" t="s">
        <v>38</v>
      </c>
      <c r="I3" s="2" t="s">
        <v>60</v>
      </c>
      <c r="J3" s="2" t="s">
        <v>61</v>
      </c>
      <c r="K3" s="2" t="s">
        <v>24</v>
      </c>
      <c r="L3" s="2">
        <v>3</v>
      </c>
      <c r="M3" s="2">
        <v>3599.15</v>
      </c>
      <c r="O3" s="2">
        <v>10073</v>
      </c>
      <c r="P3" s="2">
        <v>1564</v>
      </c>
      <c r="Q3" s="3">
        <v>45055</v>
      </c>
      <c r="R3" s="3">
        <v>45063</v>
      </c>
      <c r="S3" s="2" t="s">
        <v>43</v>
      </c>
      <c r="T3" s="13" t="s">
        <v>19</v>
      </c>
      <c r="U3" s="2" t="s">
        <v>20</v>
      </c>
      <c r="V3" s="2" t="s">
        <v>28</v>
      </c>
      <c r="W3" s="2" t="s">
        <v>52</v>
      </c>
      <c r="X3" s="2" t="s">
        <v>70</v>
      </c>
      <c r="Y3" s="2" t="s">
        <v>24</v>
      </c>
      <c r="Z3" s="2">
        <v>1</v>
      </c>
      <c r="AA3" s="2">
        <v>3037.61</v>
      </c>
    </row>
    <row r="4" spans="1:27" x14ac:dyDescent="0.3">
      <c r="A4" s="2">
        <v>10037</v>
      </c>
      <c r="B4" s="2">
        <v>1747</v>
      </c>
      <c r="C4" s="3">
        <v>45161</v>
      </c>
      <c r="D4" s="3">
        <v>45165</v>
      </c>
      <c r="E4" s="2" t="s">
        <v>40</v>
      </c>
      <c r="F4" s="2" t="s">
        <v>19</v>
      </c>
      <c r="G4" s="2" t="s">
        <v>27</v>
      </c>
      <c r="H4" s="2" t="s">
        <v>21</v>
      </c>
      <c r="I4" s="2" t="s">
        <v>22</v>
      </c>
      <c r="J4" s="2" t="s">
        <v>58</v>
      </c>
      <c r="K4" s="2" t="s">
        <v>24</v>
      </c>
      <c r="L4" s="2">
        <v>4</v>
      </c>
      <c r="M4" s="2">
        <v>853.29</v>
      </c>
      <c r="O4" s="2">
        <v>10138</v>
      </c>
      <c r="P4" s="2">
        <v>1128</v>
      </c>
      <c r="Q4" s="3">
        <v>45088</v>
      </c>
      <c r="R4" s="3">
        <v>45093</v>
      </c>
      <c r="S4" s="2" t="s">
        <v>25</v>
      </c>
      <c r="T4" s="13" t="s">
        <v>32</v>
      </c>
      <c r="U4" s="2" t="s">
        <v>20</v>
      </c>
      <c r="V4" s="2" t="s">
        <v>38</v>
      </c>
      <c r="W4" s="2" t="s">
        <v>55</v>
      </c>
      <c r="X4" s="2" t="s">
        <v>56</v>
      </c>
      <c r="Y4" s="2" t="s">
        <v>24</v>
      </c>
      <c r="Z4" s="2">
        <v>1</v>
      </c>
      <c r="AA4" s="2">
        <v>912.67</v>
      </c>
    </row>
    <row r="5" spans="1:27" x14ac:dyDescent="0.3">
      <c r="A5" s="2">
        <v>10112</v>
      </c>
      <c r="B5" s="2">
        <v>1726</v>
      </c>
      <c r="C5" s="3">
        <v>45153</v>
      </c>
      <c r="D5" s="3">
        <v>45154</v>
      </c>
      <c r="E5" s="2" t="s">
        <v>40</v>
      </c>
      <c r="F5" s="2" t="s">
        <v>44</v>
      </c>
      <c r="G5" s="2" t="s">
        <v>33</v>
      </c>
      <c r="H5" s="2" t="s">
        <v>21</v>
      </c>
      <c r="I5" s="2" t="s">
        <v>29</v>
      </c>
      <c r="J5" s="2" t="s">
        <v>39</v>
      </c>
      <c r="K5" s="2" t="s">
        <v>24</v>
      </c>
      <c r="L5" s="2">
        <v>4</v>
      </c>
      <c r="M5" s="2">
        <v>1110.5899999999999</v>
      </c>
      <c r="O5" s="2">
        <v>10232</v>
      </c>
      <c r="P5" s="2">
        <v>1639</v>
      </c>
      <c r="Q5" s="3">
        <v>44962</v>
      </c>
      <c r="R5" s="3">
        <v>44969</v>
      </c>
      <c r="S5" s="2" t="s">
        <v>25</v>
      </c>
      <c r="T5" s="13" t="s">
        <v>32</v>
      </c>
      <c r="U5" s="2" t="s">
        <v>20</v>
      </c>
      <c r="V5" s="2" t="s">
        <v>21</v>
      </c>
      <c r="W5" s="2" t="s">
        <v>60</v>
      </c>
      <c r="X5" s="2" t="s">
        <v>62</v>
      </c>
      <c r="Y5" s="2" t="s">
        <v>24</v>
      </c>
      <c r="Z5" s="2">
        <v>1</v>
      </c>
      <c r="AA5" s="2">
        <v>2250.4899999999998</v>
      </c>
    </row>
    <row r="6" spans="1:27" x14ac:dyDescent="0.3">
      <c r="A6" s="2">
        <v>10127</v>
      </c>
      <c r="B6" s="2">
        <v>1379</v>
      </c>
      <c r="C6" s="3">
        <v>44930</v>
      </c>
      <c r="D6" s="3">
        <v>44935</v>
      </c>
      <c r="E6" s="2" t="s">
        <v>40</v>
      </c>
      <c r="F6" s="2" t="s">
        <v>57</v>
      </c>
      <c r="G6" s="2" t="s">
        <v>27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6</v>
      </c>
      <c r="M6" s="2">
        <v>1846.21</v>
      </c>
      <c r="O6" s="2">
        <v>10350</v>
      </c>
      <c r="P6" s="2">
        <v>1640</v>
      </c>
      <c r="Q6" s="3">
        <v>45180</v>
      </c>
      <c r="R6" s="3">
        <v>45185</v>
      </c>
      <c r="S6" s="2" t="s">
        <v>18</v>
      </c>
      <c r="T6" s="13" t="s">
        <v>44</v>
      </c>
      <c r="U6" s="2" t="s">
        <v>20</v>
      </c>
      <c r="V6" s="2" t="s">
        <v>47</v>
      </c>
      <c r="W6" s="2" t="s">
        <v>60</v>
      </c>
      <c r="X6" s="2" t="s">
        <v>65</v>
      </c>
      <c r="Y6" s="2" t="s">
        <v>24</v>
      </c>
      <c r="Z6" s="2">
        <v>1</v>
      </c>
      <c r="AA6" s="2">
        <v>3708.38</v>
      </c>
    </row>
    <row r="7" spans="1:27" x14ac:dyDescent="0.3">
      <c r="A7" s="2">
        <v>10216</v>
      </c>
      <c r="B7" s="2">
        <v>1085</v>
      </c>
      <c r="C7" s="3">
        <v>45221</v>
      </c>
      <c r="D7" s="3">
        <v>45227</v>
      </c>
      <c r="E7" s="2" t="s">
        <v>40</v>
      </c>
      <c r="F7" s="2" t="s">
        <v>26</v>
      </c>
      <c r="G7" s="2" t="s">
        <v>27</v>
      </c>
      <c r="H7" s="2" t="s">
        <v>21</v>
      </c>
      <c r="I7" s="2" t="s">
        <v>60</v>
      </c>
      <c r="J7" s="2" t="s">
        <v>69</v>
      </c>
      <c r="K7" s="2" t="s">
        <v>24</v>
      </c>
      <c r="L7" s="2">
        <v>6</v>
      </c>
      <c r="M7" s="2">
        <v>809.49</v>
      </c>
      <c r="O7" s="2">
        <v>10305</v>
      </c>
      <c r="P7" s="2">
        <v>1438</v>
      </c>
      <c r="Q7" s="3">
        <v>44991</v>
      </c>
      <c r="R7" s="3">
        <v>44993</v>
      </c>
      <c r="S7" s="2" t="s">
        <v>49</v>
      </c>
      <c r="T7" s="2" t="s">
        <v>44</v>
      </c>
      <c r="U7" s="2" t="s">
        <v>20</v>
      </c>
      <c r="V7" s="2" t="s">
        <v>38</v>
      </c>
      <c r="W7" s="2" t="s">
        <v>34</v>
      </c>
      <c r="X7" s="2" t="s">
        <v>51</v>
      </c>
      <c r="Y7" s="2" t="s">
        <v>24</v>
      </c>
      <c r="Z7" s="2">
        <v>2</v>
      </c>
      <c r="AA7" s="2">
        <v>3256.02</v>
      </c>
    </row>
    <row r="8" spans="1:27" x14ac:dyDescent="0.3">
      <c r="A8" s="2">
        <v>10303</v>
      </c>
      <c r="B8" s="2">
        <v>1246</v>
      </c>
      <c r="C8" s="3">
        <v>45124</v>
      </c>
      <c r="D8" s="3">
        <v>45125</v>
      </c>
      <c r="E8" s="2" t="s">
        <v>40</v>
      </c>
      <c r="F8" s="2" t="s">
        <v>32</v>
      </c>
      <c r="G8" s="2" t="s">
        <v>20</v>
      </c>
      <c r="H8" s="2" t="s">
        <v>28</v>
      </c>
      <c r="I8" s="2" t="s">
        <v>60</v>
      </c>
      <c r="J8" s="2" t="s">
        <v>69</v>
      </c>
      <c r="K8" s="2" t="s">
        <v>24</v>
      </c>
      <c r="L8" s="2">
        <v>6</v>
      </c>
      <c r="M8" s="2">
        <v>257.2</v>
      </c>
      <c r="O8" s="2">
        <v>10332</v>
      </c>
      <c r="P8" s="2">
        <v>1954</v>
      </c>
      <c r="Q8" s="3">
        <v>44946</v>
      </c>
      <c r="R8" s="3">
        <v>44955</v>
      </c>
      <c r="S8" s="2" t="s">
        <v>18</v>
      </c>
      <c r="T8" s="2" t="s">
        <v>26</v>
      </c>
      <c r="U8" s="2" t="s">
        <v>20</v>
      </c>
      <c r="V8" s="2" t="s">
        <v>45</v>
      </c>
      <c r="W8" s="2" t="s">
        <v>60</v>
      </c>
      <c r="X8" s="2" t="s">
        <v>69</v>
      </c>
      <c r="Y8" s="2" t="s">
        <v>24</v>
      </c>
      <c r="Z8" s="2">
        <v>2</v>
      </c>
      <c r="AA8" s="2">
        <v>1335.36</v>
      </c>
    </row>
    <row r="9" spans="1:27" x14ac:dyDescent="0.3">
      <c r="A9" s="2">
        <v>10005</v>
      </c>
      <c r="B9" s="2">
        <v>1106</v>
      </c>
      <c r="C9" s="3">
        <v>45241</v>
      </c>
      <c r="D9" s="3">
        <v>45244</v>
      </c>
      <c r="E9" s="2" t="s">
        <v>40</v>
      </c>
      <c r="F9" s="2" t="s">
        <v>41</v>
      </c>
      <c r="G9" s="2" t="s">
        <v>33</v>
      </c>
      <c r="H9" s="2" t="s">
        <v>21</v>
      </c>
      <c r="I9" s="2" t="s">
        <v>34</v>
      </c>
      <c r="J9" s="2" t="s">
        <v>42</v>
      </c>
      <c r="K9" s="2" t="s">
        <v>24</v>
      </c>
      <c r="L9" s="2">
        <v>7</v>
      </c>
      <c r="M9" s="2">
        <v>3511.47</v>
      </c>
      <c r="O9" s="2">
        <v>10188</v>
      </c>
      <c r="P9" s="2">
        <v>1206</v>
      </c>
      <c r="Q9" s="3">
        <v>45064</v>
      </c>
      <c r="R9" s="3">
        <v>45070</v>
      </c>
      <c r="S9" s="2" t="s">
        <v>43</v>
      </c>
      <c r="T9" s="2" t="s">
        <v>57</v>
      </c>
      <c r="U9" s="2" t="s">
        <v>20</v>
      </c>
      <c r="V9" s="2" t="s">
        <v>28</v>
      </c>
      <c r="W9" s="2" t="s">
        <v>55</v>
      </c>
      <c r="X9" s="2" t="s">
        <v>56</v>
      </c>
      <c r="Y9" s="2" t="s">
        <v>24</v>
      </c>
      <c r="Z9" s="2">
        <v>3</v>
      </c>
      <c r="AA9" s="2">
        <v>778.85</v>
      </c>
    </row>
    <row r="10" spans="1:27" x14ac:dyDescent="0.3">
      <c r="A10" s="2">
        <v>10143</v>
      </c>
      <c r="B10" s="2">
        <v>1498</v>
      </c>
      <c r="C10" s="3">
        <v>44986</v>
      </c>
      <c r="D10" s="3">
        <v>44993</v>
      </c>
      <c r="E10" s="2" t="s">
        <v>40</v>
      </c>
      <c r="F10" s="2" t="s">
        <v>57</v>
      </c>
      <c r="G10" s="2" t="s">
        <v>33</v>
      </c>
      <c r="H10" s="2" t="s">
        <v>28</v>
      </c>
      <c r="I10" s="2" t="s">
        <v>60</v>
      </c>
      <c r="J10" s="2" t="s">
        <v>61</v>
      </c>
      <c r="K10" s="2" t="s">
        <v>24</v>
      </c>
      <c r="L10" s="2">
        <v>7</v>
      </c>
      <c r="M10" s="2">
        <v>3680.23</v>
      </c>
      <c r="O10" s="2">
        <v>10339</v>
      </c>
      <c r="P10" s="2">
        <v>1147</v>
      </c>
      <c r="Q10" s="3">
        <v>45005</v>
      </c>
      <c r="R10" s="3">
        <v>45012</v>
      </c>
      <c r="S10" s="2" t="s">
        <v>18</v>
      </c>
      <c r="T10" s="2" t="s">
        <v>57</v>
      </c>
      <c r="U10" s="2" t="s">
        <v>20</v>
      </c>
      <c r="V10" s="2" t="s">
        <v>28</v>
      </c>
      <c r="W10" s="2" t="s">
        <v>34</v>
      </c>
      <c r="X10" s="2" t="s">
        <v>35</v>
      </c>
      <c r="Y10" s="2" t="s">
        <v>24</v>
      </c>
      <c r="Z10" s="2">
        <v>4</v>
      </c>
      <c r="AA10" s="2">
        <v>3708.51</v>
      </c>
    </row>
    <row r="11" spans="1:27" x14ac:dyDescent="0.3">
      <c r="A11" s="2">
        <v>10289</v>
      </c>
      <c r="B11" s="2">
        <v>1854</v>
      </c>
      <c r="C11" s="3">
        <v>45012</v>
      </c>
      <c r="D11" s="3">
        <v>45014</v>
      </c>
      <c r="E11" s="2" t="s">
        <v>40</v>
      </c>
      <c r="F11" s="2" t="s">
        <v>57</v>
      </c>
      <c r="G11" s="2" t="s">
        <v>20</v>
      </c>
      <c r="H11" s="2" t="s">
        <v>28</v>
      </c>
      <c r="I11" s="2" t="s">
        <v>60</v>
      </c>
      <c r="J11" s="2" t="s">
        <v>61</v>
      </c>
      <c r="K11" s="2" t="s">
        <v>24</v>
      </c>
      <c r="L11" s="2">
        <v>7</v>
      </c>
      <c r="M11" s="2">
        <v>1396.71</v>
      </c>
      <c r="O11" s="2">
        <v>10053</v>
      </c>
      <c r="P11" s="2">
        <v>1875</v>
      </c>
      <c r="Q11" s="3">
        <v>45115</v>
      </c>
      <c r="R11" s="3">
        <v>45118</v>
      </c>
      <c r="S11" s="2" t="s">
        <v>49</v>
      </c>
      <c r="T11" s="2" t="s">
        <v>19</v>
      </c>
      <c r="U11" s="2" t="s">
        <v>20</v>
      </c>
      <c r="V11" s="2" t="s">
        <v>38</v>
      </c>
      <c r="W11" s="2" t="s">
        <v>55</v>
      </c>
      <c r="X11" s="2" t="s">
        <v>67</v>
      </c>
      <c r="Y11" s="2" t="s">
        <v>24</v>
      </c>
      <c r="Z11" s="2">
        <v>5</v>
      </c>
      <c r="AA11" s="2">
        <v>2534.0700000000002</v>
      </c>
    </row>
    <row r="12" spans="1:27" x14ac:dyDescent="0.3">
      <c r="A12" s="2">
        <v>10330</v>
      </c>
      <c r="B12" s="2">
        <v>1659</v>
      </c>
      <c r="C12" s="3">
        <v>44958</v>
      </c>
      <c r="D12" s="3">
        <v>44966</v>
      </c>
      <c r="E12" s="2" t="s">
        <v>40</v>
      </c>
      <c r="F12" s="2" t="s">
        <v>57</v>
      </c>
      <c r="G12" s="2" t="s">
        <v>20</v>
      </c>
      <c r="H12" s="2" t="s">
        <v>47</v>
      </c>
      <c r="I12" s="2" t="s">
        <v>55</v>
      </c>
      <c r="J12" s="2" t="s">
        <v>67</v>
      </c>
      <c r="K12" s="2" t="s">
        <v>24</v>
      </c>
      <c r="L12" s="2">
        <v>7</v>
      </c>
      <c r="M12" s="2">
        <v>3978.5</v>
      </c>
      <c r="O12" s="2">
        <v>10184</v>
      </c>
      <c r="P12" s="2">
        <v>1397</v>
      </c>
      <c r="Q12" s="3">
        <v>45063</v>
      </c>
      <c r="R12" s="3">
        <v>45072</v>
      </c>
      <c r="S12" s="2" t="s">
        <v>25</v>
      </c>
      <c r="T12" s="2" t="s">
        <v>57</v>
      </c>
      <c r="U12" s="2" t="s">
        <v>20</v>
      </c>
      <c r="V12" s="2" t="s">
        <v>47</v>
      </c>
      <c r="W12" s="2" t="s">
        <v>55</v>
      </c>
      <c r="X12" s="2" t="s">
        <v>67</v>
      </c>
      <c r="Y12" s="2" t="s">
        <v>24</v>
      </c>
      <c r="Z12" s="2">
        <v>5</v>
      </c>
      <c r="AA12" s="2">
        <v>2125.75</v>
      </c>
    </row>
    <row r="13" spans="1:27" x14ac:dyDescent="0.3">
      <c r="A13" s="2">
        <v>10041</v>
      </c>
      <c r="B13" s="2">
        <v>1058</v>
      </c>
      <c r="C13" s="3">
        <v>45211</v>
      </c>
      <c r="D13" s="3">
        <v>45220</v>
      </c>
      <c r="E13" s="2" t="s">
        <v>40</v>
      </c>
      <c r="F13" s="2" t="s">
        <v>19</v>
      </c>
      <c r="G13" s="2" t="s">
        <v>20</v>
      </c>
      <c r="H13" s="2" t="s">
        <v>28</v>
      </c>
      <c r="I13" s="2" t="s">
        <v>55</v>
      </c>
      <c r="J13" s="2" t="s">
        <v>67</v>
      </c>
      <c r="K13" s="2" t="s">
        <v>24</v>
      </c>
      <c r="L13" s="2">
        <v>8</v>
      </c>
      <c r="M13" s="2">
        <v>3158.8</v>
      </c>
      <c r="O13" s="2">
        <v>10215</v>
      </c>
      <c r="P13" s="2">
        <v>1242</v>
      </c>
      <c r="Q13" s="3">
        <v>45157</v>
      </c>
      <c r="R13" s="3">
        <v>45162</v>
      </c>
      <c r="S13" s="2" t="s">
        <v>18</v>
      </c>
      <c r="T13" s="2" t="s">
        <v>19</v>
      </c>
      <c r="U13" s="2" t="s">
        <v>20</v>
      </c>
      <c r="V13" s="2" t="s">
        <v>28</v>
      </c>
      <c r="W13" s="2" t="s">
        <v>29</v>
      </c>
      <c r="X13" s="2" t="s">
        <v>30</v>
      </c>
      <c r="Y13" s="2" t="s">
        <v>24</v>
      </c>
      <c r="Z13" s="2">
        <v>5</v>
      </c>
      <c r="AA13" s="2">
        <v>633.42999999999995</v>
      </c>
    </row>
    <row r="14" spans="1:27" x14ac:dyDescent="0.3">
      <c r="A14" s="2">
        <v>10083</v>
      </c>
      <c r="B14" s="2">
        <v>1942</v>
      </c>
      <c r="C14" s="3">
        <v>45228</v>
      </c>
      <c r="D14" s="3">
        <v>45232</v>
      </c>
      <c r="E14" s="2" t="s">
        <v>40</v>
      </c>
      <c r="F14" s="2" t="s">
        <v>26</v>
      </c>
      <c r="G14" s="2" t="s">
        <v>20</v>
      </c>
      <c r="H14" s="2" t="s">
        <v>28</v>
      </c>
      <c r="I14" s="2" t="s">
        <v>60</v>
      </c>
      <c r="J14" s="2" t="s">
        <v>65</v>
      </c>
      <c r="K14" s="2" t="s">
        <v>24</v>
      </c>
      <c r="L14" s="2">
        <v>8</v>
      </c>
      <c r="M14" s="2">
        <v>997.34</v>
      </c>
      <c r="O14" s="2">
        <v>10049</v>
      </c>
      <c r="P14" s="2">
        <v>1957</v>
      </c>
      <c r="Q14" s="3">
        <v>45014</v>
      </c>
      <c r="R14" s="3">
        <v>45023</v>
      </c>
      <c r="S14" s="2" t="s">
        <v>49</v>
      </c>
      <c r="T14" s="2" t="s">
        <v>32</v>
      </c>
      <c r="U14" s="2" t="s">
        <v>20</v>
      </c>
      <c r="V14" s="2" t="s">
        <v>21</v>
      </c>
      <c r="W14" s="2" t="s">
        <v>29</v>
      </c>
      <c r="X14" s="2" t="s">
        <v>30</v>
      </c>
      <c r="Y14" s="2" t="s">
        <v>24</v>
      </c>
      <c r="Z14" s="2">
        <v>6</v>
      </c>
      <c r="AA14" s="2">
        <v>3757.87</v>
      </c>
    </row>
    <row r="15" spans="1:27" x14ac:dyDescent="0.3">
      <c r="A15" s="2">
        <v>10196</v>
      </c>
      <c r="B15" s="2">
        <v>1863</v>
      </c>
      <c r="C15" s="3">
        <v>45124</v>
      </c>
      <c r="D15" s="3">
        <v>45133</v>
      </c>
      <c r="E15" s="2" t="s">
        <v>40</v>
      </c>
      <c r="F15" s="2" t="s">
        <v>32</v>
      </c>
      <c r="G15" s="2" t="s">
        <v>33</v>
      </c>
      <c r="H15" s="2" t="s">
        <v>47</v>
      </c>
      <c r="I15" s="2" t="s">
        <v>55</v>
      </c>
      <c r="J15" s="2" t="s">
        <v>56</v>
      </c>
      <c r="K15" s="2" t="s">
        <v>24</v>
      </c>
      <c r="L15" s="2">
        <v>8</v>
      </c>
      <c r="M15" s="2">
        <v>2561.86</v>
      </c>
      <c r="O15" s="2">
        <v>10113</v>
      </c>
      <c r="P15" s="2">
        <v>1251</v>
      </c>
      <c r="Q15" s="3">
        <v>45080</v>
      </c>
      <c r="R15" s="3">
        <v>45083</v>
      </c>
      <c r="S15" s="2" t="s">
        <v>19</v>
      </c>
      <c r="T15" s="2" t="s">
        <v>26</v>
      </c>
      <c r="U15" s="2" t="s">
        <v>20</v>
      </c>
      <c r="V15" s="2" t="s">
        <v>21</v>
      </c>
      <c r="W15" s="2" t="s">
        <v>29</v>
      </c>
      <c r="X15" s="2" t="s">
        <v>64</v>
      </c>
      <c r="Y15" s="2" t="s">
        <v>24</v>
      </c>
      <c r="Z15" s="2">
        <v>6</v>
      </c>
      <c r="AA15" s="2">
        <v>2257.77</v>
      </c>
    </row>
    <row r="16" spans="1:27" x14ac:dyDescent="0.3">
      <c r="A16" s="2">
        <v>10220</v>
      </c>
      <c r="B16" s="2">
        <v>1556</v>
      </c>
      <c r="C16" s="3">
        <v>45026</v>
      </c>
      <c r="D16" s="3">
        <v>45035</v>
      </c>
      <c r="E16" s="2" t="s">
        <v>40</v>
      </c>
      <c r="F16" s="2" t="s">
        <v>19</v>
      </c>
      <c r="G16" s="2" t="s">
        <v>27</v>
      </c>
      <c r="H16" s="2" t="s">
        <v>21</v>
      </c>
      <c r="I16" s="2" t="s">
        <v>22</v>
      </c>
      <c r="J16" s="2" t="s">
        <v>58</v>
      </c>
      <c r="K16" s="2" t="s">
        <v>24</v>
      </c>
      <c r="L16" s="2">
        <v>8</v>
      </c>
      <c r="M16" s="2">
        <v>3240.98</v>
      </c>
      <c r="O16" s="2">
        <v>10303</v>
      </c>
      <c r="P16" s="2">
        <v>1246</v>
      </c>
      <c r="Q16" s="3">
        <v>45124</v>
      </c>
      <c r="R16" s="3">
        <v>45125</v>
      </c>
      <c r="S16" s="2" t="s">
        <v>40</v>
      </c>
      <c r="T16" s="2" t="s">
        <v>32</v>
      </c>
      <c r="U16" s="2" t="s">
        <v>20</v>
      </c>
      <c r="V16" s="2" t="s">
        <v>28</v>
      </c>
      <c r="W16" s="2" t="s">
        <v>60</v>
      </c>
      <c r="X16" s="2" t="s">
        <v>69</v>
      </c>
      <c r="Y16" s="2" t="s">
        <v>24</v>
      </c>
      <c r="Z16" s="2">
        <v>6</v>
      </c>
      <c r="AA16" s="2">
        <v>257.2</v>
      </c>
    </row>
    <row r="17" spans="1:27" x14ac:dyDescent="0.3">
      <c r="A17" s="2">
        <v>10179</v>
      </c>
      <c r="B17" s="2">
        <v>1768</v>
      </c>
      <c r="C17" s="3">
        <v>44973</v>
      </c>
      <c r="D17" s="3">
        <v>44976</v>
      </c>
      <c r="E17" s="2" t="s">
        <v>40</v>
      </c>
      <c r="F17" s="2" t="s">
        <v>19</v>
      </c>
      <c r="G17" s="2" t="s">
        <v>33</v>
      </c>
      <c r="H17" s="2" t="s">
        <v>28</v>
      </c>
      <c r="I17" s="2" t="s">
        <v>34</v>
      </c>
      <c r="J17" s="2" t="s">
        <v>35</v>
      </c>
      <c r="K17" s="2" t="s">
        <v>24</v>
      </c>
      <c r="L17" s="2">
        <v>9</v>
      </c>
      <c r="M17" s="2">
        <v>388.26</v>
      </c>
      <c r="O17" s="2">
        <v>10001</v>
      </c>
      <c r="P17" s="2">
        <v>1102</v>
      </c>
      <c r="Q17" s="3">
        <v>45197</v>
      </c>
      <c r="R17" s="3">
        <v>45203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>
        <v>7</v>
      </c>
      <c r="AA17" s="2">
        <v>2843.87</v>
      </c>
    </row>
    <row r="18" spans="1:27" x14ac:dyDescent="0.3">
      <c r="A18" s="2">
        <v>10355</v>
      </c>
      <c r="B18" s="2">
        <v>1945</v>
      </c>
      <c r="C18" s="3">
        <v>45188</v>
      </c>
      <c r="D18" s="3">
        <v>45191</v>
      </c>
      <c r="E18" s="2" t="s">
        <v>40</v>
      </c>
      <c r="F18" s="2" t="s">
        <v>26</v>
      </c>
      <c r="G18" s="2" t="s">
        <v>33</v>
      </c>
      <c r="H18" s="2" t="s">
        <v>38</v>
      </c>
      <c r="I18" s="2" t="s">
        <v>55</v>
      </c>
      <c r="J18" s="2" t="s">
        <v>56</v>
      </c>
      <c r="K18" s="2" t="s">
        <v>24</v>
      </c>
      <c r="L18" s="2">
        <v>9</v>
      </c>
      <c r="M18" s="2">
        <v>2632.88</v>
      </c>
      <c r="O18" s="2">
        <v>10262</v>
      </c>
      <c r="P18" s="2">
        <v>1373</v>
      </c>
      <c r="Q18" s="3">
        <v>44996</v>
      </c>
      <c r="R18" s="3">
        <v>44998</v>
      </c>
      <c r="S18" s="2" t="s">
        <v>18</v>
      </c>
      <c r="T18" s="2" t="s">
        <v>26</v>
      </c>
      <c r="U18" s="2" t="s">
        <v>20</v>
      </c>
      <c r="V18" s="2" t="s">
        <v>47</v>
      </c>
      <c r="W18" s="2" t="s">
        <v>60</v>
      </c>
      <c r="X18" s="2" t="s">
        <v>62</v>
      </c>
      <c r="Y18" s="2" t="s">
        <v>24</v>
      </c>
      <c r="Z18" s="2">
        <v>7</v>
      </c>
      <c r="AA18" s="2">
        <v>2472.29</v>
      </c>
    </row>
    <row r="19" spans="1:27" x14ac:dyDescent="0.3">
      <c r="A19" s="2">
        <v>10152</v>
      </c>
      <c r="B19" s="2">
        <v>1230</v>
      </c>
      <c r="C19" s="3">
        <v>45043</v>
      </c>
      <c r="D19" s="3">
        <v>45050</v>
      </c>
      <c r="E19" s="2" t="s">
        <v>40</v>
      </c>
      <c r="F19" s="2" t="s">
        <v>19</v>
      </c>
      <c r="G19" s="2" t="s">
        <v>27</v>
      </c>
      <c r="H19" s="2" t="s">
        <v>47</v>
      </c>
      <c r="I19" s="2" t="s">
        <v>55</v>
      </c>
      <c r="J19" s="2" t="s">
        <v>59</v>
      </c>
      <c r="K19" s="2" t="s">
        <v>50</v>
      </c>
      <c r="L19" s="2">
        <v>1</v>
      </c>
      <c r="M19" s="2">
        <v>3249.11</v>
      </c>
      <c r="O19" s="2">
        <v>10289</v>
      </c>
      <c r="P19" s="2">
        <v>1854</v>
      </c>
      <c r="Q19" s="3">
        <v>45012</v>
      </c>
      <c r="R19" s="3">
        <v>45014</v>
      </c>
      <c r="S19" s="2" t="s">
        <v>40</v>
      </c>
      <c r="T19" s="2" t="s">
        <v>57</v>
      </c>
      <c r="U19" s="2" t="s">
        <v>20</v>
      </c>
      <c r="V19" s="2" t="s">
        <v>28</v>
      </c>
      <c r="W19" s="2" t="s">
        <v>60</v>
      </c>
      <c r="X19" s="2" t="s">
        <v>61</v>
      </c>
      <c r="Y19" s="2" t="s">
        <v>24</v>
      </c>
      <c r="Z19" s="2">
        <v>7</v>
      </c>
      <c r="AA19" s="2">
        <v>1396.71</v>
      </c>
    </row>
    <row r="20" spans="1:27" x14ac:dyDescent="0.3">
      <c r="A20" s="2">
        <v>10186</v>
      </c>
      <c r="B20" s="2">
        <v>1794</v>
      </c>
      <c r="C20" s="3">
        <v>45251</v>
      </c>
      <c r="D20" s="3">
        <v>45254</v>
      </c>
      <c r="E20" s="2" t="s">
        <v>40</v>
      </c>
      <c r="F20" s="2" t="s">
        <v>44</v>
      </c>
      <c r="G20" s="2" t="s">
        <v>33</v>
      </c>
      <c r="H20" s="2" t="s">
        <v>28</v>
      </c>
      <c r="I20" s="2" t="s">
        <v>55</v>
      </c>
      <c r="J20" s="2" t="s">
        <v>59</v>
      </c>
      <c r="K20" s="2" t="s">
        <v>50</v>
      </c>
      <c r="L20" s="2">
        <v>1</v>
      </c>
      <c r="M20" s="2">
        <v>508.81</v>
      </c>
      <c r="O20" s="2">
        <v>10330</v>
      </c>
      <c r="P20" s="2">
        <v>1659</v>
      </c>
      <c r="Q20" s="3">
        <v>44958</v>
      </c>
      <c r="R20" s="3">
        <v>44966</v>
      </c>
      <c r="S20" s="2" t="s">
        <v>40</v>
      </c>
      <c r="T20" s="2" t="s">
        <v>57</v>
      </c>
      <c r="U20" s="2" t="s">
        <v>20</v>
      </c>
      <c r="V20" s="2" t="s">
        <v>47</v>
      </c>
      <c r="W20" s="2" t="s">
        <v>55</v>
      </c>
      <c r="X20" s="2" t="s">
        <v>67</v>
      </c>
      <c r="Y20" s="2" t="s">
        <v>24</v>
      </c>
      <c r="Z20" s="2">
        <v>7</v>
      </c>
      <c r="AA20" s="2">
        <v>3978.5</v>
      </c>
    </row>
    <row r="21" spans="1:27" x14ac:dyDescent="0.3">
      <c r="A21" s="2">
        <v>10214</v>
      </c>
      <c r="B21" s="2">
        <v>1698</v>
      </c>
      <c r="C21" s="3">
        <v>45052</v>
      </c>
      <c r="D21" s="3">
        <v>45061</v>
      </c>
      <c r="E21" s="2" t="s">
        <v>40</v>
      </c>
      <c r="F21" s="2" t="s">
        <v>32</v>
      </c>
      <c r="G21" s="2" t="s">
        <v>27</v>
      </c>
      <c r="H21" s="2" t="s">
        <v>47</v>
      </c>
      <c r="I21" s="2" t="s">
        <v>52</v>
      </c>
      <c r="J21" s="2" t="s">
        <v>66</v>
      </c>
      <c r="K21" s="2" t="s">
        <v>50</v>
      </c>
      <c r="L21" s="2">
        <v>4</v>
      </c>
      <c r="M21" s="2">
        <v>1719.71</v>
      </c>
      <c r="O21" s="2">
        <v>10343</v>
      </c>
      <c r="P21" s="2">
        <v>1488</v>
      </c>
      <c r="Q21" s="3">
        <v>45196</v>
      </c>
      <c r="R21" s="3">
        <v>45204</v>
      </c>
      <c r="S21" s="2" t="s">
        <v>49</v>
      </c>
      <c r="T21" s="2" t="s">
        <v>26</v>
      </c>
      <c r="U21" s="2" t="s">
        <v>20</v>
      </c>
      <c r="V21" s="2" t="s">
        <v>21</v>
      </c>
      <c r="W21" s="2" t="s">
        <v>52</v>
      </c>
      <c r="X21" s="2" t="s">
        <v>54</v>
      </c>
      <c r="Y21" s="2" t="s">
        <v>24</v>
      </c>
      <c r="Z21" s="2">
        <v>7</v>
      </c>
      <c r="AA21" s="2">
        <v>313.51</v>
      </c>
    </row>
    <row r="22" spans="1:27" x14ac:dyDescent="0.3">
      <c r="A22" s="2">
        <v>10145</v>
      </c>
      <c r="B22" s="2">
        <v>1391</v>
      </c>
      <c r="C22" s="3">
        <v>45245</v>
      </c>
      <c r="D22" s="3">
        <v>45246</v>
      </c>
      <c r="E22" s="2" t="s">
        <v>40</v>
      </c>
      <c r="F22" s="2" t="s">
        <v>41</v>
      </c>
      <c r="G22" s="2" t="s">
        <v>27</v>
      </c>
      <c r="H22" s="2" t="s">
        <v>38</v>
      </c>
      <c r="I22" s="2" t="s">
        <v>60</v>
      </c>
      <c r="J22" s="2" t="s">
        <v>62</v>
      </c>
      <c r="K22" s="2" t="s">
        <v>50</v>
      </c>
      <c r="L22" s="2">
        <v>6</v>
      </c>
      <c r="M22" s="2">
        <v>652.42999999999995</v>
      </c>
      <c r="O22" s="2">
        <v>10013</v>
      </c>
      <c r="P22" s="2">
        <v>1330</v>
      </c>
      <c r="Q22" s="3">
        <v>45100</v>
      </c>
      <c r="R22" s="3">
        <v>45107</v>
      </c>
      <c r="S22" s="2" t="s">
        <v>19</v>
      </c>
      <c r="T22" s="2" t="s">
        <v>26</v>
      </c>
      <c r="U22" s="2" t="s">
        <v>20</v>
      </c>
      <c r="V22" s="2" t="s">
        <v>38</v>
      </c>
      <c r="W22" s="2" t="s">
        <v>22</v>
      </c>
      <c r="X22" s="2" t="s">
        <v>46</v>
      </c>
      <c r="Y22" s="2" t="s">
        <v>24</v>
      </c>
      <c r="Z22" s="2">
        <v>8</v>
      </c>
      <c r="AA22" s="2">
        <v>3160.9</v>
      </c>
    </row>
    <row r="23" spans="1:27" x14ac:dyDescent="0.3">
      <c r="A23" s="2">
        <v>10055</v>
      </c>
      <c r="B23" s="2">
        <v>1243</v>
      </c>
      <c r="C23" s="3">
        <v>45110</v>
      </c>
      <c r="D23" s="3">
        <v>45115</v>
      </c>
      <c r="E23" s="2" t="s">
        <v>40</v>
      </c>
      <c r="F23" s="2" t="s">
        <v>19</v>
      </c>
      <c r="G23" s="2" t="s">
        <v>27</v>
      </c>
      <c r="H23" s="2" t="s">
        <v>21</v>
      </c>
      <c r="I23" s="2" t="s">
        <v>55</v>
      </c>
      <c r="J23" s="2" t="s">
        <v>67</v>
      </c>
      <c r="K23" s="2" t="s">
        <v>48</v>
      </c>
      <c r="L23" s="2">
        <v>2</v>
      </c>
      <c r="M23" s="2">
        <v>3723.19</v>
      </c>
      <c r="O23" s="2">
        <v>10016</v>
      </c>
      <c r="P23" s="2">
        <v>1372</v>
      </c>
      <c r="Q23" s="3">
        <v>44958</v>
      </c>
      <c r="R23" s="3">
        <v>44961</v>
      </c>
      <c r="S23" s="2" t="s">
        <v>25</v>
      </c>
      <c r="T23" s="2" t="s">
        <v>32</v>
      </c>
      <c r="U23" s="2" t="s">
        <v>20</v>
      </c>
      <c r="V23" s="2" t="s">
        <v>45</v>
      </c>
      <c r="W23" s="2" t="s">
        <v>34</v>
      </c>
      <c r="X23" s="2" t="s">
        <v>42</v>
      </c>
      <c r="Y23" s="2" t="s">
        <v>24</v>
      </c>
      <c r="Z23" s="2">
        <v>8</v>
      </c>
      <c r="AA23" s="2">
        <v>595.45000000000005</v>
      </c>
    </row>
    <row r="24" spans="1:27" x14ac:dyDescent="0.3">
      <c r="A24" s="2">
        <v>10218</v>
      </c>
      <c r="B24" s="2">
        <v>1577</v>
      </c>
      <c r="C24" s="3">
        <v>45206</v>
      </c>
      <c r="D24" s="3">
        <v>45209</v>
      </c>
      <c r="E24" s="2" t="s">
        <v>40</v>
      </c>
      <c r="F24" s="2" t="s">
        <v>32</v>
      </c>
      <c r="G24" s="2" t="s">
        <v>20</v>
      </c>
      <c r="H24" s="2" t="s">
        <v>47</v>
      </c>
      <c r="I24" s="2" t="s">
        <v>29</v>
      </c>
      <c r="J24" s="2" t="s">
        <v>71</v>
      </c>
      <c r="K24" s="2" t="s">
        <v>48</v>
      </c>
      <c r="L24" s="2">
        <v>2</v>
      </c>
      <c r="M24" s="2">
        <v>2401.63</v>
      </c>
      <c r="O24" s="2">
        <v>10041</v>
      </c>
      <c r="P24" s="2">
        <v>1058</v>
      </c>
      <c r="Q24" s="3">
        <v>45211</v>
      </c>
      <c r="R24" s="3">
        <v>45220</v>
      </c>
      <c r="S24" s="2" t="s">
        <v>40</v>
      </c>
      <c r="T24" s="2" t="s">
        <v>19</v>
      </c>
      <c r="U24" s="2" t="s">
        <v>20</v>
      </c>
      <c r="V24" s="2" t="s">
        <v>28</v>
      </c>
      <c r="W24" s="2" t="s">
        <v>55</v>
      </c>
      <c r="X24" s="2" t="s">
        <v>67</v>
      </c>
      <c r="Y24" s="2" t="s">
        <v>24</v>
      </c>
      <c r="Z24" s="2">
        <v>8</v>
      </c>
      <c r="AA24" s="2">
        <v>3158.8</v>
      </c>
    </row>
    <row r="25" spans="1:27" x14ac:dyDescent="0.3">
      <c r="A25" s="2">
        <v>10098</v>
      </c>
      <c r="B25" s="2">
        <v>1702</v>
      </c>
      <c r="C25" s="3">
        <v>44946</v>
      </c>
      <c r="D25" s="3">
        <v>44947</v>
      </c>
      <c r="E25" s="2" t="s">
        <v>40</v>
      </c>
      <c r="F25" s="2" t="s">
        <v>57</v>
      </c>
      <c r="G25" s="2" t="s">
        <v>27</v>
      </c>
      <c r="H25" s="2" t="s">
        <v>45</v>
      </c>
      <c r="I25" s="2" t="s">
        <v>29</v>
      </c>
      <c r="J25" s="2" t="s">
        <v>39</v>
      </c>
      <c r="K25" s="2" t="s">
        <v>48</v>
      </c>
      <c r="L25" s="2">
        <v>4</v>
      </c>
      <c r="M25" s="2">
        <v>1362.08</v>
      </c>
      <c r="O25" s="2">
        <v>10083</v>
      </c>
      <c r="P25" s="2">
        <v>1942</v>
      </c>
      <c r="Q25" s="3">
        <v>45228</v>
      </c>
      <c r="R25" s="3">
        <v>45232</v>
      </c>
      <c r="S25" s="2" t="s">
        <v>40</v>
      </c>
      <c r="T25" s="2" t="s">
        <v>26</v>
      </c>
      <c r="U25" s="2" t="s">
        <v>20</v>
      </c>
      <c r="V25" s="2" t="s">
        <v>28</v>
      </c>
      <c r="W25" s="2" t="s">
        <v>60</v>
      </c>
      <c r="X25" s="2" t="s">
        <v>65</v>
      </c>
      <c r="Y25" s="2" t="s">
        <v>24</v>
      </c>
      <c r="Z25" s="2">
        <v>8</v>
      </c>
      <c r="AA25" s="2">
        <v>997.34</v>
      </c>
    </row>
    <row r="26" spans="1:27" x14ac:dyDescent="0.3">
      <c r="A26" s="2">
        <v>10308</v>
      </c>
      <c r="B26" s="2">
        <v>1122</v>
      </c>
      <c r="C26" s="3">
        <v>44931</v>
      </c>
      <c r="D26" s="3">
        <v>44940</v>
      </c>
      <c r="E26" s="2" t="s">
        <v>40</v>
      </c>
      <c r="F26" s="2" t="s">
        <v>26</v>
      </c>
      <c r="G26" s="2" t="s">
        <v>33</v>
      </c>
      <c r="H26" s="2" t="s">
        <v>28</v>
      </c>
      <c r="I26" s="2" t="s">
        <v>55</v>
      </c>
      <c r="J26" s="2" t="s">
        <v>56</v>
      </c>
      <c r="K26" s="2" t="s">
        <v>48</v>
      </c>
      <c r="L26" s="2">
        <v>4</v>
      </c>
      <c r="M26" s="2">
        <v>3143.2</v>
      </c>
      <c r="O26" s="2">
        <v>10045</v>
      </c>
      <c r="P26" s="2">
        <v>1699</v>
      </c>
      <c r="Q26" s="3">
        <v>45139</v>
      </c>
      <c r="R26" s="3">
        <v>45147</v>
      </c>
      <c r="S26" s="2" t="s">
        <v>37</v>
      </c>
      <c r="T26" s="2" t="s">
        <v>19</v>
      </c>
      <c r="U26" s="2" t="s">
        <v>20</v>
      </c>
      <c r="V26" s="2" t="s">
        <v>28</v>
      </c>
      <c r="W26" s="2" t="s">
        <v>29</v>
      </c>
      <c r="X26" s="2" t="s">
        <v>64</v>
      </c>
      <c r="Y26" s="2" t="s">
        <v>50</v>
      </c>
      <c r="Z26" s="2">
        <v>1</v>
      </c>
      <c r="AA26" s="2">
        <v>2764.92</v>
      </c>
    </row>
    <row r="27" spans="1:27" x14ac:dyDescent="0.3">
      <c r="A27" s="2">
        <v>10043</v>
      </c>
      <c r="B27" s="2">
        <v>1681</v>
      </c>
      <c r="C27" s="3">
        <v>45184</v>
      </c>
      <c r="D27" s="3">
        <v>45188</v>
      </c>
      <c r="E27" s="2" t="s">
        <v>40</v>
      </c>
      <c r="F27" s="2" t="s">
        <v>26</v>
      </c>
      <c r="G27" s="2" t="s">
        <v>27</v>
      </c>
      <c r="H27" s="2" t="s">
        <v>38</v>
      </c>
      <c r="I27" s="2" t="s">
        <v>34</v>
      </c>
      <c r="J27" s="2" t="s">
        <v>51</v>
      </c>
      <c r="K27" s="2" t="s">
        <v>48</v>
      </c>
      <c r="L27" s="2">
        <v>5</v>
      </c>
      <c r="M27" s="2">
        <v>936.35</v>
      </c>
      <c r="O27" s="2">
        <v>10047</v>
      </c>
      <c r="P27" s="2">
        <v>1782</v>
      </c>
      <c r="Q27" s="3">
        <v>44976</v>
      </c>
      <c r="R27" s="3">
        <v>44985</v>
      </c>
      <c r="S27" s="2" t="s">
        <v>43</v>
      </c>
      <c r="T27" s="2" t="s">
        <v>44</v>
      </c>
      <c r="U27" s="2" t="s">
        <v>20</v>
      </c>
      <c r="V27" s="2" t="s">
        <v>21</v>
      </c>
      <c r="W27" s="2" t="s">
        <v>60</v>
      </c>
      <c r="X27" s="2" t="s">
        <v>65</v>
      </c>
      <c r="Y27" s="2" t="s">
        <v>50</v>
      </c>
      <c r="Z27" s="2">
        <v>1</v>
      </c>
      <c r="AA27" s="2">
        <v>1769.93</v>
      </c>
    </row>
    <row r="28" spans="1:27" x14ac:dyDescent="0.3">
      <c r="A28" s="2">
        <v>10226</v>
      </c>
      <c r="B28" s="2">
        <v>1619</v>
      </c>
      <c r="C28" s="3">
        <v>45290</v>
      </c>
      <c r="D28" s="3">
        <v>45291</v>
      </c>
      <c r="E28" s="2" t="s">
        <v>40</v>
      </c>
      <c r="F28" s="2" t="s">
        <v>41</v>
      </c>
      <c r="G28" s="2" t="s">
        <v>20</v>
      </c>
      <c r="H28" s="2" t="s">
        <v>45</v>
      </c>
      <c r="I28" s="2" t="s">
        <v>52</v>
      </c>
      <c r="J28" s="2" t="s">
        <v>66</v>
      </c>
      <c r="K28" s="2" t="s">
        <v>48</v>
      </c>
      <c r="L28" s="2">
        <v>5</v>
      </c>
      <c r="M28" s="2">
        <v>620.13</v>
      </c>
      <c r="O28" s="2">
        <v>10233</v>
      </c>
      <c r="P28" s="2">
        <v>1505</v>
      </c>
      <c r="Q28" s="3">
        <v>45139</v>
      </c>
      <c r="R28" s="3">
        <v>45143</v>
      </c>
      <c r="S28" s="2" t="s">
        <v>19</v>
      </c>
      <c r="T28" s="2" t="s">
        <v>44</v>
      </c>
      <c r="U28" s="2" t="s">
        <v>20</v>
      </c>
      <c r="V28" s="2" t="s">
        <v>47</v>
      </c>
      <c r="W28" s="2" t="s">
        <v>22</v>
      </c>
      <c r="X28" s="2" t="s">
        <v>58</v>
      </c>
      <c r="Y28" s="2" t="s">
        <v>50</v>
      </c>
      <c r="Z28" s="2">
        <v>1</v>
      </c>
      <c r="AA28" s="2">
        <v>556.53</v>
      </c>
    </row>
    <row r="29" spans="1:27" x14ac:dyDescent="0.3">
      <c r="A29" s="2">
        <v>10494</v>
      </c>
      <c r="B29" s="2">
        <v>1322</v>
      </c>
      <c r="C29" s="3">
        <v>45151</v>
      </c>
      <c r="D29" s="3">
        <v>45154</v>
      </c>
      <c r="E29" s="2" t="s">
        <v>40</v>
      </c>
      <c r="F29" s="2" t="s">
        <v>44</v>
      </c>
      <c r="G29" s="2" t="s">
        <v>20</v>
      </c>
      <c r="H29" s="2" t="s">
        <v>47</v>
      </c>
      <c r="I29" s="2" t="s">
        <v>60</v>
      </c>
      <c r="J29" s="2" t="s">
        <v>69</v>
      </c>
      <c r="K29" s="2" t="s">
        <v>48</v>
      </c>
      <c r="L29" s="2">
        <v>5</v>
      </c>
      <c r="M29" s="2">
        <v>529.59</v>
      </c>
      <c r="O29" s="2">
        <v>10329</v>
      </c>
      <c r="P29" s="2">
        <v>1770</v>
      </c>
      <c r="Q29" s="3">
        <v>44975</v>
      </c>
      <c r="R29" s="3">
        <v>44976</v>
      </c>
      <c r="S29" s="2" t="s">
        <v>43</v>
      </c>
      <c r="T29" s="2" t="s">
        <v>41</v>
      </c>
      <c r="U29" s="2" t="s">
        <v>20</v>
      </c>
      <c r="V29" s="2" t="s">
        <v>47</v>
      </c>
      <c r="W29" s="2" t="s">
        <v>29</v>
      </c>
      <c r="X29" s="2" t="s">
        <v>30</v>
      </c>
      <c r="Y29" s="2" t="s">
        <v>50</v>
      </c>
      <c r="Z29" s="2">
        <v>1</v>
      </c>
      <c r="AA29" s="2">
        <v>3171.36</v>
      </c>
    </row>
    <row r="30" spans="1:27" x14ac:dyDescent="0.3">
      <c r="A30" s="2">
        <v>10025</v>
      </c>
      <c r="B30" s="2">
        <v>1491</v>
      </c>
      <c r="C30" s="3">
        <v>45052</v>
      </c>
      <c r="D30" s="3">
        <v>45061</v>
      </c>
      <c r="E30" s="2" t="s">
        <v>40</v>
      </c>
      <c r="F30" s="2" t="s">
        <v>41</v>
      </c>
      <c r="G30" s="2" t="s">
        <v>33</v>
      </c>
      <c r="H30" s="2" t="s">
        <v>47</v>
      </c>
      <c r="I30" s="2" t="s">
        <v>60</v>
      </c>
      <c r="J30" s="2" t="s">
        <v>62</v>
      </c>
      <c r="K30" s="2" t="s">
        <v>48</v>
      </c>
      <c r="L30" s="2">
        <v>6</v>
      </c>
      <c r="M30" s="2">
        <v>3018.94</v>
      </c>
      <c r="O30" s="2">
        <v>10359</v>
      </c>
      <c r="P30" s="2">
        <v>1297</v>
      </c>
      <c r="Q30" s="3">
        <v>45104</v>
      </c>
      <c r="R30" s="3">
        <v>45105</v>
      </c>
      <c r="S30" s="2" t="s">
        <v>19</v>
      </c>
      <c r="T30" s="2" t="s">
        <v>44</v>
      </c>
      <c r="U30" s="2" t="s">
        <v>20</v>
      </c>
      <c r="V30" s="2" t="s">
        <v>28</v>
      </c>
      <c r="W30" s="2" t="s">
        <v>34</v>
      </c>
      <c r="X30" s="2" t="s">
        <v>51</v>
      </c>
      <c r="Y30" s="2" t="s">
        <v>50</v>
      </c>
      <c r="Z30" s="2">
        <v>1</v>
      </c>
      <c r="AA30" s="2">
        <v>202.49</v>
      </c>
    </row>
    <row r="31" spans="1:27" x14ac:dyDescent="0.3">
      <c r="A31" s="2">
        <v>10056</v>
      </c>
      <c r="B31" s="2">
        <v>1831</v>
      </c>
      <c r="C31" s="3">
        <v>44929</v>
      </c>
      <c r="D31" s="3">
        <v>44934</v>
      </c>
      <c r="E31" s="2" t="s">
        <v>40</v>
      </c>
      <c r="F31" s="2" t="s">
        <v>32</v>
      </c>
      <c r="G31" s="2" t="s">
        <v>20</v>
      </c>
      <c r="H31" s="2" t="s">
        <v>45</v>
      </c>
      <c r="I31" s="2" t="s">
        <v>60</v>
      </c>
      <c r="J31" s="2" t="s">
        <v>65</v>
      </c>
      <c r="K31" s="2" t="s">
        <v>48</v>
      </c>
      <c r="L31" s="2">
        <v>6</v>
      </c>
      <c r="M31" s="2">
        <v>3402.72</v>
      </c>
      <c r="O31" s="2">
        <v>10071</v>
      </c>
      <c r="P31" s="2">
        <v>1776</v>
      </c>
      <c r="Q31" s="3">
        <v>45070</v>
      </c>
      <c r="R31" s="3">
        <v>45078</v>
      </c>
      <c r="S31" s="2" t="s">
        <v>18</v>
      </c>
      <c r="T31" s="2" t="s">
        <v>32</v>
      </c>
      <c r="U31" s="2" t="s">
        <v>20</v>
      </c>
      <c r="V31" s="2" t="s">
        <v>21</v>
      </c>
      <c r="W31" s="2" t="s">
        <v>29</v>
      </c>
      <c r="X31" s="2" t="s">
        <v>64</v>
      </c>
      <c r="Y31" s="2" t="s">
        <v>50</v>
      </c>
      <c r="Z31" s="2">
        <v>3</v>
      </c>
      <c r="AA31" s="2">
        <v>3854.71</v>
      </c>
    </row>
    <row r="32" spans="1:27" x14ac:dyDescent="0.3">
      <c r="A32" s="2">
        <v>10376</v>
      </c>
      <c r="B32" s="2">
        <v>1008</v>
      </c>
      <c r="C32" s="3">
        <v>45242</v>
      </c>
      <c r="D32" s="3">
        <v>45251</v>
      </c>
      <c r="E32" s="2" t="s">
        <v>40</v>
      </c>
      <c r="F32" s="2" t="s">
        <v>57</v>
      </c>
      <c r="G32" s="2" t="s">
        <v>33</v>
      </c>
      <c r="H32" s="2" t="s">
        <v>21</v>
      </c>
      <c r="I32" s="2" t="s">
        <v>60</v>
      </c>
      <c r="J32" s="2" t="s">
        <v>62</v>
      </c>
      <c r="K32" s="2" t="s">
        <v>48</v>
      </c>
      <c r="L32" s="2">
        <v>6</v>
      </c>
      <c r="M32" s="2">
        <v>681.36</v>
      </c>
      <c r="O32" s="2">
        <v>10072</v>
      </c>
      <c r="P32" s="2">
        <v>1345</v>
      </c>
      <c r="Q32" s="3">
        <v>44998</v>
      </c>
      <c r="R32" s="3">
        <v>45005</v>
      </c>
      <c r="S32" s="2" t="s">
        <v>19</v>
      </c>
      <c r="T32" s="2" t="s">
        <v>57</v>
      </c>
      <c r="U32" s="2" t="s">
        <v>20</v>
      </c>
      <c r="V32" s="2" t="s">
        <v>21</v>
      </c>
      <c r="W32" s="2" t="s">
        <v>22</v>
      </c>
      <c r="X32" s="2" t="s">
        <v>58</v>
      </c>
      <c r="Y32" s="2" t="s">
        <v>50</v>
      </c>
      <c r="Z32" s="2">
        <v>3</v>
      </c>
      <c r="AA32" s="2">
        <v>1859.84</v>
      </c>
    </row>
    <row r="33" spans="1:27" x14ac:dyDescent="0.3">
      <c r="A33" s="2">
        <v>10061</v>
      </c>
      <c r="B33" s="2">
        <v>1646</v>
      </c>
      <c r="C33" s="3">
        <v>44956</v>
      </c>
      <c r="D33" s="3">
        <v>44957</v>
      </c>
      <c r="E33" s="2" t="s">
        <v>40</v>
      </c>
      <c r="F33" s="2" t="s">
        <v>57</v>
      </c>
      <c r="G33" s="2" t="s">
        <v>27</v>
      </c>
      <c r="H33" s="2" t="s">
        <v>45</v>
      </c>
      <c r="I33" s="2" t="s">
        <v>29</v>
      </c>
      <c r="J33" s="2" t="s">
        <v>39</v>
      </c>
      <c r="K33" s="2" t="s">
        <v>48</v>
      </c>
      <c r="L33" s="2">
        <v>7</v>
      </c>
      <c r="M33" s="2">
        <v>319.56</v>
      </c>
      <c r="O33" s="2">
        <v>10088</v>
      </c>
      <c r="P33" s="2">
        <v>1561</v>
      </c>
      <c r="Q33" s="3">
        <v>44939</v>
      </c>
      <c r="R33" s="3">
        <v>44946</v>
      </c>
      <c r="S33" s="2" t="s">
        <v>37</v>
      </c>
      <c r="T33" s="2" t="s">
        <v>32</v>
      </c>
      <c r="U33" s="2" t="s">
        <v>20</v>
      </c>
      <c r="V33" s="2" t="s">
        <v>45</v>
      </c>
      <c r="W33" s="2" t="s">
        <v>52</v>
      </c>
      <c r="X33" s="2" t="s">
        <v>66</v>
      </c>
      <c r="Y33" s="2" t="s">
        <v>50</v>
      </c>
      <c r="Z33" s="2">
        <v>3</v>
      </c>
      <c r="AA33" s="2">
        <v>3879.4</v>
      </c>
    </row>
    <row r="34" spans="1:27" x14ac:dyDescent="0.3">
      <c r="A34" s="2">
        <v>10321</v>
      </c>
      <c r="B34" s="2">
        <v>1143</v>
      </c>
      <c r="C34" s="3">
        <v>45270</v>
      </c>
      <c r="D34" s="3">
        <v>45275</v>
      </c>
      <c r="E34" s="2" t="s">
        <v>40</v>
      </c>
      <c r="F34" s="2" t="s">
        <v>19</v>
      </c>
      <c r="G34" s="2" t="s">
        <v>33</v>
      </c>
      <c r="H34" s="2" t="s">
        <v>45</v>
      </c>
      <c r="I34" s="2" t="s">
        <v>55</v>
      </c>
      <c r="J34" s="2" t="s">
        <v>63</v>
      </c>
      <c r="K34" s="2" t="s">
        <v>48</v>
      </c>
      <c r="L34" s="2">
        <v>7</v>
      </c>
      <c r="M34" s="2">
        <v>3383.31</v>
      </c>
      <c r="O34" s="2">
        <v>10044</v>
      </c>
      <c r="P34" s="2">
        <v>1475</v>
      </c>
      <c r="Q34" s="3">
        <v>44955</v>
      </c>
      <c r="R34" s="3">
        <v>44959</v>
      </c>
      <c r="S34" s="2" t="s">
        <v>19</v>
      </c>
      <c r="T34" s="2" t="s">
        <v>32</v>
      </c>
      <c r="U34" s="2" t="s">
        <v>20</v>
      </c>
      <c r="V34" s="2" t="s">
        <v>45</v>
      </c>
      <c r="W34" s="2" t="s">
        <v>34</v>
      </c>
      <c r="X34" s="2" t="s">
        <v>51</v>
      </c>
      <c r="Y34" s="2" t="s">
        <v>50</v>
      </c>
      <c r="Z34" s="2">
        <v>4</v>
      </c>
      <c r="AA34" s="2">
        <v>214.51</v>
      </c>
    </row>
    <row r="35" spans="1:27" x14ac:dyDescent="0.3">
      <c r="A35" s="2">
        <v>10325</v>
      </c>
      <c r="B35" s="2">
        <v>1186</v>
      </c>
      <c r="C35" s="3">
        <v>45025</v>
      </c>
      <c r="D35" s="3">
        <v>45030</v>
      </c>
      <c r="E35" s="2" t="s">
        <v>40</v>
      </c>
      <c r="F35" s="2" t="s">
        <v>41</v>
      </c>
      <c r="G35" s="2" t="s">
        <v>33</v>
      </c>
      <c r="H35" s="2" t="s">
        <v>38</v>
      </c>
      <c r="I35" s="2" t="s">
        <v>55</v>
      </c>
      <c r="J35" s="2" t="s">
        <v>67</v>
      </c>
      <c r="K35" s="2" t="s">
        <v>48</v>
      </c>
      <c r="L35" s="2">
        <v>7</v>
      </c>
      <c r="M35" s="2">
        <v>730.15</v>
      </c>
      <c r="O35" s="2">
        <v>10160</v>
      </c>
      <c r="P35" s="2">
        <v>1032</v>
      </c>
      <c r="Q35" s="3">
        <v>45039</v>
      </c>
      <c r="R35" s="3">
        <v>45041</v>
      </c>
      <c r="S35" s="2" t="s">
        <v>25</v>
      </c>
      <c r="T35" s="2" t="s">
        <v>41</v>
      </c>
      <c r="U35" s="2" t="s">
        <v>20</v>
      </c>
      <c r="V35" s="2" t="s">
        <v>47</v>
      </c>
      <c r="W35" s="2" t="s">
        <v>34</v>
      </c>
      <c r="X35" s="2" t="s">
        <v>51</v>
      </c>
      <c r="Y35" s="2" t="s">
        <v>50</v>
      </c>
      <c r="Z35" s="2">
        <v>4</v>
      </c>
      <c r="AA35" s="2">
        <v>1322.72</v>
      </c>
    </row>
    <row r="36" spans="1:27" x14ac:dyDescent="0.3">
      <c r="A36" s="2">
        <v>10046</v>
      </c>
      <c r="B36" s="2">
        <v>1975</v>
      </c>
      <c r="C36" s="3">
        <v>45209</v>
      </c>
      <c r="D36" s="3">
        <v>45211</v>
      </c>
      <c r="E36" s="2" t="s">
        <v>40</v>
      </c>
      <c r="F36" s="2" t="s">
        <v>57</v>
      </c>
      <c r="G36" s="2" t="s">
        <v>27</v>
      </c>
      <c r="H36" s="2" t="s">
        <v>21</v>
      </c>
      <c r="I36" s="2" t="s">
        <v>52</v>
      </c>
      <c r="J36" s="2" t="s">
        <v>54</v>
      </c>
      <c r="K36" s="2" t="s">
        <v>48</v>
      </c>
      <c r="L36" s="2">
        <v>8</v>
      </c>
      <c r="M36" s="2">
        <v>444.79</v>
      </c>
      <c r="O36" s="2">
        <v>10296</v>
      </c>
      <c r="P36" s="2">
        <v>1129</v>
      </c>
      <c r="Q36" s="3">
        <v>44954</v>
      </c>
      <c r="R36" s="3">
        <v>44957</v>
      </c>
      <c r="S36" s="2" t="s">
        <v>19</v>
      </c>
      <c r="T36" s="2" t="s">
        <v>19</v>
      </c>
      <c r="U36" s="2" t="s">
        <v>20</v>
      </c>
      <c r="V36" s="2" t="s">
        <v>38</v>
      </c>
      <c r="W36" s="2" t="s">
        <v>34</v>
      </c>
      <c r="X36" s="2" t="s">
        <v>51</v>
      </c>
      <c r="Y36" s="2" t="s">
        <v>50</v>
      </c>
      <c r="Z36" s="2">
        <v>5</v>
      </c>
      <c r="AA36" s="2">
        <v>2850.33</v>
      </c>
    </row>
    <row r="37" spans="1:27" x14ac:dyDescent="0.3">
      <c r="A37" s="2">
        <v>10168</v>
      </c>
      <c r="B37" s="2">
        <v>1683</v>
      </c>
      <c r="C37" s="3">
        <v>45229</v>
      </c>
      <c r="D37" s="3">
        <v>45232</v>
      </c>
      <c r="E37" s="2" t="s">
        <v>40</v>
      </c>
      <c r="F37" s="2" t="s">
        <v>19</v>
      </c>
      <c r="G37" s="2" t="s">
        <v>33</v>
      </c>
      <c r="H37" s="2" t="s">
        <v>47</v>
      </c>
      <c r="I37" s="2" t="s">
        <v>55</v>
      </c>
      <c r="J37" s="2" t="s">
        <v>59</v>
      </c>
      <c r="K37" s="2" t="s">
        <v>48</v>
      </c>
      <c r="L37" s="2">
        <v>8</v>
      </c>
      <c r="M37" s="2">
        <v>187.29</v>
      </c>
      <c r="O37" s="2">
        <v>10342</v>
      </c>
      <c r="P37" s="2">
        <v>1819</v>
      </c>
      <c r="Q37" s="3">
        <v>45018</v>
      </c>
      <c r="R37" s="3">
        <v>45019</v>
      </c>
      <c r="S37" s="2" t="s">
        <v>18</v>
      </c>
      <c r="T37" s="2" t="s">
        <v>57</v>
      </c>
      <c r="U37" s="2" t="s">
        <v>20</v>
      </c>
      <c r="V37" s="2" t="s">
        <v>38</v>
      </c>
      <c r="W37" s="2" t="s">
        <v>29</v>
      </c>
      <c r="X37" s="2" t="s">
        <v>30</v>
      </c>
      <c r="Y37" s="2" t="s">
        <v>50</v>
      </c>
      <c r="Z37" s="2">
        <v>5</v>
      </c>
      <c r="AA37" s="2">
        <v>1853.11</v>
      </c>
    </row>
    <row r="38" spans="1:27" x14ac:dyDescent="0.3">
      <c r="A38" s="2">
        <v>10315</v>
      </c>
      <c r="B38" s="2">
        <v>1609</v>
      </c>
      <c r="C38" s="3">
        <v>45024</v>
      </c>
      <c r="D38" s="3">
        <v>45029</v>
      </c>
      <c r="E38" s="2" t="s">
        <v>40</v>
      </c>
      <c r="F38" s="2" t="s">
        <v>32</v>
      </c>
      <c r="G38" s="2" t="s">
        <v>27</v>
      </c>
      <c r="H38" s="2" t="s">
        <v>21</v>
      </c>
      <c r="I38" s="2" t="s">
        <v>52</v>
      </c>
      <c r="J38" s="2" t="s">
        <v>53</v>
      </c>
      <c r="K38" s="2" t="s">
        <v>48</v>
      </c>
      <c r="L38" s="2">
        <v>8</v>
      </c>
      <c r="M38" s="2">
        <v>3253.02</v>
      </c>
      <c r="O38" s="2">
        <v>10117</v>
      </c>
      <c r="P38" s="2">
        <v>1719</v>
      </c>
      <c r="Q38" s="3">
        <v>45285</v>
      </c>
      <c r="R38" s="3">
        <v>45293</v>
      </c>
      <c r="S38" s="2" t="s">
        <v>43</v>
      </c>
      <c r="T38" s="2" t="s">
        <v>57</v>
      </c>
      <c r="U38" s="2" t="s">
        <v>20</v>
      </c>
      <c r="V38" s="2" t="s">
        <v>45</v>
      </c>
      <c r="W38" s="2" t="s">
        <v>60</v>
      </c>
      <c r="X38" s="2" t="s">
        <v>61</v>
      </c>
      <c r="Y38" s="2" t="s">
        <v>50</v>
      </c>
      <c r="Z38" s="2">
        <v>6</v>
      </c>
      <c r="AA38" s="2">
        <v>3554.77</v>
      </c>
    </row>
    <row r="39" spans="1:27" x14ac:dyDescent="0.3">
      <c r="A39" s="2">
        <v>10268</v>
      </c>
      <c r="B39" s="2">
        <v>1112</v>
      </c>
      <c r="C39" s="3">
        <v>45069</v>
      </c>
      <c r="D39" s="3">
        <v>45072</v>
      </c>
      <c r="E39" s="2" t="s">
        <v>40</v>
      </c>
      <c r="F39" s="2" t="s">
        <v>19</v>
      </c>
      <c r="G39" s="2" t="s">
        <v>33</v>
      </c>
      <c r="H39" s="2" t="s">
        <v>45</v>
      </c>
      <c r="I39" s="2" t="s">
        <v>34</v>
      </c>
      <c r="J39" s="2" t="s">
        <v>42</v>
      </c>
      <c r="K39" s="2" t="s">
        <v>31</v>
      </c>
      <c r="L39" s="2">
        <v>1</v>
      </c>
      <c r="M39" s="2">
        <v>2660.56</v>
      </c>
      <c r="O39" s="2">
        <v>10135</v>
      </c>
      <c r="P39" s="2">
        <v>1838</v>
      </c>
      <c r="Q39" s="3">
        <v>44981</v>
      </c>
      <c r="R39" s="3">
        <v>44990</v>
      </c>
      <c r="S39" s="2" t="s">
        <v>43</v>
      </c>
      <c r="T39" s="2" t="s">
        <v>19</v>
      </c>
      <c r="U39" s="2" t="s">
        <v>20</v>
      </c>
      <c r="V39" s="2" t="s">
        <v>28</v>
      </c>
      <c r="W39" s="2" t="s">
        <v>22</v>
      </c>
      <c r="X39" s="2" t="s">
        <v>46</v>
      </c>
      <c r="Y39" s="2" t="s">
        <v>50</v>
      </c>
      <c r="Z39" s="2">
        <v>6</v>
      </c>
      <c r="AA39" s="2">
        <v>1919.66</v>
      </c>
    </row>
    <row r="40" spans="1:27" x14ac:dyDescent="0.3">
      <c r="A40" s="2">
        <v>10314</v>
      </c>
      <c r="B40" s="2">
        <v>1883</v>
      </c>
      <c r="C40" s="3">
        <v>45256</v>
      </c>
      <c r="D40" s="3">
        <v>45264</v>
      </c>
      <c r="E40" s="2" t="s">
        <v>40</v>
      </c>
      <c r="F40" s="2" t="s">
        <v>19</v>
      </c>
      <c r="G40" s="2" t="s">
        <v>27</v>
      </c>
      <c r="H40" s="2" t="s">
        <v>28</v>
      </c>
      <c r="I40" s="2" t="s">
        <v>29</v>
      </c>
      <c r="J40" s="2" t="s">
        <v>71</v>
      </c>
      <c r="K40" s="2" t="s">
        <v>31</v>
      </c>
      <c r="L40" s="2">
        <v>1</v>
      </c>
      <c r="M40" s="2">
        <v>1681.85</v>
      </c>
      <c r="O40" s="2">
        <v>10195</v>
      </c>
      <c r="P40" s="2">
        <v>1574</v>
      </c>
      <c r="Q40" s="3">
        <v>45044</v>
      </c>
      <c r="R40" s="3">
        <v>45045</v>
      </c>
      <c r="S40" s="2" t="s">
        <v>37</v>
      </c>
      <c r="T40" s="2" t="s">
        <v>26</v>
      </c>
      <c r="U40" s="2" t="s">
        <v>20</v>
      </c>
      <c r="V40" s="2" t="s">
        <v>38</v>
      </c>
      <c r="W40" s="2" t="s">
        <v>34</v>
      </c>
      <c r="X40" s="2" t="s">
        <v>68</v>
      </c>
      <c r="Y40" s="2" t="s">
        <v>50</v>
      </c>
      <c r="Z40" s="2">
        <v>6</v>
      </c>
      <c r="AA40" s="2">
        <v>344.65</v>
      </c>
    </row>
    <row r="41" spans="1:27" x14ac:dyDescent="0.3">
      <c r="A41" s="2">
        <v>10141</v>
      </c>
      <c r="B41" s="2">
        <v>1062</v>
      </c>
      <c r="C41" s="3">
        <v>45085</v>
      </c>
      <c r="D41" s="3">
        <v>45092</v>
      </c>
      <c r="E41" s="2" t="s">
        <v>40</v>
      </c>
      <c r="F41" s="2" t="s">
        <v>32</v>
      </c>
      <c r="G41" s="2" t="s">
        <v>20</v>
      </c>
      <c r="H41" s="2" t="s">
        <v>28</v>
      </c>
      <c r="I41" s="2" t="s">
        <v>34</v>
      </c>
      <c r="J41" s="2" t="s">
        <v>42</v>
      </c>
      <c r="K41" s="2" t="s">
        <v>31</v>
      </c>
      <c r="L41" s="2">
        <v>2</v>
      </c>
      <c r="M41" s="2">
        <v>1766.42</v>
      </c>
      <c r="O41" s="2">
        <v>10223</v>
      </c>
      <c r="P41" s="2">
        <v>1645</v>
      </c>
      <c r="Q41" s="3">
        <v>45108</v>
      </c>
      <c r="R41" s="3">
        <v>45117</v>
      </c>
      <c r="S41" s="2" t="s">
        <v>49</v>
      </c>
      <c r="T41" s="2" t="s">
        <v>57</v>
      </c>
      <c r="U41" s="2" t="s">
        <v>20</v>
      </c>
      <c r="V41" s="2" t="s">
        <v>28</v>
      </c>
      <c r="W41" s="2" t="s">
        <v>60</v>
      </c>
      <c r="X41" s="2" t="s">
        <v>62</v>
      </c>
      <c r="Y41" s="2" t="s">
        <v>50</v>
      </c>
      <c r="Z41" s="2">
        <v>6</v>
      </c>
      <c r="AA41" s="2">
        <v>1477.55</v>
      </c>
    </row>
    <row r="42" spans="1:27" x14ac:dyDescent="0.3">
      <c r="A42" s="2">
        <v>10243</v>
      </c>
      <c r="B42" s="2">
        <v>1632</v>
      </c>
      <c r="C42" s="3">
        <v>45108</v>
      </c>
      <c r="D42" s="3">
        <v>45109</v>
      </c>
      <c r="E42" s="2" t="s">
        <v>40</v>
      </c>
      <c r="F42" s="2" t="s">
        <v>26</v>
      </c>
      <c r="G42" s="2" t="s">
        <v>33</v>
      </c>
      <c r="H42" s="2" t="s">
        <v>21</v>
      </c>
      <c r="I42" s="2" t="s">
        <v>60</v>
      </c>
      <c r="J42" s="2" t="s">
        <v>62</v>
      </c>
      <c r="K42" s="2" t="s">
        <v>31</v>
      </c>
      <c r="L42" s="2">
        <v>2</v>
      </c>
      <c r="M42" s="2">
        <v>601.53</v>
      </c>
      <c r="O42" s="2">
        <v>10327</v>
      </c>
      <c r="P42" s="2">
        <v>1463</v>
      </c>
      <c r="Q42" s="3">
        <v>45169</v>
      </c>
      <c r="R42" s="3">
        <v>45176</v>
      </c>
      <c r="S42" s="2" t="s">
        <v>25</v>
      </c>
      <c r="T42" s="2" t="s">
        <v>26</v>
      </c>
      <c r="U42" s="2" t="s">
        <v>20</v>
      </c>
      <c r="V42" s="2" t="s">
        <v>45</v>
      </c>
      <c r="W42" s="2" t="s">
        <v>55</v>
      </c>
      <c r="X42" s="2" t="s">
        <v>63</v>
      </c>
      <c r="Y42" s="2" t="s">
        <v>50</v>
      </c>
      <c r="Z42" s="2">
        <v>6</v>
      </c>
      <c r="AA42" s="2">
        <v>3967.1</v>
      </c>
    </row>
    <row r="43" spans="1:27" x14ac:dyDescent="0.3">
      <c r="A43" s="2">
        <v>10217</v>
      </c>
      <c r="B43" s="2">
        <v>1795</v>
      </c>
      <c r="C43" s="3">
        <v>45055</v>
      </c>
      <c r="D43" s="3">
        <v>45057</v>
      </c>
      <c r="E43" s="2" t="s">
        <v>40</v>
      </c>
      <c r="F43" s="2" t="s">
        <v>44</v>
      </c>
      <c r="G43" s="2" t="s">
        <v>27</v>
      </c>
      <c r="H43" s="2" t="s">
        <v>45</v>
      </c>
      <c r="I43" s="2" t="s">
        <v>52</v>
      </c>
      <c r="J43" s="2" t="s">
        <v>53</v>
      </c>
      <c r="K43" s="2" t="s">
        <v>31</v>
      </c>
      <c r="L43" s="2">
        <v>4</v>
      </c>
      <c r="M43" s="2">
        <v>3335.32</v>
      </c>
      <c r="O43" s="2">
        <v>10371</v>
      </c>
      <c r="P43" s="2">
        <v>1253</v>
      </c>
      <c r="Q43" s="3">
        <v>44973</v>
      </c>
      <c r="R43" s="3">
        <v>44979</v>
      </c>
      <c r="S43" s="2" t="s">
        <v>37</v>
      </c>
      <c r="T43" s="2" t="s">
        <v>44</v>
      </c>
      <c r="U43" s="2" t="s">
        <v>20</v>
      </c>
      <c r="V43" s="2" t="s">
        <v>21</v>
      </c>
      <c r="W43" s="2" t="s">
        <v>52</v>
      </c>
      <c r="X43" s="2" t="s">
        <v>70</v>
      </c>
      <c r="Y43" s="2" t="s">
        <v>50</v>
      </c>
      <c r="Z43" s="2">
        <v>6</v>
      </c>
      <c r="AA43" s="2">
        <v>2715.13</v>
      </c>
    </row>
    <row r="44" spans="1:27" x14ac:dyDescent="0.3">
      <c r="A44" s="2">
        <v>10091</v>
      </c>
      <c r="B44" s="2">
        <v>1001</v>
      </c>
      <c r="C44" s="3">
        <v>45016</v>
      </c>
      <c r="D44" s="3">
        <v>45019</v>
      </c>
      <c r="E44" s="2" t="s">
        <v>40</v>
      </c>
      <c r="F44" s="2" t="s">
        <v>19</v>
      </c>
      <c r="G44" s="2" t="s">
        <v>20</v>
      </c>
      <c r="H44" s="2" t="s">
        <v>47</v>
      </c>
      <c r="I44" s="2" t="s">
        <v>29</v>
      </c>
      <c r="J44" s="2" t="s">
        <v>30</v>
      </c>
      <c r="K44" s="2" t="s">
        <v>31</v>
      </c>
      <c r="L44" s="2">
        <v>5</v>
      </c>
      <c r="M44" s="2">
        <v>3370.52</v>
      </c>
      <c r="O44" s="2">
        <v>10394</v>
      </c>
      <c r="P44" s="2">
        <v>1421</v>
      </c>
      <c r="Q44" s="3">
        <v>45172</v>
      </c>
      <c r="R44" s="3">
        <v>45173</v>
      </c>
      <c r="S44" s="2" t="s">
        <v>25</v>
      </c>
      <c r="T44" s="2" t="s">
        <v>32</v>
      </c>
      <c r="U44" s="2" t="s">
        <v>20</v>
      </c>
      <c r="V44" s="2" t="s">
        <v>21</v>
      </c>
      <c r="W44" s="2" t="s">
        <v>52</v>
      </c>
      <c r="X44" s="2" t="s">
        <v>53</v>
      </c>
      <c r="Y44" s="2" t="s">
        <v>50</v>
      </c>
      <c r="Z44" s="2">
        <v>6</v>
      </c>
      <c r="AA44" s="2">
        <v>2716.48</v>
      </c>
    </row>
    <row r="45" spans="1:27" x14ac:dyDescent="0.3">
      <c r="A45" s="2">
        <v>10014</v>
      </c>
      <c r="B45" s="2">
        <v>1458</v>
      </c>
      <c r="C45" s="3">
        <v>45039</v>
      </c>
      <c r="D45" s="3">
        <v>45045</v>
      </c>
      <c r="E45" s="2" t="s">
        <v>40</v>
      </c>
      <c r="F45" s="2" t="s">
        <v>41</v>
      </c>
      <c r="G45" s="2" t="s">
        <v>33</v>
      </c>
      <c r="H45" s="2" t="s">
        <v>38</v>
      </c>
      <c r="I45" s="2" t="s">
        <v>29</v>
      </c>
      <c r="J45" s="2" t="s">
        <v>39</v>
      </c>
      <c r="K45" s="2" t="s">
        <v>31</v>
      </c>
      <c r="L45" s="2">
        <v>8</v>
      </c>
      <c r="M45" s="2">
        <v>1074.27</v>
      </c>
      <c r="O45" s="2">
        <v>10422</v>
      </c>
      <c r="P45" s="2">
        <v>1915</v>
      </c>
      <c r="Q45" s="3">
        <v>45059</v>
      </c>
      <c r="R45" s="3">
        <v>45061</v>
      </c>
      <c r="S45" s="2" t="s">
        <v>19</v>
      </c>
      <c r="T45" s="2" t="s">
        <v>57</v>
      </c>
      <c r="U45" s="2" t="s">
        <v>20</v>
      </c>
      <c r="V45" s="2" t="s">
        <v>21</v>
      </c>
      <c r="W45" s="2" t="s">
        <v>55</v>
      </c>
      <c r="X45" s="2" t="s">
        <v>67</v>
      </c>
      <c r="Y45" s="2" t="s">
        <v>50</v>
      </c>
      <c r="Z45" s="2">
        <v>6</v>
      </c>
      <c r="AA45" s="2">
        <v>1288.31</v>
      </c>
    </row>
    <row r="46" spans="1:27" x14ac:dyDescent="0.3">
      <c r="A46" s="2">
        <v>10290</v>
      </c>
      <c r="B46" s="2">
        <v>1996</v>
      </c>
      <c r="C46" s="3">
        <v>45215</v>
      </c>
      <c r="D46" s="3">
        <v>45218</v>
      </c>
      <c r="E46" s="2" t="s">
        <v>40</v>
      </c>
      <c r="F46" s="2" t="s">
        <v>44</v>
      </c>
      <c r="G46" s="2" t="s">
        <v>33</v>
      </c>
      <c r="H46" s="2" t="s">
        <v>21</v>
      </c>
      <c r="I46" s="2" t="s">
        <v>22</v>
      </c>
      <c r="J46" s="2" t="s">
        <v>23</v>
      </c>
      <c r="K46" s="2" t="s">
        <v>31</v>
      </c>
      <c r="L46" s="2">
        <v>8</v>
      </c>
      <c r="M46" s="2">
        <v>2695.39</v>
      </c>
      <c r="O46" s="2">
        <v>10480</v>
      </c>
      <c r="P46" s="2">
        <v>1301</v>
      </c>
      <c r="Q46" s="3">
        <v>45117</v>
      </c>
      <c r="R46" s="3">
        <v>45119</v>
      </c>
      <c r="S46" s="2" t="s">
        <v>19</v>
      </c>
      <c r="T46" s="2" t="s">
        <v>32</v>
      </c>
      <c r="U46" s="2" t="s">
        <v>20</v>
      </c>
      <c r="V46" s="2" t="s">
        <v>47</v>
      </c>
      <c r="W46" s="2" t="s">
        <v>29</v>
      </c>
      <c r="X46" s="2" t="s">
        <v>39</v>
      </c>
      <c r="Y46" s="2" t="s">
        <v>50</v>
      </c>
      <c r="Z46" s="2">
        <v>6</v>
      </c>
      <c r="AA46" s="2">
        <v>845</v>
      </c>
    </row>
    <row r="47" spans="1:27" x14ac:dyDescent="0.3">
      <c r="A47" s="2">
        <v>10357</v>
      </c>
      <c r="B47" s="2">
        <v>1414</v>
      </c>
      <c r="C47" s="3">
        <v>45205</v>
      </c>
      <c r="D47" s="3">
        <v>45213</v>
      </c>
      <c r="E47" s="2" t="s">
        <v>40</v>
      </c>
      <c r="F47" s="2" t="s">
        <v>41</v>
      </c>
      <c r="G47" s="2" t="s">
        <v>20</v>
      </c>
      <c r="H47" s="2" t="s">
        <v>28</v>
      </c>
      <c r="I47" s="2" t="s">
        <v>60</v>
      </c>
      <c r="J47" s="2" t="s">
        <v>61</v>
      </c>
      <c r="K47" s="2" t="s">
        <v>31</v>
      </c>
      <c r="L47" s="2">
        <v>8</v>
      </c>
      <c r="M47" s="2">
        <v>1300.31</v>
      </c>
      <c r="O47" s="2">
        <v>10087</v>
      </c>
      <c r="P47" s="2">
        <v>1931</v>
      </c>
      <c r="Q47" s="3">
        <v>45038</v>
      </c>
      <c r="R47" s="3">
        <v>45045</v>
      </c>
      <c r="S47" s="2" t="s">
        <v>43</v>
      </c>
      <c r="T47" s="2" t="s">
        <v>32</v>
      </c>
      <c r="U47" s="2" t="s">
        <v>20</v>
      </c>
      <c r="V47" s="2" t="s">
        <v>21</v>
      </c>
      <c r="W47" s="2" t="s">
        <v>34</v>
      </c>
      <c r="X47" s="2" t="s">
        <v>42</v>
      </c>
      <c r="Y47" s="2" t="s">
        <v>50</v>
      </c>
      <c r="Z47" s="2">
        <v>7</v>
      </c>
      <c r="AA47" s="2">
        <v>1373.12</v>
      </c>
    </row>
    <row r="48" spans="1:27" x14ac:dyDescent="0.3">
      <c r="A48" s="2">
        <v>10413</v>
      </c>
      <c r="B48" s="2">
        <v>1956</v>
      </c>
      <c r="C48" s="3">
        <v>45054</v>
      </c>
      <c r="D48" s="3">
        <v>45056</v>
      </c>
      <c r="E48" s="2" t="s">
        <v>40</v>
      </c>
      <c r="F48" s="2" t="s">
        <v>57</v>
      </c>
      <c r="G48" s="2" t="s">
        <v>27</v>
      </c>
      <c r="H48" s="2" t="s">
        <v>21</v>
      </c>
      <c r="I48" s="2" t="s">
        <v>55</v>
      </c>
      <c r="J48" s="2" t="s">
        <v>56</v>
      </c>
      <c r="K48" s="2" t="s">
        <v>31</v>
      </c>
      <c r="L48" s="2">
        <v>8</v>
      </c>
      <c r="M48" s="2">
        <v>1297.5899999999999</v>
      </c>
      <c r="O48" s="2">
        <v>10103</v>
      </c>
      <c r="P48" s="2">
        <v>1201</v>
      </c>
      <c r="Q48" s="3">
        <v>45238</v>
      </c>
      <c r="R48" s="3">
        <v>45244</v>
      </c>
      <c r="S48" s="2" t="s">
        <v>49</v>
      </c>
      <c r="T48" s="2" t="s">
        <v>26</v>
      </c>
      <c r="U48" s="2" t="s">
        <v>20</v>
      </c>
      <c r="V48" s="2" t="s">
        <v>45</v>
      </c>
      <c r="W48" s="2" t="s">
        <v>22</v>
      </c>
      <c r="X48" s="2" t="s">
        <v>23</v>
      </c>
      <c r="Y48" s="2" t="s">
        <v>50</v>
      </c>
      <c r="Z48" s="2">
        <v>7</v>
      </c>
      <c r="AA48" s="2">
        <v>3590.34</v>
      </c>
    </row>
    <row r="49" spans="1:27" x14ac:dyDescent="0.3">
      <c r="A49" s="2">
        <v>10097</v>
      </c>
      <c r="B49" s="2">
        <v>1476</v>
      </c>
      <c r="C49" s="3">
        <v>45047</v>
      </c>
      <c r="D49" s="3">
        <v>45056</v>
      </c>
      <c r="E49" s="2" t="s">
        <v>40</v>
      </c>
      <c r="F49" s="2" t="s">
        <v>26</v>
      </c>
      <c r="G49" s="2" t="s">
        <v>27</v>
      </c>
      <c r="H49" s="2" t="s">
        <v>21</v>
      </c>
      <c r="I49" s="2" t="s">
        <v>55</v>
      </c>
      <c r="J49" s="2" t="s">
        <v>63</v>
      </c>
      <c r="K49" s="2" t="s">
        <v>31</v>
      </c>
      <c r="L49" s="2">
        <v>9</v>
      </c>
      <c r="M49" s="2">
        <v>501.79</v>
      </c>
      <c r="O49" s="2">
        <v>10185</v>
      </c>
      <c r="P49" s="2">
        <v>1870</v>
      </c>
      <c r="Q49" s="3">
        <v>45016</v>
      </c>
      <c r="R49" s="3">
        <v>45023</v>
      </c>
      <c r="S49" s="2" t="s">
        <v>37</v>
      </c>
      <c r="T49" s="2" t="s">
        <v>19</v>
      </c>
      <c r="U49" s="2" t="s">
        <v>20</v>
      </c>
      <c r="V49" s="2" t="s">
        <v>21</v>
      </c>
      <c r="W49" s="2" t="s">
        <v>34</v>
      </c>
      <c r="X49" s="2" t="s">
        <v>42</v>
      </c>
      <c r="Y49" s="2" t="s">
        <v>50</v>
      </c>
      <c r="Z49" s="2">
        <v>7</v>
      </c>
      <c r="AA49" s="2">
        <v>898.62</v>
      </c>
    </row>
    <row r="50" spans="1:27" x14ac:dyDescent="0.3">
      <c r="A50" s="2">
        <v>10383</v>
      </c>
      <c r="B50" s="2">
        <v>1403</v>
      </c>
      <c r="C50" s="3">
        <v>45040</v>
      </c>
      <c r="D50" s="3">
        <v>45042</v>
      </c>
      <c r="E50" s="2" t="s">
        <v>40</v>
      </c>
      <c r="F50" s="2" t="s">
        <v>26</v>
      </c>
      <c r="G50" s="2" t="s">
        <v>27</v>
      </c>
      <c r="H50" s="2" t="s">
        <v>45</v>
      </c>
      <c r="I50" s="2" t="s">
        <v>34</v>
      </c>
      <c r="J50" s="2" t="s">
        <v>51</v>
      </c>
      <c r="K50" s="2" t="s">
        <v>36</v>
      </c>
      <c r="L50" s="2">
        <v>1</v>
      </c>
      <c r="M50" s="2">
        <v>3581.58</v>
      </c>
      <c r="O50" s="2">
        <v>10369</v>
      </c>
      <c r="P50" s="2">
        <v>1896</v>
      </c>
      <c r="Q50" s="3">
        <v>44998</v>
      </c>
      <c r="R50" s="3">
        <v>45000</v>
      </c>
      <c r="S50" s="2" t="s">
        <v>25</v>
      </c>
      <c r="T50" s="2" t="s">
        <v>26</v>
      </c>
      <c r="U50" s="2" t="s">
        <v>20</v>
      </c>
      <c r="V50" s="2" t="s">
        <v>38</v>
      </c>
      <c r="W50" s="2" t="s">
        <v>29</v>
      </c>
      <c r="X50" s="2" t="s">
        <v>39</v>
      </c>
      <c r="Y50" s="2" t="s">
        <v>50</v>
      </c>
      <c r="Z50" s="2">
        <v>8</v>
      </c>
      <c r="AA50" s="2">
        <v>3277.19</v>
      </c>
    </row>
    <row r="51" spans="1:27" x14ac:dyDescent="0.3">
      <c r="A51" s="2">
        <v>10440</v>
      </c>
      <c r="B51" s="2">
        <v>1037</v>
      </c>
      <c r="C51" s="3">
        <v>45144</v>
      </c>
      <c r="D51" s="3">
        <v>45149</v>
      </c>
      <c r="E51" s="2" t="s">
        <v>40</v>
      </c>
      <c r="F51" s="2" t="s">
        <v>57</v>
      </c>
      <c r="G51" s="2" t="s">
        <v>20</v>
      </c>
      <c r="H51" s="2" t="s">
        <v>45</v>
      </c>
      <c r="I51" s="2" t="s">
        <v>52</v>
      </c>
      <c r="J51" s="2" t="s">
        <v>53</v>
      </c>
      <c r="K51" s="2" t="s">
        <v>36</v>
      </c>
      <c r="L51" s="2">
        <v>1</v>
      </c>
      <c r="M51" s="2">
        <v>3775.07</v>
      </c>
      <c r="O51" s="2">
        <v>10481</v>
      </c>
      <c r="P51" s="2">
        <v>1180</v>
      </c>
      <c r="Q51" s="3">
        <v>44947</v>
      </c>
      <c r="R51" s="3">
        <v>44955</v>
      </c>
      <c r="S51" s="2" t="s">
        <v>37</v>
      </c>
      <c r="T51" s="2" t="s">
        <v>44</v>
      </c>
      <c r="U51" s="2" t="s">
        <v>20</v>
      </c>
      <c r="V51" s="2" t="s">
        <v>47</v>
      </c>
      <c r="W51" s="2" t="s">
        <v>52</v>
      </c>
      <c r="X51" s="2" t="s">
        <v>53</v>
      </c>
      <c r="Y51" s="2" t="s">
        <v>50</v>
      </c>
      <c r="Z51" s="2">
        <v>8</v>
      </c>
      <c r="AA51" s="2">
        <v>1160.51</v>
      </c>
    </row>
    <row r="52" spans="1:27" x14ac:dyDescent="0.3">
      <c r="A52" s="2">
        <v>10326</v>
      </c>
      <c r="B52" s="2">
        <v>1325</v>
      </c>
      <c r="C52" s="3">
        <v>45118</v>
      </c>
      <c r="D52" s="3">
        <v>45124</v>
      </c>
      <c r="E52" s="2" t="s">
        <v>40</v>
      </c>
      <c r="F52" s="2" t="s">
        <v>19</v>
      </c>
      <c r="G52" s="2" t="s">
        <v>27</v>
      </c>
      <c r="H52" s="2" t="s">
        <v>47</v>
      </c>
      <c r="I52" s="2" t="s">
        <v>55</v>
      </c>
      <c r="J52" s="2" t="s">
        <v>63</v>
      </c>
      <c r="K52" s="2" t="s">
        <v>36</v>
      </c>
      <c r="L52" s="2">
        <v>2</v>
      </c>
      <c r="M52" s="2">
        <v>3428.64</v>
      </c>
      <c r="O52" s="2">
        <v>10172</v>
      </c>
      <c r="P52" s="2">
        <v>1546</v>
      </c>
      <c r="Q52" s="3">
        <v>45087</v>
      </c>
      <c r="R52" s="3">
        <v>45088</v>
      </c>
      <c r="S52" s="2" t="s">
        <v>49</v>
      </c>
      <c r="T52" s="2" t="s">
        <v>57</v>
      </c>
      <c r="U52" s="2" t="s">
        <v>20</v>
      </c>
      <c r="V52" s="2" t="s">
        <v>45</v>
      </c>
      <c r="W52" s="2" t="s">
        <v>52</v>
      </c>
      <c r="X52" s="2" t="s">
        <v>66</v>
      </c>
      <c r="Y52" s="2" t="s">
        <v>50</v>
      </c>
      <c r="Z52" s="2">
        <v>9</v>
      </c>
      <c r="AA52" s="2">
        <v>3159.22</v>
      </c>
    </row>
    <row r="53" spans="1:27" x14ac:dyDescent="0.3">
      <c r="A53" s="2">
        <v>10252</v>
      </c>
      <c r="B53" s="2">
        <v>1648</v>
      </c>
      <c r="C53" s="3">
        <v>45110</v>
      </c>
      <c r="D53" s="3">
        <v>45114</v>
      </c>
      <c r="E53" s="2" t="s">
        <v>40</v>
      </c>
      <c r="F53" s="2" t="s">
        <v>41</v>
      </c>
      <c r="G53" s="2" t="s">
        <v>27</v>
      </c>
      <c r="H53" s="2" t="s">
        <v>45</v>
      </c>
      <c r="I53" s="2" t="s">
        <v>55</v>
      </c>
      <c r="J53" s="2" t="s">
        <v>63</v>
      </c>
      <c r="K53" s="2" t="s">
        <v>36</v>
      </c>
      <c r="L53" s="2">
        <v>4</v>
      </c>
      <c r="M53" s="2">
        <v>1868.8</v>
      </c>
      <c r="O53" s="2">
        <v>10235</v>
      </c>
      <c r="P53" s="2">
        <v>1472</v>
      </c>
      <c r="Q53" s="3">
        <v>45032</v>
      </c>
      <c r="R53" s="3">
        <v>45040</v>
      </c>
      <c r="S53" s="2" t="s">
        <v>43</v>
      </c>
      <c r="T53" s="2" t="s">
        <v>32</v>
      </c>
      <c r="U53" s="2" t="s">
        <v>20</v>
      </c>
      <c r="V53" s="2" t="s">
        <v>38</v>
      </c>
      <c r="W53" s="2" t="s">
        <v>55</v>
      </c>
      <c r="X53" s="2" t="s">
        <v>63</v>
      </c>
      <c r="Y53" s="2" t="s">
        <v>50</v>
      </c>
      <c r="Z53" s="2">
        <v>9</v>
      </c>
      <c r="AA53" s="2">
        <v>2677.09</v>
      </c>
    </row>
    <row r="54" spans="1:27" x14ac:dyDescent="0.3">
      <c r="A54" s="2">
        <v>10274</v>
      </c>
      <c r="B54" s="2">
        <v>1509</v>
      </c>
      <c r="C54" s="3">
        <v>45240</v>
      </c>
      <c r="D54" s="3">
        <v>45241</v>
      </c>
      <c r="E54" s="2" t="s">
        <v>40</v>
      </c>
      <c r="F54" s="2" t="s">
        <v>19</v>
      </c>
      <c r="G54" s="2" t="s">
        <v>27</v>
      </c>
      <c r="H54" s="2" t="s">
        <v>47</v>
      </c>
      <c r="I54" s="2" t="s">
        <v>55</v>
      </c>
      <c r="J54" s="2" t="s">
        <v>63</v>
      </c>
      <c r="K54" s="2" t="s">
        <v>36</v>
      </c>
      <c r="L54" s="2">
        <v>4</v>
      </c>
      <c r="M54" s="2">
        <v>1258.1500000000001</v>
      </c>
      <c r="O54" s="2">
        <v>10024</v>
      </c>
      <c r="P54" s="2">
        <v>1343</v>
      </c>
      <c r="Q54" s="3">
        <v>45075</v>
      </c>
      <c r="R54" s="3">
        <v>45082</v>
      </c>
      <c r="S54" s="2" t="s">
        <v>25</v>
      </c>
      <c r="T54" s="2" t="s">
        <v>44</v>
      </c>
      <c r="U54" s="2" t="s">
        <v>20</v>
      </c>
      <c r="V54" s="2" t="s">
        <v>47</v>
      </c>
      <c r="W54" s="2" t="s">
        <v>52</v>
      </c>
      <c r="X54" s="2" t="s">
        <v>54</v>
      </c>
      <c r="Y54" s="2" t="s">
        <v>48</v>
      </c>
      <c r="Z54" s="2">
        <v>1</v>
      </c>
      <c r="AA54" s="2">
        <v>3606.31</v>
      </c>
    </row>
    <row r="55" spans="1:27" x14ac:dyDescent="0.3">
      <c r="A55" s="2">
        <v>10465</v>
      </c>
      <c r="B55" s="2">
        <v>1016</v>
      </c>
      <c r="C55" s="3">
        <v>45082</v>
      </c>
      <c r="D55" s="3">
        <v>45089</v>
      </c>
      <c r="E55" s="2" t="s">
        <v>40</v>
      </c>
      <c r="F55" s="2" t="s">
        <v>26</v>
      </c>
      <c r="G55" s="2" t="s">
        <v>33</v>
      </c>
      <c r="H55" s="2" t="s">
        <v>47</v>
      </c>
      <c r="I55" s="2" t="s">
        <v>22</v>
      </c>
      <c r="J55" s="2" t="s">
        <v>46</v>
      </c>
      <c r="K55" s="2" t="s">
        <v>36</v>
      </c>
      <c r="L55" s="2">
        <v>4</v>
      </c>
      <c r="M55" s="2">
        <v>589.44000000000005</v>
      </c>
      <c r="O55" s="2">
        <v>10249</v>
      </c>
      <c r="P55" s="2">
        <v>1709</v>
      </c>
      <c r="Q55" s="3">
        <v>45255</v>
      </c>
      <c r="R55" s="3">
        <v>45263</v>
      </c>
      <c r="S55" s="2" t="s">
        <v>49</v>
      </c>
      <c r="T55" s="2" t="s">
        <v>44</v>
      </c>
      <c r="U55" s="2" t="s">
        <v>20</v>
      </c>
      <c r="V55" s="2" t="s">
        <v>21</v>
      </c>
      <c r="W55" s="2" t="s">
        <v>34</v>
      </c>
      <c r="X55" s="2" t="s">
        <v>68</v>
      </c>
      <c r="Y55" s="2" t="s">
        <v>48</v>
      </c>
      <c r="Z55" s="2">
        <v>1</v>
      </c>
      <c r="AA55" s="2">
        <v>3942.92</v>
      </c>
    </row>
    <row r="56" spans="1:27" x14ac:dyDescent="0.3">
      <c r="A56" s="2">
        <v>10374</v>
      </c>
      <c r="B56" s="2">
        <v>1036</v>
      </c>
      <c r="C56" s="3">
        <v>45136</v>
      </c>
      <c r="D56" s="3">
        <v>45141</v>
      </c>
      <c r="E56" s="2" t="s">
        <v>40</v>
      </c>
      <c r="F56" s="2" t="s">
        <v>19</v>
      </c>
      <c r="G56" s="2" t="s">
        <v>20</v>
      </c>
      <c r="H56" s="2" t="s">
        <v>45</v>
      </c>
      <c r="I56" s="2" t="s">
        <v>60</v>
      </c>
      <c r="J56" s="2" t="s">
        <v>61</v>
      </c>
      <c r="K56" s="2" t="s">
        <v>36</v>
      </c>
      <c r="L56" s="2">
        <v>5</v>
      </c>
      <c r="M56" s="2">
        <v>1651.11</v>
      </c>
      <c r="O56" s="2">
        <v>10313</v>
      </c>
      <c r="P56" s="2">
        <v>1836</v>
      </c>
      <c r="Q56" s="3">
        <v>44992</v>
      </c>
      <c r="R56" s="3">
        <v>44997</v>
      </c>
      <c r="S56" s="2" t="s">
        <v>43</v>
      </c>
      <c r="T56" s="2" t="s">
        <v>44</v>
      </c>
      <c r="U56" s="2" t="s">
        <v>20</v>
      </c>
      <c r="V56" s="2" t="s">
        <v>38</v>
      </c>
      <c r="W56" s="2" t="s">
        <v>60</v>
      </c>
      <c r="X56" s="2" t="s">
        <v>65</v>
      </c>
      <c r="Y56" s="2" t="s">
        <v>48</v>
      </c>
      <c r="Z56" s="2">
        <v>1</v>
      </c>
      <c r="AA56" s="2">
        <v>3251.27</v>
      </c>
    </row>
    <row r="57" spans="1:27" x14ac:dyDescent="0.3">
      <c r="A57" s="2">
        <v>10022</v>
      </c>
      <c r="B57" s="2">
        <v>1308</v>
      </c>
      <c r="C57" s="3">
        <v>44944</v>
      </c>
      <c r="D57" s="3">
        <v>44951</v>
      </c>
      <c r="E57" s="2" t="s">
        <v>40</v>
      </c>
      <c r="F57" s="2" t="s">
        <v>26</v>
      </c>
      <c r="G57" s="2" t="s">
        <v>33</v>
      </c>
      <c r="H57" s="2" t="s">
        <v>38</v>
      </c>
      <c r="I57" s="2" t="s">
        <v>60</v>
      </c>
      <c r="J57" s="2" t="s">
        <v>61</v>
      </c>
      <c r="K57" s="2" t="s">
        <v>36</v>
      </c>
      <c r="L57" s="2">
        <v>7</v>
      </c>
      <c r="M57" s="2">
        <v>680.86</v>
      </c>
      <c r="O57" s="2">
        <v>10417</v>
      </c>
      <c r="P57" s="2">
        <v>1579</v>
      </c>
      <c r="Q57" s="3">
        <v>45057</v>
      </c>
      <c r="R57" s="3">
        <v>45065</v>
      </c>
      <c r="S57" s="2" t="s">
        <v>25</v>
      </c>
      <c r="T57" s="2" t="s">
        <v>57</v>
      </c>
      <c r="U57" s="2" t="s">
        <v>20</v>
      </c>
      <c r="V57" s="2" t="s">
        <v>47</v>
      </c>
      <c r="W57" s="2" t="s">
        <v>55</v>
      </c>
      <c r="X57" s="2" t="s">
        <v>67</v>
      </c>
      <c r="Y57" s="2" t="s">
        <v>48</v>
      </c>
      <c r="Z57" s="2">
        <v>1</v>
      </c>
      <c r="AA57" s="2">
        <v>3354.81</v>
      </c>
    </row>
    <row r="58" spans="1:27" x14ac:dyDescent="0.3">
      <c r="A58" s="2">
        <v>10170</v>
      </c>
      <c r="B58" s="2">
        <v>1725</v>
      </c>
      <c r="C58" s="3">
        <v>45044</v>
      </c>
      <c r="D58" s="3">
        <v>45048</v>
      </c>
      <c r="E58" s="2" t="s">
        <v>40</v>
      </c>
      <c r="F58" s="2" t="s">
        <v>19</v>
      </c>
      <c r="G58" s="2" t="s">
        <v>27</v>
      </c>
      <c r="H58" s="2" t="s">
        <v>21</v>
      </c>
      <c r="I58" s="2" t="s">
        <v>34</v>
      </c>
      <c r="J58" s="2" t="s">
        <v>68</v>
      </c>
      <c r="K58" s="2" t="s">
        <v>36</v>
      </c>
      <c r="L58" s="2">
        <v>7</v>
      </c>
      <c r="M58" s="2">
        <v>2964.96</v>
      </c>
      <c r="O58" s="2">
        <v>10023</v>
      </c>
      <c r="P58" s="2">
        <v>1769</v>
      </c>
      <c r="Q58" s="3">
        <v>45075</v>
      </c>
      <c r="R58" s="3">
        <v>45084</v>
      </c>
      <c r="S58" s="2" t="s">
        <v>19</v>
      </c>
      <c r="T58" s="2" t="s">
        <v>26</v>
      </c>
      <c r="U58" s="2" t="s">
        <v>20</v>
      </c>
      <c r="V58" s="2" t="s">
        <v>45</v>
      </c>
      <c r="W58" s="2" t="s">
        <v>34</v>
      </c>
      <c r="X58" s="2" t="s">
        <v>35</v>
      </c>
      <c r="Y58" s="2" t="s">
        <v>48</v>
      </c>
      <c r="Z58" s="2">
        <v>2</v>
      </c>
      <c r="AA58" s="2">
        <v>2801.74</v>
      </c>
    </row>
    <row r="59" spans="1:27" x14ac:dyDescent="0.3">
      <c r="A59" s="2">
        <v>10207</v>
      </c>
      <c r="B59" s="2">
        <v>1654</v>
      </c>
      <c r="C59" s="3">
        <v>45000</v>
      </c>
      <c r="D59" s="3">
        <v>45006</v>
      </c>
      <c r="E59" s="2" t="s">
        <v>40</v>
      </c>
      <c r="F59" s="2" t="s">
        <v>44</v>
      </c>
      <c r="G59" s="2" t="s">
        <v>27</v>
      </c>
      <c r="H59" s="2" t="s">
        <v>47</v>
      </c>
      <c r="I59" s="2" t="s">
        <v>52</v>
      </c>
      <c r="J59" s="2" t="s">
        <v>54</v>
      </c>
      <c r="K59" s="2" t="s">
        <v>36</v>
      </c>
      <c r="L59" s="2">
        <v>7</v>
      </c>
      <c r="M59" s="2">
        <v>982.56</v>
      </c>
      <c r="O59" s="2">
        <v>10065</v>
      </c>
      <c r="P59" s="2">
        <v>1273</v>
      </c>
      <c r="Q59" s="3">
        <v>45054</v>
      </c>
      <c r="R59" s="3">
        <v>45058</v>
      </c>
      <c r="S59" s="2" t="s">
        <v>18</v>
      </c>
      <c r="T59" s="2" t="s">
        <v>41</v>
      </c>
      <c r="U59" s="2" t="s">
        <v>20</v>
      </c>
      <c r="V59" s="2" t="s">
        <v>45</v>
      </c>
      <c r="W59" s="2" t="s">
        <v>22</v>
      </c>
      <c r="X59" s="2" t="s">
        <v>46</v>
      </c>
      <c r="Y59" s="2" t="s">
        <v>48</v>
      </c>
      <c r="Z59" s="2">
        <v>2</v>
      </c>
      <c r="AA59" s="2">
        <v>2773.21</v>
      </c>
    </row>
    <row r="60" spans="1:27" x14ac:dyDescent="0.3">
      <c r="A60" s="2">
        <v>10234</v>
      </c>
      <c r="B60" s="2">
        <v>1347</v>
      </c>
      <c r="C60" s="3">
        <v>45290</v>
      </c>
      <c r="D60" s="3">
        <v>45295</v>
      </c>
      <c r="E60" s="2" t="s">
        <v>40</v>
      </c>
      <c r="F60" s="2" t="s">
        <v>19</v>
      </c>
      <c r="G60" s="2" t="s">
        <v>33</v>
      </c>
      <c r="H60" s="2" t="s">
        <v>47</v>
      </c>
      <c r="I60" s="2" t="s">
        <v>34</v>
      </c>
      <c r="J60" s="2" t="s">
        <v>51</v>
      </c>
      <c r="K60" s="2" t="s">
        <v>36</v>
      </c>
      <c r="L60" s="2">
        <v>7</v>
      </c>
      <c r="M60" s="2">
        <v>324.38</v>
      </c>
      <c r="O60" s="2">
        <v>10139</v>
      </c>
      <c r="P60" s="2">
        <v>1647</v>
      </c>
      <c r="Q60" s="3">
        <v>45084</v>
      </c>
      <c r="R60" s="3">
        <v>45087</v>
      </c>
      <c r="S60" s="2" t="s">
        <v>49</v>
      </c>
      <c r="T60" s="2" t="s">
        <v>26</v>
      </c>
      <c r="U60" s="2" t="s">
        <v>20</v>
      </c>
      <c r="V60" s="2" t="s">
        <v>45</v>
      </c>
      <c r="W60" s="2" t="s">
        <v>55</v>
      </c>
      <c r="X60" s="2" t="s">
        <v>56</v>
      </c>
      <c r="Y60" s="2" t="s">
        <v>48</v>
      </c>
      <c r="Z60" s="2">
        <v>2</v>
      </c>
      <c r="AA60" s="2">
        <v>402.91</v>
      </c>
    </row>
    <row r="61" spans="1:27" x14ac:dyDescent="0.3">
      <c r="A61" s="2">
        <v>10409</v>
      </c>
      <c r="B61" s="2">
        <v>1705</v>
      </c>
      <c r="C61" s="3">
        <v>45028</v>
      </c>
      <c r="D61" s="3">
        <v>45034</v>
      </c>
      <c r="E61" s="2" t="s">
        <v>40</v>
      </c>
      <c r="F61" s="2" t="s">
        <v>19</v>
      </c>
      <c r="G61" s="2" t="s">
        <v>27</v>
      </c>
      <c r="H61" s="2" t="s">
        <v>21</v>
      </c>
      <c r="I61" s="2" t="s">
        <v>34</v>
      </c>
      <c r="J61" s="2" t="s">
        <v>42</v>
      </c>
      <c r="K61" s="2" t="s">
        <v>36</v>
      </c>
      <c r="L61" s="2">
        <v>7</v>
      </c>
      <c r="M61" s="2">
        <v>1020.23</v>
      </c>
      <c r="O61" s="2">
        <v>10154</v>
      </c>
      <c r="P61" s="2">
        <v>1027</v>
      </c>
      <c r="Q61" s="3">
        <v>45118</v>
      </c>
      <c r="R61" s="3">
        <v>45126</v>
      </c>
      <c r="S61" s="2" t="s">
        <v>43</v>
      </c>
      <c r="T61" s="2" t="s">
        <v>26</v>
      </c>
      <c r="U61" s="2" t="s">
        <v>20</v>
      </c>
      <c r="V61" s="2" t="s">
        <v>45</v>
      </c>
      <c r="W61" s="2" t="s">
        <v>22</v>
      </c>
      <c r="X61" s="2" t="s">
        <v>46</v>
      </c>
      <c r="Y61" s="2" t="s">
        <v>48</v>
      </c>
      <c r="Z61" s="2">
        <v>2</v>
      </c>
      <c r="AA61" s="2">
        <v>764.56</v>
      </c>
    </row>
    <row r="62" spans="1:27" x14ac:dyDescent="0.3">
      <c r="A62" s="2">
        <v>10162</v>
      </c>
      <c r="B62" s="2">
        <v>1502</v>
      </c>
      <c r="C62" s="3">
        <v>45072</v>
      </c>
      <c r="D62" s="3">
        <v>45074</v>
      </c>
      <c r="E62" s="2" t="s">
        <v>40</v>
      </c>
      <c r="F62" s="2" t="s">
        <v>32</v>
      </c>
      <c r="G62" s="2" t="s">
        <v>27</v>
      </c>
      <c r="H62" s="2" t="s">
        <v>47</v>
      </c>
      <c r="I62" s="2" t="s">
        <v>60</v>
      </c>
      <c r="J62" s="2" t="s">
        <v>61</v>
      </c>
      <c r="K62" s="2" t="s">
        <v>36</v>
      </c>
      <c r="L62" s="2">
        <v>8</v>
      </c>
      <c r="M62" s="2">
        <v>1227.5899999999999</v>
      </c>
      <c r="O62" s="2">
        <v>10218</v>
      </c>
      <c r="P62" s="2">
        <v>1577</v>
      </c>
      <c r="Q62" s="3">
        <v>45206</v>
      </c>
      <c r="R62" s="3">
        <v>45209</v>
      </c>
      <c r="S62" s="2" t="s">
        <v>40</v>
      </c>
      <c r="T62" s="2" t="s">
        <v>32</v>
      </c>
      <c r="U62" s="2" t="s">
        <v>20</v>
      </c>
      <c r="V62" s="2" t="s">
        <v>47</v>
      </c>
      <c r="W62" s="2" t="s">
        <v>29</v>
      </c>
      <c r="X62" s="2" t="s">
        <v>71</v>
      </c>
      <c r="Y62" s="2" t="s">
        <v>48</v>
      </c>
      <c r="Z62" s="2">
        <v>2</v>
      </c>
      <c r="AA62" s="2">
        <v>2401.63</v>
      </c>
    </row>
    <row r="63" spans="1:27" x14ac:dyDescent="0.3">
      <c r="A63" s="2">
        <v>10057</v>
      </c>
      <c r="B63" s="2">
        <v>1504</v>
      </c>
      <c r="C63" s="3">
        <v>45117</v>
      </c>
      <c r="D63" s="3">
        <v>45122</v>
      </c>
      <c r="E63" s="2" t="s">
        <v>40</v>
      </c>
      <c r="F63" s="2" t="s">
        <v>32</v>
      </c>
      <c r="G63" s="2" t="s">
        <v>20</v>
      </c>
      <c r="H63" s="2" t="s">
        <v>28</v>
      </c>
      <c r="I63" s="2" t="s">
        <v>60</v>
      </c>
      <c r="J63" s="2" t="s">
        <v>61</v>
      </c>
      <c r="K63" s="2" t="s">
        <v>36</v>
      </c>
      <c r="L63" s="2">
        <v>9</v>
      </c>
      <c r="M63" s="2">
        <v>1012.33</v>
      </c>
      <c r="O63" s="2">
        <v>10254</v>
      </c>
      <c r="P63" s="2">
        <v>1676</v>
      </c>
      <c r="Q63" s="3">
        <v>45010</v>
      </c>
      <c r="R63" s="3">
        <v>45012</v>
      </c>
      <c r="S63" s="2" t="s">
        <v>25</v>
      </c>
      <c r="T63" s="2" t="s">
        <v>19</v>
      </c>
      <c r="U63" s="2" t="s">
        <v>20</v>
      </c>
      <c r="V63" s="2" t="s">
        <v>45</v>
      </c>
      <c r="W63" s="2" t="s">
        <v>55</v>
      </c>
      <c r="X63" s="2" t="s">
        <v>67</v>
      </c>
      <c r="Y63" s="2" t="s">
        <v>48</v>
      </c>
      <c r="Z63" s="2">
        <v>2</v>
      </c>
      <c r="AA63" s="2">
        <v>2711.66</v>
      </c>
    </row>
    <row r="64" spans="1:27" x14ac:dyDescent="0.3">
      <c r="O64" s="2">
        <v>10455</v>
      </c>
      <c r="P64" s="2">
        <v>1480</v>
      </c>
      <c r="Q64" s="3">
        <v>45034</v>
      </c>
      <c r="R64" s="3">
        <v>45036</v>
      </c>
      <c r="S64" s="2" t="s">
        <v>18</v>
      </c>
      <c r="T64" s="2" t="s">
        <v>32</v>
      </c>
      <c r="U64" s="2" t="s">
        <v>20</v>
      </c>
      <c r="V64" s="2" t="s">
        <v>21</v>
      </c>
      <c r="W64" s="2" t="s">
        <v>55</v>
      </c>
      <c r="X64" s="2" t="s">
        <v>67</v>
      </c>
      <c r="Y64" s="2" t="s">
        <v>48</v>
      </c>
      <c r="Z64" s="2">
        <v>2</v>
      </c>
      <c r="AA64" s="2">
        <v>1374.23</v>
      </c>
    </row>
    <row r="65" spans="15:27" x14ac:dyDescent="0.3">
      <c r="O65" s="2">
        <v>10485</v>
      </c>
      <c r="P65" s="2">
        <v>1992</v>
      </c>
      <c r="Q65" s="3">
        <v>45228</v>
      </c>
      <c r="R65" s="3">
        <v>45237</v>
      </c>
      <c r="S65" s="2" t="s">
        <v>19</v>
      </c>
      <c r="T65" s="2" t="s">
        <v>19</v>
      </c>
      <c r="U65" s="2" t="s">
        <v>20</v>
      </c>
      <c r="V65" s="2" t="s">
        <v>45</v>
      </c>
      <c r="W65" s="2" t="s">
        <v>22</v>
      </c>
      <c r="X65" s="2" t="s">
        <v>46</v>
      </c>
      <c r="Y65" s="2" t="s">
        <v>48</v>
      </c>
      <c r="Z65" s="2">
        <v>2</v>
      </c>
      <c r="AA65" s="2">
        <v>1294.8399999999999</v>
      </c>
    </row>
    <row r="66" spans="15:27" x14ac:dyDescent="0.3">
      <c r="O66" s="2">
        <v>10244</v>
      </c>
      <c r="P66" s="2">
        <v>1627</v>
      </c>
      <c r="Q66" s="3">
        <v>45032</v>
      </c>
      <c r="R66" s="3">
        <v>45038</v>
      </c>
      <c r="S66" s="2" t="s">
        <v>37</v>
      </c>
      <c r="T66" s="2" t="s">
        <v>32</v>
      </c>
      <c r="U66" s="2" t="s">
        <v>20</v>
      </c>
      <c r="V66" s="2" t="s">
        <v>47</v>
      </c>
      <c r="W66" s="2" t="s">
        <v>55</v>
      </c>
      <c r="X66" s="2" t="s">
        <v>56</v>
      </c>
      <c r="Y66" s="2" t="s">
        <v>48</v>
      </c>
      <c r="Z66" s="2">
        <v>3</v>
      </c>
      <c r="AA66" s="2">
        <v>800.89</v>
      </c>
    </row>
    <row r="67" spans="15:27" x14ac:dyDescent="0.3">
      <c r="O67" s="2">
        <v>10441</v>
      </c>
      <c r="P67" s="2">
        <v>1229</v>
      </c>
      <c r="Q67" s="3">
        <v>45116</v>
      </c>
      <c r="R67" s="3">
        <v>45119</v>
      </c>
      <c r="S67" s="2" t="s">
        <v>19</v>
      </c>
      <c r="T67" s="2" t="s">
        <v>26</v>
      </c>
      <c r="U67" s="2" t="s">
        <v>20</v>
      </c>
      <c r="V67" s="2" t="s">
        <v>45</v>
      </c>
      <c r="W67" s="2" t="s">
        <v>34</v>
      </c>
      <c r="X67" s="2" t="s">
        <v>68</v>
      </c>
      <c r="Y67" s="2" t="s">
        <v>48</v>
      </c>
      <c r="Z67" s="2">
        <v>3</v>
      </c>
      <c r="AA67" s="2">
        <v>2189.4</v>
      </c>
    </row>
    <row r="68" spans="15:27" x14ac:dyDescent="0.3">
      <c r="O68" s="2">
        <v>10175</v>
      </c>
      <c r="P68" s="2">
        <v>1612</v>
      </c>
      <c r="Q68" s="3">
        <v>45074</v>
      </c>
      <c r="R68" s="3">
        <v>45081</v>
      </c>
      <c r="S68" s="2" t="s">
        <v>19</v>
      </c>
      <c r="T68" s="2" t="s">
        <v>44</v>
      </c>
      <c r="U68" s="2" t="s">
        <v>20</v>
      </c>
      <c r="V68" s="2" t="s">
        <v>21</v>
      </c>
      <c r="W68" s="2" t="s">
        <v>34</v>
      </c>
      <c r="X68" s="2" t="s">
        <v>35</v>
      </c>
      <c r="Y68" s="2" t="s">
        <v>48</v>
      </c>
      <c r="Z68" s="2">
        <v>4</v>
      </c>
      <c r="AA68" s="2">
        <v>2836.21</v>
      </c>
    </row>
    <row r="69" spans="15:27" x14ac:dyDescent="0.3">
      <c r="O69" s="2">
        <v>10197</v>
      </c>
      <c r="P69" s="2">
        <v>1742</v>
      </c>
      <c r="Q69" s="3">
        <v>45263</v>
      </c>
      <c r="R69" s="3">
        <v>45266</v>
      </c>
      <c r="S69" s="2" t="s">
        <v>19</v>
      </c>
      <c r="T69" s="2" t="s">
        <v>41</v>
      </c>
      <c r="U69" s="2" t="s">
        <v>20</v>
      </c>
      <c r="V69" s="2" t="s">
        <v>38</v>
      </c>
      <c r="W69" s="2" t="s">
        <v>52</v>
      </c>
      <c r="X69" s="2" t="s">
        <v>70</v>
      </c>
      <c r="Y69" s="2" t="s">
        <v>48</v>
      </c>
      <c r="Z69" s="2">
        <v>4</v>
      </c>
      <c r="AA69" s="2">
        <v>1256.21</v>
      </c>
    </row>
    <row r="70" spans="15:27" x14ac:dyDescent="0.3">
      <c r="O70" s="2">
        <v>10007</v>
      </c>
      <c r="P70" s="2">
        <v>1700</v>
      </c>
      <c r="Q70" s="3">
        <v>45050</v>
      </c>
      <c r="R70" s="3">
        <v>45054</v>
      </c>
      <c r="S70" s="2" t="s">
        <v>37</v>
      </c>
      <c r="T70" s="2" t="s">
        <v>44</v>
      </c>
      <c r="U70" s="2" t="s">
        <v>20</v>
      </c>
      <c r="V70" s="2" t="s">
        <v>47</v>
      </c>
      <c r="W70" s="2" t="s">
        <v>34</v>
      </c>
      <c r="X70" s="2" t="s">
        <v>35</v>
      </c>
      <c r="Y70" s="2" t="s">
        <v>48</v>
      </c>
      <c r="Z70" s="2">
        <v>5</v>
      </c>
      <c r="AA70" s="2">
        <v>3030.42</v>
      </c>
    </row>
    <row r="71" spans="15:27" x14ac:dyDescent="0.3">
      <c r="O71" s="2">
        <v>10107</v>
      </c>
      <c r="P71" s="2">
        <v>1862</v>
      </c>
      <c r="Q71" s="3">
        <v>45058</v>
      </c>
      <c r="R71" s="3">
        <v>45064</v>
      </c>
      <c r="S71" s="2" t="s">
        <v>49</v>
      </c>
      <c r="T71" s="2" t="s">
        <v>41</v>
      </c>
      <c r="U71" s="2" t="s">
        <v>20</v>
      </c>
      <c r="V71" s="2" t="s">
        <v>47</v>
      </c>
      <c r="W71" s="2" t="s">
        <v>55</v>
      </c>
      <c r="X71" s="2" t="s">
        <v>63</v>
      </c>
      <c r="Y71" s="2" t="s">
        <v>48</v>
      </c>
      <c r="Z71" s="2">
        <v>5</v>
      </c>
      <c r="AA71" s="2">
        <v>1063.01</v>
      </c>
    </row>
    <row r="72" spans="15:27" x14ac:dyDescent="0.3">
      <c r="O72" s="2">
        <v>10198</v>
      </c>
      <c r="P72" s="2">
        <v>1240</v>
      </c>
      <c r="Q72" s="3">
        <v>45291</v>
      </c>
      <c r="R72" s="3">
        <v>45292</v>
      </c>
      <c r="S72" s="2" t="s">
        <v>37</v>
      </c>
      <c r="T72" s="2" t="s">
        <v>44</v>
      </c>
      <c r="U72" s="2" t="s">
        <v>20</v>
      </c>
      <c r="V72" s="2" t="s">
        <v>45</v>
      </c>
      <c r="W72" s="2" t="s">
        <v>22</v>
      </c>
      <c r="X72" s="2" t="s">
        <v>72</v>
      </c>
      <c r="Y72" s="2" t="s">
        <v>48</v>
      </c>
      <c r="Z72" s="2">
        <v>5</v>
      </c>
      <c r="AA72" s="2">
        <v>1227.02</v>
      </c>
    </row>
    <row r="73" spans="15:27" x14ac:dyDescent="0.3">
      <c r="O73" s="2">
        <v>10226</v>
      </c>
      <c r="P73" s="2">
        <v>1619</v>
      </c>
      <c r="Q73" s="3">
        <v>45290</v>
      </c>
      <c r="R73" s="3">
        <v>45291</v>
      </c>
      <c r="S73" s="2" t="s">
        <v>40</v>
      </c>
      <c r="T73" s="2" t="s">
        <v>41</v>
      </c>
      <c r="U73" s="2" t="s">
        <v>20</v>
      </c>
      <c r="V73" s="2" t="s">
        <v>45</v>
      </c>
      <c r="W73" s="2" t="s">
        <v>52</v>
      </c>
      <c r="X73" s="2" t="s">
        <v>66</v>
      </c>
      <c r="Y73" s="2" t="s">
        <v>48</v>
      </c>
      <c r="Z73" s="2">
        <v>5</v>
      </c>
      <c r="AA73" s="2">
        <v>620.13</v>
      </c>
    </row>
    <row r="74" spans="15:27" x14ac:dyDescent="0.3">
      <c r="O74" s="2">
        <v>10494</v>
      </c>
      <c r="P74" s="2">
        <v>1322</v>
      </c>
      <c r="Q74" s="3">
        <v>45151</v>
      </c>
      <c r="R74" s="3">
        <v>45154</v>
      </c>
      <c r="S74" s="2" t="s">
        <v>40</v>
      </c>
      <c r="T74" s="2" t="s">
        <v>44</v>
      </c>
      <c r="U74" s="2" t="s">
        <v>20</v>
      </c>
      <c r="V74" s="2" t="s">
        <v>47</v>
      </c>
      <c r="W74" s="2" t="s">
        <v>60</v>
      </c>
      <c r="X74" s="2" t="s">
        <v>69</v>
      </c>
      <c r="Y74" s="2" t="s">
        <v>48</v>
      </c>
      <c r="Z74" s="2">
        <v>5</v>
      </c>
      <c r="AA74" s="2">
        <v>529.59</v>
      </c>
    </row>
    <row r="75" spans="15:27" x14ac:dyDescent="0.3">
      <c r="O75" s="2">
        <v>10056</v>
      </c>
      <c r="P75" s="2">
        <v>1831</v>
      </c>
      <c r="Q75" s="3">
        <v>44929</v>
      </c>
      <c r="R75" s="3">
        <v>44934</v>
      </c>
      <c r="S75" s="2" t="s">
        <v>40</v>
      </c>
      <c r="T75" s="2" t="s">
        <v>32</v>
      </c>
      <c r="U75" s="2" t="s">
        <v>20</v>
      </c>
      <c r="V75" s="2" t="s">
        <v>45</v>
      </c>
      <c r="W75" s="2" t="s">
        <v>60</v>
      </c>
      <c r="X75" s="2" t="s">
        <v>65</v>
      </c>
      <c r="Y75" s="2" t="s">
        <v>48</v>
      </c>
      <c r="Z75" s="2">
        <v>6</v>
      </c>
      <c r="AA75" s="2">
        <v>3402.72</v>
      </c>
    </row>
    <row r="76" spans="15:27" x14ac:dyDescent="0.3">
      <c r="O76" s="2">
        <v>10496</v>
      </c>
      <c r="P76" s="2">
        <v>1017</v>
      </c>
      <c r="Q76" s="3">
        <v>45177</v>
      </c>
      <c r="R76" s="3">
        <v>45178</v>
      </c>
      <c r="S76" s="2" t="s">
        <v>18</v>
      </c>
      <c r="T76" s="2" t="s">
        <v>26</v>
      </c>
      <c r="U76" s="2" t="s">
        <v>20</v>
      </c>
      <c r="V76" s="2" t="s">
        <v>45</v>
      </c>
      <c r="W76" s="2" t="s">
        <v>55</v>
      </c>
      <c r="X76" s="2" t="s">
        <v>63</v>
      </c>
      <c r="Y76" s="2" t="s">
        <v>48</v>
      </c>
      <c r="Z76" s="2">
        <v>6</v>
      </c>
      <c r="AA76" s="2">
        <v>1128.9100000000001</v>
      </c>
    </row>
    <row r="77" spans="15:27" x14ac:dyDescent="0.3">
      <c r="O77" s="2">
        <v>10033</v>
      </c>
      <c r="P77" s="2">
        <v>1459</v>
      </c>
      <c r="Q77" s="3">
        <v>45129</v>
      </c>
      <c r="R77" s="3">
        <v>45130</v>
      </c>
      <c r="S77" s="2" t="s">
        <v>25</v>
      </c>
      <c r="T77" s="2" t="s">
        <v>41</v>
      </c>
      <c r="U77" s="2" t="s">
        <v>20</v>
      </c>
      <c r="V77" s="2" t="s">
        <v>47</v>
      </c>
      <c r="W77" s="2" t="s">
        <v>60</v>
      </c>
      <c r="X77" s="2" t="s">
        <v>62</v>
      </c>
      <c r="Y77" s="2" t="s">
        <v>48</v>
      </c>
      <c r="Z77" s="2">
        <v>7</v>
      </c>
      <c r="AA77" s="2">
        <v>3363.18</v>
      </c>
    </row>
    <row r="78" spans="15:27" x14ac:dyDescent="0.3">
      <c r="O78" s="2">
        <v>10039</v>
      </c>
      <c r="P78" s="2">
        <v>1560</v>
      </c>
      <c r="Q78" s="3">
        <v>44948</v>
      </c>
      <c r="R78" s="3">
        <v>44953</v>
      </c>
      <c r="S78" s="2" t="s">
        <v>37</v>
      </c>
      <c r="T78" s="2" t="s">
        <v>44</v>
      </c>
      <c r="U78" s="2" t="s">
        <v>20</v>
      </c>
      <c r="V78" s="2" t="s">
        <v>21</v>
      </c>
      <c r="W78" s="2" t="s">
        <v>34</v>
      </c>
      <c r="X78" s="2" t="s">
        <v>51</v>
      </c>
      <c r="Y78" s="2" t="s">
        <v>48</v>
      </c>
      <c r="Z78" s="2">
        <v>7</v>
      </c>
      <c r="AA78" s="2">
        <v>2369.42</v>
      </c>
    </row>
    <row r="79" spans="15:27" x14ac:dyDescent="0.3">
      <c r="O79" s="2">
        <v>10178</v>
      </c>
      <c r="P79" s="2">
        <v>1642</v>
      </c>
      <c r="Q79" s="3">
        <v>45124</v>
      </c>
      <c r="R79" s="3">
        <v>45126</v>
      </c>
      <c r="S79" s="2" t="s">
        <v>43</v>
      </c>
      <c r="T79" s="2" t="s">
        <v>32</v>
      </c>
      <c r="U79" s="2" t="s">
        <v>20</v>
      </c>
      <c r="V79" s="2" t="s">
        <v>21</v>
      </c>
      <c r="W79" s="2" t="s">
        <v>29</v>
      </c>
      <c r="X79" s="2" t="s">
        <v>64</v>
      </c>
      <c r="Y79" s="2" t="s">
        <v>48</v>
      </c>
      <c r="Z79" s="2">
        <v>7</v>
      </c>
      <c r="AA79" s="2">
        <v>174.09</v>
      </c>
    </row>
    <row r="80" spans="15:27" x14ac:dyDescent="0.3">
      <c r="O80" s="2">
        <v>10490</v>
      </c>
      <c r="P80" s="2">
        <v>1927</v>
      </c>
      <c r="Q80" s="3">
        <v>45259</v>
      </c>
      <c r="R80" s="3">
        <v>45261</v>
      </c>
      <c r="S80" s="2" t="s">
        <v>18</v>
      </c>
      <c r="T80" s="2" t="s">
        <v>32</v>
      </c>
      <c r="U80" s="2" t="s">
        <v>20</v>
      </c>
      <c r="V80" s="2" t="s">
        <v>38</v>
      </c>
      <c r="W80" s="2" t="s">
        <v>34</v>
      </c>
      <c r="X80" s="2" t="s">
        <v>35</v>
      </c>
      <c r="Y80" s="2" t="s">
        <v>48</v>
      </c>
      <c r="Z80" s="2">
        <v>7</v>
      </c>
      <c r="AA80" s="2">
        <v>2838.06</v>
      </c>
    </row>
    <row r="81" spans="15:27" x14ac:dyDescent="0.3">
      <c r="O81" s="2">
        <v>10066</v>
      </c>
      <c r="P81" s="2">
        <v>1387</v>
      </c>
      <c r="Q81" s="3">
        <v>45155</v>
      </c>
      <c r="R81" s="3">
        <v>45158</v>
      </c>
      <c r="S81" s="2" t="s">
        <v>18</v>
      </c>
      <c r="T81" s="2" t="s">
        <v>26</v>
      </c>
      <c r="U81" s="2" t="s">
        <v>20</v>
      </c>
      <c r="V81" s="2" t="s">
        <v>38</v>
      </c>
      <c r="W81" s="2" t="s">
        <v>60</v>
      </c>
      <c r="X81" s="2" t="s">
        <v>69</v>
      </c>
      <c r="Y81" s="2" t="s">
        <v>48</v>
      </c>
      <c r="Z81" s="2">
        <v>8</v>
      </c>
      <c r="AA81" s="2">
        <v>3769.71</v>
      </c>
    </row>
    <row r="82" spans="15:27" x14ac:dyDescent="0.3">
      <c r="O82" s="2">
        <v>10180</v>
      </c>
      <c r="P82" s="2">
        <v>1004</v>
      </c>
      <c r="Q82" s="3">
        <v>45004</v>
      </c>
      <c r="R82" s="3">
        <v>45006</v>
      </c>
      <c r="S82" s="2" t="s">
        <v>18</v>
      </c>
      <c r="T82" s="2" t="s">
        <v>32</v>
      </c>
      <c r="U82" s="2" t="s">
        <v>20</v>
      </c>
      <c r="V82" s="2" t="s">
        <v>38</v>
      </c>
      <c r="W82" s="2" t="s">
        <v>22</v>
      </c>
      <c r="X82" s="2" t="s">
        <v>46</v>
      </c>
      <c r="Y82" s="2" t="s">
        <v>48</v>
      </c>
      <c r="Z82" s="2">
        <v>8</v>
      </c>
      <c r="AA82" s="2">
        <v>2211.17</v>
      </c>
    </row>
    <row r="83" spans="15:27" x14ac:dyDescent="0.3">
      <c r="O83" s="2">
        <v>10209</v>
      </c>
      <c r="P83" s="2">
        <v>1540</v>
      </c>
      <c r="Q83" s="3">
        <v>45187</v>
      </c>
      <c r="R83" s="3">
        <v>45193</v>
      </c>
      <c r="S83" s="2" t="s">
        <v>43</v>
      </c>
      <c r="T83" s="2" t="s">
        <v>19</v>
      </c>
      <c r="U83" s="2" t="s">
        <v>20</v>
      </c>
      <c r="V83" s="2" t="s">
        <v>45</v>
      </c>
      <c r="W83" s="2" t="s">
        <v>52</v>
      </c>
      <c r="X83" s="2" t="s">
        <v>53</v>
      </c>
      <c r="Y83" s="2" t="s">
        <v>48</v>
      </c>
      <c r="Z83" s="2">
        <v>8</v>
      </c>
      <c r="AA83" s="2">
        <v>1291.1099999999999</v>
      </c>
    </row>
    <row r="84" spans="15:27" x14ac:dyDescent="0.3">
      <c r="O84" s="2">
        <v>10240</v>
      </c>
      <c r="P84" s="2">
        <v>1376</v>
      </c>
      <c r="Q84" s="3">
        <v>45196</v>
      </c>
      <c r="R84" s="3">
        <v>45198</v>
      </c>
      <c r="S84" s="2" t="s">
        <v>19</v>
      </c>
      <c r="T84" s="2" t="s">
        <v>41</v>
      </c>
      <c r="U84" s="2" t="s">
        <v>20</v>
      </c>
      <c r="V84" s="2" t="s">
        <v>45</v>
      </c>
      <c r="W84" s="2" t="s">
        <v>60</v>
      </c>
      <c r="X84" s="2" t="s">
        <v>69</v>
      </c>
      <c r="Y84" s="2" t="s">
        <v>48</v>
      </c>
      <c r="Z84" s="2">
        <v>9</v>
      </c>
      <c r="AA84" s="2">
        <v>265.58</v>
      </c>
    </row>
    <row r="85" spans="15:27" x14ac:dyDescent="0.3">
      <c r="O85" s="2">
        <v>10468</v>
      </c>
      <c r="P85" s="2">
        <v>1157</v>
      </c>
      <c r="Q85" s="3">
        <v>45074</v>
      </c>
      <c r="R85" s="3">
        <v>45082</v>
      </c>
      <c r="S85" s="2" t="s">
        <v>25</v>
      </c>
      <c r="T85" s="2" t="s">
        <v>19</v>
      </c>
      <c r="U85" s="2" t="s">
        <v>20</v>
      </c>
      <c r="V85" s="2" t="s">
        <v>21</v>
      </c>
      <c r="W85" s="2" t="s">
        <v>60</v>
      </c>
      <c r="X85" s="2" t="s">
        <v>62</v>
      </c>
      <c r="Y85" s="2" t="s">
        <v>48</v>
      </c>
      <c r="Z85" s="2">
        <v>9</v>
      </c>
      <c r="AA85" s="2">
        <v>1890.53</v>
      </c>
    </row>
    <row r="86" spans="15:27" x14ac:dyDescent="0.3">
      <c r="O86" s="2">
        <v>10133</v>
      </c>
      <c r="P86" s="2">
        <v>1064</v>
      </c>
      <c r="Q86" s="3">
        <v>45262</v>
      </c>
      <c r="R86" s="3">
        <v>45267</v>
      </c>
      <c r="S86" s="2" t="s">
        <v>43</v>
      </c>
      <c r="T86" s="2" t="s">
        <v>19</v>
      </c>
      <c r="U86" s="2" t="s">
        <v>20</v>
      </c>
      <c r="V86" s="2" t="s">
        <v>21</v>
      </c>
      <c r="W86" s="2" t="s">
        <v>34</v>
      </c>
      <c r="X86" s="2" t="s">
        <v>51</v>
      </c>
      <c r="Y86" s="2" t="s">
        <v>31</v>
      </c>
      <c r="Z86" s="2">
        <v>1</v>
      </c>
      <c r="AA86" s="2">
        <v>3990.85</v>
      </c>
    </row>
    <row r="87" spans="15:27" x14ac:dyDescent="0.3">
      <c r="O87" s="2">
        <v>10017</v>
      </c>
      <c r="P87" s="2">
        <v>1099</v>
      </c>
      <c r="Q87" s="3">
        <v>45148</v>
      </c>
      <c r="R87" s="3">
        <v>45151</v>
      </c>
      <c r="S87" s="2" t="s">
        <v>19</v>
      </c>
      <c r="T87" s="2" t="s">
        <v>57</v>
      </c>
      <c r="U87" s="2" t="s">
        <v>20</v>
      </c>
      <c r="V87" s="2" t="s">
        <v>47</v>
      </c>
      <c r="W87" s="2" t="s">
        <v>34</v>
      </c>
      <c r="X87" s="2" t="s">
        <v>42</v>
      </c>
      <c r="Y87" s="2" t="s">
        <v>31</v>
      </c>
      <c r="Z87" s="2">
        <v>2</v>
      </c>
      <c r="AA87" s="2">
        <v>254.91</v>
      </c>
    </row>
    <row r="88" spans="15:27" x14ac:dyDescent="0.3">
      <c r="O88" s="2">
        <v>10141</v>
      </c>
      <c r="P88" s="2">
        <v>1062</v>
      </c>
      <c r="Q88" s="3">
        <v>45085</v>
      </c>
      <c r="R88" s="3">
        <v>45092</v>
      </c>
      <c r="S88" s="2" t="s">
        <v>40</v>
      </c>
      <c r="T88" s="2" t="s">
        <v>32</v>
      </c>
      <c r="U88" s="2" t="s">
        <v>20</v>
      </c>
      <c r="V88" s="2" t="s">
        <v>28</v>
      </c>
      <c r="W88" s="2" t="s">
        <v>34</v>
      </c>
      <c r="X88" s="2" t="s">
        <v>42</v>
      </c>
      <c r="Y88" s="2" t="s">
        <v>31</v>
      </c>
      <c r="Z88" s="2">
        <v>2</v>
      </c>
      <c r="AA88" s="2">
        <v>1766.42</v>
      </c>
    </row>
    <row r="89" spans="15:27" x14ac:dyDescent="0.3">
      <c r="O89" s="2">
        <v>10080</v>
      </c>
      <c r="P89" s="2">
        <v>1427</v>
      </c>
      <c r="Q89" s="3">
        <v>45288</v>
      </c>
      <c r="R89" s="3">
        <v>45293</v>
      </c>
      <c r="S89" s="2" t="s">
        <v>18</v>
      </c>
      <c r="T89" s="2" t="s">
        <v>57</v>
      </c>
      <c r="U89" s="2" t="s">
        <v>20</v>
      </c>
      <c r="V89" s="2" t="s">
        <v>28</v>
      </c>
      <c r="W89" s="2" t="s">
        <v>55</v>
      </c>
      <c r="X89" s="2" t="s">
        <v>59</v>
      </c>
      <c r="Y89" s="2" t="s">
        <v>31</v>
      </c>
      <c r="Z89" s="2">
        <v>3</v>
      </c>
      <c r="AA89" s="2">
        <v>262.25</v>
      </c>
    </row>
    <row r="90" spans="15:27" x14ac:dyDescent="0.3">
      <c r="O90" s="2">
        <v>10099</v>
      </c>
      <c r="P90" s="2">
        <v>1401</v>
      </c>
      <c r="Q90" s="3">
        <v>45001</v>
      </c>
      <c r="R90" s="3">
        <v>45009</v>
      </c>
      <c r="S90" s="2" t="s">
        <v>49</v>
      </c>
      <c r="T90" s="2" t="s">
        <v>41</v>
      </c>
      <c r="U90" s="2" t="s">
        <v>20</v>
      </c>
      <c r="V90" s="2" t="s">
        <v>45</v>
      </c>
      <c r="W90" s="2" t="s">
        <v>55</v>
      </c>
      <c r="X90" s="2" t="s">
        <v>56</v>
      </c>
      <c r="Y90" s="2" t="s">
        <v>31</v>
      </c>
      <c r="Z90" s="2">
        <v>3</v>
      </c>
      <c r="AA90" s="2">
        <v>315.75</v>
      </c>
    </row>
    <row r="91" spans="15:27" x14ac:dyDescent="0.3">
      <c r="O91" s="2">
        <v>10260</v>
      </c>
      <c r="P91" s="2">
        <v>1974</v>
      </c>
      <c r="Q91" s="3">
        <v>45104</v>
      </c>
      <c r="R91" s="3">
        <v>45110</v>
      </c>
      <c r="S91" s="2" t="s">
        <v>25</v>
      </c>
      <c r="T91" s="2" t="s">
        <v>44</v>
      </c>
      <c r="U91" s="2" t="s">
        <v>20</v>
      </c>
      <c r="V91" s="2" t="s">
        <v>45</v>
      </c>
      <c r="W91" s="2" t="s">
        <v>34</v>
      </c>
      <c r="X91" s="2" t="s">
        <v>68</v>
      </c>
      <c r="Y91" s="2" t="s">
        <v>31</v>
      </c>
      <c r="Z91" s="2">
        <v>3</v>
      </c>
      <c r="AA91" s="2">
        <v>647.32000000000005</v>
      </c>
    </row>
    <row r="92" spans="15:27" x14ac:dyDescent="0.3">
      <c r="O92" s="2">
        <v>10341</v>
      </c>
      <c r="P92" s="2">
        <v>1710</v>
      </c>
      <c r="Q92" s="3">
        <v>45042</v>
      </c>
      <c r="R92" s="3">
        <v>45048</v>
      </c>
      <c r="S92" s="2" t="s">
        <v>19</v>
      </c>
      <c r="T92" s="2" t="s">
        <v>32</v>
      </c>
      <c r="U92" s="2" t="s">
        <v>20</v>
      </c>
      <c r="V92" s="2" t="s">
        <v>38</v>
      </c>
      <c r="W92" s="2" t="s">
        <v>52</v>
      </c>
      <c r="X92" s="2" t="s">
        <v>54</v>
      </c>
      <c r="Y92" s="2" t="s">
        <v>31</v>
      </c>
      <c r="Z92" s="2">
        <v>4</v>
      </c>
      <c r="AA92" s="2">
        <v>641.92999999999995</v>
      </c>
    </row>
    <row r="93" spans="15:27" x14ac:dyDescent="0.3">
      <c r="O93" s="2">
        <v>10447</v>
      </c>
      <c r="P93" s="2">
        <v>1026</v>
      </c>
      <c r="Q93" s="3">
        <v>45264</v>
      </c>
      <c r="R93" s="3">
        <v>45265</v>
      </c>
      <c r="S93" s="2" t="s">
        <v>37</v>
      </c>
      <c r="T93" s="2" t="s">
        <v>41</v>
      </c>
      <c r="U93" s="2" t="s">
        <v>20</v>
      </c>
      <c r="V93" s="2" t="s">
        <v>38</v>
      </c>
      <c r="W93" s="2" t="s">
        <v>29</v>
      </c>
      <c r="X93" s="2" t="s">
        <v>71</v>
      </c>
      <c r="Y93" s="2" t="s">
        <v>31</v>
      </c>
      <c r="Z93" s="2">
        <v>4</v>
      </c>
      <c r="AA93" s="2">
        <v>3871.21</v>
      </c>
    </row>
    <row r="94" spans="15:27" x14ac:dyDescent="0.3">
      <c r="O94" s="2">
        <v>10036</v>
      </c>
      <c r="P94" s="2">
        <v>1252</v>
      </c>
      <c r="Q94" s="3">
        <v>45076</v>
      </c>
      <c r="R94" s="3">
        <v>45084</v>
      </c>
      <c r="S94" s="2" t="s">
        <v>19</v>
      </c>
      <c r="T94" s="2" t="s">
        <v>41</v>
      </c>
      <c r="U94" s="2" t="s">
        <v>20</v>
      </c>
      <c r="V94" s="2" t="s">
        <v>45</v>
      </c>
      <c r="W94" s="2" t="s">
        <v>29</v>
      </c>
      <c r="X94" s="2" t="s">
        <v>30</v>
      </c>
      <c r="Y94" s="2" t="s">
        <v>31</v>
      </c>
      <c r="Z94" s="2">
        <v>5</v>
      </c>
      <c r="AA94" s="2">
        <v>2327.9</v>
      </c>
    </row>
    <row r="95" spans="15:27" x14ac:dyDescent="0.3">
      <c r="O95" s="2">
        <v>10091</v>
      </c>
      <c r="P95" s="2">
        <v>1001</v>
      </c>
      <c r="Q95" s="3">
        <v>45016</v>
      </c>
      <c r="R95" s="3">
        <v>45019</v>
      </c>
      <c r="S95" s="2" t="s">
        <v>40</v>
      </c>
      <c r="T95" s="2" t="s">
        <v>19</v>
      </c>
      <c r="U95" s="2" t="s">
        <v>20</v>
      </c>
      <c r="V95" s="2" t="s">
        <v>47</v>
      </c>
      <c r="W95" s="2" t="s">
        <v>29</v>
      </c>
      <c r="X95" s="2" t="s">
        <v>30</v>
      </c>
      <c r="Y95" s="2" t="s">
        <v>31</v>
      </c>
      <c r="Z95" s="2">
        <v>5</v>
      </c>
      <c r="AA95" s="2">
        <v>3370.52</v>
      </c>
    </row>
    <row r="96" spans="15:27" x14ac:dyDescent="0.3">
      <c r="O96" s="2">
        <v>10491</v>
      </c>
      <c r="P96" s="2">
        <v>1982</v>
      </c>
      <c r="Q96" s="3">
        <v>45133</v>
      </c>
      <c r="R96" s="3">
        <v>45137</v>
      </c>
      <c r="S96" s="2" t="s">
        <v>19</v>
      </c>
      <c r="T96" s="2" t="s">
        <v>32</v>
      </c>
      <c r="U96" s="2" t="s">
        <v>20</v>
      </c>
      <c r="V96" s="2" t="s">
        <v>47</v>
      </c>
      <c r="W96" s="2" t="s">
        <v>52</v>
      </c>
      <c r="X96" s="2" t="s">
        <v>66</v>
      </c>
      <c r="Y96" s="2" t="s">
        <v>31</v>
      </c>
      <c r="Z96" s="2">
        <v>5</v>
      </c>
      <c r="AA96" s="2">
        <v>977.43</v>
      </c>
    </row>
    <row r="97" spans="15:27" x14ac:dyDescent="0.3">
      <c r="O97" s="2">
        <v>10050</v>
      </c>
      <c r="P97" s="2">
        <v>1686</v>
      </c>
      <c r="Q97" s="3">
        <v>44970</v>
      </c>
      <c r="R97" s="3">
        <v>44978</v>
      </c>
      <c r="S97" s="2" t="s">
        <v>43</v>
      </c>
      <c r="T97" s="2" t="s">
        <v>19</v>
      </c>
      <c r="U97" s="2" t="s">
        <v>20</v>
      </c>
      <c r="V97" s="2" t="s">
        <v>45</v>
      </c>
      <c r="W97" s="2" t="s">
        <v>29</v>
      </c>
      <c r="X97" s="2" t="s">
        <v>64</v>
      </c>
      <c r="Y97" s="2" t="s">
        <v>31</v>
      </c>
      <c r="Z97" s="2">
        <v>6</v>
      </c>
      <c r="AA97" s="2">
        <v>1350.44</v>
      </c>
    </row>
    <row r="98" spans="15:27" x14ac:dyDescent="0.3">
      <c r="O98" s="2">
        <v>10286</v>
      </c>
      <c r="P98" s="2">
        <v>1641</v>
      </c>
      <c r="Q98" s="3">
        <v>45043</v>
      </c>
      <c r="R98" s="3">
        <v>45050</v>
      </c>
      <c r="S98" s="2" t="s">
        <v>18</v>
      </c>
      <c r="T98" s="2" t="s">
        <v>32</v>
      </c>
      <c r="U98" s="2" t="s">
        <v>20</v>
      </c>
      <c r="V98" s="2" t="s">
        <v>47</v>
      </c>
      <c r="W98" s="2" t="s">
        <v>60</v>
      </c>
      <c r="X98" s="2" t="s">
        <v>61</v>
      </c>
      <c r="Y98" s="2" t="s">
        <v>31</v>
      </c>
      <c r="Z98" s="2">
        <v>6</v>
      </c>
      <c r="AA98" s="2">
        <v>220.79</v>
      </c>
    </row>
    <row r="99" spans="15:27" x14ac:dyDescent="0.3">
      <c r="O99" s="2">
        <v>10251</v>
      </c>
      <c r="P99" s="2">
        <v>1410</v>
      </c>
      <c r="Q99" s="3">
        <v>45154</v>
      </c>
      <c r="R99" s="3">
        <v>45155</v>
      </c>
      <c r="S99" s="2" t="s">
        <v>19</v>
      </c>
      <c r="T99" s="2" t="s">
        <v>26</v>
      </c>
      <c r="U99" s="2" t="s">
        <v>20</v>
      </c>
      <c r="V99" s="2" t="s">
        <v>28</v>
      </c>
      <c r="W99" s="2" t="s">
        <v>34</v>
      </c>
      <c r="X99" s="2" t="s">
        <v>51</v>
      </c>
      <c r="Y99" s="2" t="s">
        <v>31</v>
      </c>
      <c r="Z99" s="2">
        <v>8</v>
      </c>
      <c r="AA99" s="2">
        <v>1822.29</v>
      </c>
    </row>
    <row r="100" spans="15:27" x14ac:dyDescent="0.3">
      <c r="O100" s="2">
        <v>10320</v>
      </c>
      <c r="P100" s="2">
        <v>1751</v>
      </c>
      <c r="Q100" s="3">
        <v>45002</v>
      </c>
      <c r="R100" s="3">
        <v>45005</v>
      </c>
      <c r="S100" s="2" t="s">
        <v>18</v>
      </c>
      <c r="T100" s="2" t="s">
        <v>19</v>
      </c>
      <c r="U100" s="2" t="s">
        <v>20</v>
      </c>
      <c r="V100" s="2" t="s">
        <v>38</v>
      </c>
      <c r="W100" s="2" t="s">
        <v>29</v>
      </c>
      <c r="X100" s="2" t="s">
        <v>39</v>
      </c>
      <c r="Y100" s="2" t="s">
        <v>31</v>
      </c>
      <c r="Z100" s="2">
        <v>8</v>
      </c>
      <c r="AA100" s="2">
        <v>2254.7800000000002</v>
      </c>
    </row>
    <row r="101" spans="15:27" x14ac:dyDescent="0.3">
      <c r="O101" s="2">
        <v>10357</v>
      </c>
      <c r="P101" s="2">
        <v>1414</v>
      </c>
      <c r="Q101" s="3">
        <v>45205</v>
      </c>
      <c r="R101" s="3">
        <v>45213</v>
      </c>
      <c r="S101" s="2" t="s">
        <v>40</v>
      </c>
      <c r="T101" s="2" t="s">
        <v>41</v>
      </c>
      <c r="U101" s="2" t="s">
        <v>20</v>
      </c>
      <c r="V101" s="2" t="s">
        <v>28</v>
      </c>
      <c r="W101" s="2" t="s">
        <v>60</v>
      </c>
      <c r="X101" s="2" t="s">
        <v>61</v>
      </c>
      <c r="Y101" s="2" t="s">
        <v>31</v>
      </c>
      <c r="Z101" s="2">
        <v>8</v>
      </c>
      <c r="AA101" s="2">
        <v>1300.31</v>
      </c>
    </row>
    <row r="102" spans="15:27" x14ac:dyDescent="0.3">
      <c r="O102" s="2">
        <v>10202</v>
      </c>
      <c r="P102" s="2">
        <v>1733</v>
      </c>
      <c r="Q102" s="3">
        <v>45228</v>
      </c>
      <c r="R102" s="3">
        <v>45229</v>
      </c>
      <c r="S102" s="2" t="s">
        <v>43</v>
      </c>
      <c r="T102" s="2" t="s">
        <v>57</v>
      </c>
      <c r="U102" s="2" t="s">
        <v>20</v>
      </c>
      <c r="V102" s="2" t="s">
        <v>21</v>
      </c>
      <c r="W102" s="2" t="s">
        <v>34</v>
      </c>
      <c r="X102" s="2" t="s">
        <v>68</v>
      </c>
      <c r="Y102" s="2" t="s">
        <v>31</v>
      </c>
      <c r="Z102" s="2">
        <v>9</v>
      </c>
      <c r="AA102" s="2">
        <v>3072.48</v>
      </c>
    </row>
    <row r="103" spans="15:27" x14ac:dyDescent="0.3">
      <c r="O103" s="2">
        <v>10454</v>
      </c>
      <c r="P103" s="2">
        <v>1959</v>
      </c>
      <c r="Q103" s="3">
        <v>45251</v>
      </c>
      <c r="R103" s="3">
        <v>45255</v>
      </c>
      <c r="S103" s="2" t="s">
        <v>37</v>
      </c>
      <c r="T103" s="2" t="s">
        <v>44</v>
      </c>
      <c r="U103" s="2" t="s">
        <v>20</v>
      </c>
      <c r="V103" s="2" t="s">
        <v>28</v>
      </c>
      <c r="W103" s="2" t="s">
        <v>60</v>
      </c>
      <c r="X103" s="2" t="s">
        <v>61</v>
      </c>
      <c r="Y103" s="2" t="s">
        <v>31</v>
      </c>
      <c r="Z103" s="2">
        <v>9</v>
      </c>
      <c r="AA103" s="2">
        <v>3191.56</v>
      </c>
    </row>
    <row r="104" spans="15:27" x14ac:dyDescent="0.3">
      <c r="O104" s="2">
        <v>10130</v>
      </c>
      <c r="P104" s="2">
        <v>1156</v>
      </c>
      <c r="Q104" s="3">
        <v>44929</v>
      </c>
      <c r="R104" s="3">
        <v>44938</v>
      </c>
      <c r="S104" s="2" t="s">
        <v>18</v>
      </c>
      <c r="T104" s="2" t="s">
        <v>44</v>
      </c>
      <c r="U104" s="2" t="s">
        <v>20</v>
      </c>
      <c r="V104" s="2" t="s">
        <v>45</v>
      </c>
      <c r="W104" s="2" t="s">
        <v>60</v>
      </c>
      <c r="X104" s="2" t="s">
        <v>65</v>
      </c>
      <c r="Y104" s="2" t="s">
        <v>36</v>
      </c>
      <c r="Z104" s="2">
        <v>1</v>
      </c>
      <c r="AA104" s="2">
        <v>2534.4699999999998</v>
      </c>
    </row>
    <row r="105" spans="15:27" x14ac:dyDescent="0.3">
      <c r="O105" s="2">
        <v>10142</v>
      </c>
      <c r="P105" s="2">
        <v>1138</v>
      </c>
      <c r="Q105" s="3">
        <v>45114</v>
      </c>
      <c r="R105" s="3">
        <v>45123</v>
      </c>
      <c r="S105" s="2" t="s">
        <v>19</v>
      </c>
      <c r="T105" s="2" t="s">
        <v>41</v>
      </c>
      <c r="U105" s="2" t="s">
        <v>20</v>
      </c>
      <c r="V105" s="2" t="s">
        <v>45</v>
      </c>
      <c r="W105" s="2" t="s">
        <v>52</v>
      </c>
      <c r="X105" s="2" t="s">
        <v>54</v>
      </c>
      <c r="Y105" s="2" t="s">
        <v>36</v>
      </c>
      <c r="Z105" s="2">
        <v>1</v>
      </c>
      <c r="AA105" s="2">
        <v>2063.0500000000002</v>
      </c>
    </row>
    <row r="106" spans="15:27" x14ac:dyDescent="0.3">
      <c r="O106" s="2">
        <v>10187</v>
      </c>
      <c r="P106" s="2">
        <v>1392</v>
      </c>
      <c r="Q106" s="3">
        <v>44987</v>
      </c>
      <c r="R106" s="3">
        <v>44991</v>
      </c>
      <c r="S106" s="2" t="s">
        <v>19</v>
      </c>
      <c r="T106" s="2" t="s">
        <v>44</v>
      </c>
      <c r="U106" s="2" t="s">
        <v>20</v>
      </c>
      <c r="V106" s="2" t="s">
        <v>47</v>
      </c>
      <c r="W106" s="2" t="s">
        <v>22</v>
      </c>
      <c r="X106" s="2" t="s">
        <v>46</v>
      </c>
      <c r="Y106" s="2" t="s">
        <v>36</v>
      </c>
      <c r="Z106" s="2">
        <v>1</v>
      </c>
      <c r="AA106" s="2">
        <v>1730.41</v>
      </c>
    </row>
    <row r="107" spans="15:27" x14ac:dyDescent="0.3">
      <c r="O107" s="2">
        <v>10440</v>
      </c>
      <c r="P107" s="2">
        <v>1037</v>
      </c>
      <c r="Q107" s="3">
        <v>45144</v>
      </c>
      <c r="R107" s="3">
        <v>45149</v>
      </c>
      <c r="S107" s="2" t="s">
        <v>40</v>
      </c>
      <c r="T107" s="2" t="s">
        <v>57</v>
      </c>
      <c r="U107" s="2" t="s">
        <v>20</v>
      </c>
      <c r="V107" s="2" t="s">
        <v>45</v>
      </c>
      <c r="W107" s="2" t="s">
        <v>52</v>
      </c>
      <c r="X107" s="2" t="s">
        <v>53</v>
      </c>
      <c r="Y107" s="2" t="s">
        <v>36</v>
      </c>
      <c r="Z107" s="2">
        <v>1</v>
      </c>
      <c r="AA107" s="2">
        <v>3775.07</v>
      </c>
    </row>
    <row r="108" spans="15:27" x14ac:dyDescent="0.3">
      <c r="O108" s="2">
        <v>10096</v>
      </c>
      <c r="P108" s="2">
        <v>1821</v>
      </c>
      <c r="Q108" s="3">
        <v>44940</v>
      </c>
      <c r="R108" s="3">
        <v>44947</v>
      </c>
      <c r="S108" s="2" t="s">
        <v>43</v>
      </c>
      <c r="T108" s="2" t="s">
        <v>19</v>
      </c>
      <c r="U108" s="2" t="s">
        <v>20</v>
      </c>
      <c r="V108" s="2" t="s">
        <v>28</v>
      </c>
      <c r="W108" s="2" t="s">
        <v>55</v>
      </c>
      <c r="X108" s="2" t="s">
        <v>63</v>
      </c>
      <c r="Y108" s="2" t="s">
        <v>36</v>
      </c>
      <c r="Z108" s="2">
        <v>2</v>
      </c>
      <c r="AA108" s="2">
        <v>1249.94</v>
      </c>
    </row>
    <row r="109" spans="15:27" x14ac:dyDescent="0.3">
      <c r="O109" s="2">
        <v>10118</v>
      </c>
      <c r="P109" s="2">
        <v>1748</v>
      </c>
      <c r="Q109" s="3">
        <v>45128</v>
      </c>
      <c r="R109" s="3">
        <v>45129</v>
      </c>
      <c r="S109" s="2" t="s">
        <v>25</v>
      </c>
      <c r="T109" s="2" t="s">
        <v>19</v>
      </c>
      <c r="U109" s="2" t="s">
        <v>20</v>
      </c>
      <c r="V109" s="2" t="s">
        <v>47</v>
      </c>
      <c r="W109" s="2" t="s">
        <v>34</v>
      </c>
      <c r="X109" s="2" t="s">
        <v>51</v>
      </c>
      <c r="Y109" s="2" t="s">
        <v>36</v>
      </c>
      <c r="Z109" s="2">
        <v>2</v>
      </c>
      <c r="AA109" s="2">
        <v>2303.71</v>
      </c>
    </row>
    <row r="110" spans="15:27" x14ac:dyDescent="0.3">
      <c r="O110" s="2">
        <v>10029</v>
      </c>
      <c r="P110" s="2">
        <v>1191</v>
      </c>
      <c r="Q110" s="3">
        <v>45061</v>
      </c>
      <c r="R110" s="3">
        <v>45067</v>
      </c>
      <c r="S110" s="2" t="s">
        <v>49</v>
      </c>
      <c r="T110" s="2" t="s">
        <v>32</v>
      </c>
      <c r="U110" s="2" t="s">
        <v>20</v>
      </c>
      <c r="V110" s="2" t="s">
        <v>21</v>
      </c>
      <c r="W110" s="2" t="s">
        <v>29</v>
      </c>
      <c r="X110" s="2" t="s">
        <v>30</v>
      </c>
      <c r="Y110" s="2" t="s">
        <v>36</v>
      </c>
      <c r="Z110" s="2">
        <v>3</v>
      </c>
      <c r="AA110" s="2">
        <v>759.47</v>
      </c>
    </row>
    <row r="111" spans="15:27" x14ac:dyDescent="0.3">
      <c r="O111" s="2">
        <v>10070</v>
      </c>
      <c r="P111" s="2">
        <v>1241</v>
      </c>
      <c r="Q111" s="3">
        <v>45112</v>
      </c>
      <c r="R111" s="3">
        <v>45113</v>
      </c>
      <c r="S111" s="2" t="s">
        <v>49</v>
      </c>
      <c r="T111" s="2" t="s">
        <v>44</v>
      </c>
      <c r="U111" s="2" t="s">
        <v>20</v>
      </c>
      <c r="V111" s="2" t="s">
        <v>38</v>
      </c>
      <c r="W111" s="2" t="s">
        <v>34</v>
      </c>
      <c r="X111" s="2" t="s">
        <v>42</v>
      </c>
      <c r="Y111" s="2" t="s">
        <v>36</v>
      </c>
      <c r="Z111" s="2">
        <v>4</v>
      </c>
      <c r="AA111" s="2">
        <v>3612.15</v>
      </c>
    </row>
    <row r="112" spans="15:27" x14ac:dyDescent="0.3">
      <c r="O112" s="2">
        <v>10181</v>
      </c>
      <c r="P112" s="2">
        <v>1217</v>
      </c>
      <c r="Q112" s="3">
        <v>45050</v>
      </c>
      <c r="R112" s="3">
        <v>45053</v>
      </c>
      <c r="S112" s="2" t="s">
        <v>18</v>
      </c>
      <c r="T112" s="2" t="s">
        <v>26</v>
      </c>
      <c r="U112" s="2" t="s">
        <v>20</v>
      </c>
      <c r="V112" s="2" t="s">
        <v>45</v>
      </c>
      <c r="W112" s="2" t="s">
        <v>52</v>
      </c>
      <c r="X112" s="2" t="s">
        <v>53</v>
      </c>
      <c r="Y112" s="2" t="s">
        <v>36</v>
      </c>
      <c r="Z112" s="2">
        <v>5</v>
      </c>
      <c r="AA112" s="2">
        <v>2329.38</v>
      </c>
    </row>
    <row r="113" spans="15:27" x14ac:dyDescent="0.3">
      <c r="O113" s="2">
        <v>10365</v>
      </c>
      <c r="P113" s="2">
        <v>1623</v>
      </c>
      <c r="Q113" s="3">
        <v>44934</v>
      </c>
      <c r="R113" s="3">
        <v>44940</v>
      </c>
      <c r="S113" s="2" t="s">
        <v>19</v>
      </c>
      <c r="T113" s="2" t="s">
        <v>44</v>
      </c>
      <c r="U113" s="2" t="s">
        <v>20</v>
      </c>
      <c r="V113" s="2" t="s">
        <v>38</v>
      </c>
      <c r="W113" s="2" t="s">
        <v>55</v>
      </c>
      <c r="X113" s="2" t="s">
        <v>56</v>
      </c>
      <c r="Y113" s="2" t="s">
        <v>36</v>
      </c>
      <c r="Z113" s="2">
        <v>5</v>
      </c>
      <c r="AA113" s="2">
        <v>3593.46</v>
      </c>
    </row>
    <row r="114" spans="15:27" x14ac:dyDescent="0.3">
      <c r="O114" s="2">
        <v>10374</v>
      </c>
      <c r="P114" s="2">
        <v>1036</v>
      </c>
      <c r="Q114" s="3">
        <v>45136</v>
      </c>
      <c r="R114" s="3">
        <v>45141</v>
      </c>
      <c r="S114" s="2" t="s">
        <v>40</v>
      </c>
      <c r="T114" s="2" t="s">
        <v>19</v>
      </c>
      <c r="U114" s="2" t="s">
        <v>20</v>
      </c>
      <c r="V114" s="2" t="s">
        <v>45</v>
      </c>
      <c r="W114" s="2" t="s">
        <v>60</v>
      </c>
      <c r="X114" s="2" t="s">
        <v>61</v>
      </c>
      <c r="Y114" s="2" t="s">
        <v>36</v>
      </c>
      <c r="Z114" s="2">
        <v>5</v>
      </c>
      <c r="AA114" s="2">
        <v>1651.11</v>
      </c>
    </row>
    <row r="115" spans="15:27" x14ac:dyDescent="0.3">
      <c r="O115" s="2">
        <v>10398</v>
      </c>
      <c r="P115" s="2">
        <v>1226</v>
      </c>
      <c r="Q115" s="3">
        <v>44938</v>
      </c>
      <c r="R115" s="3">
        <v>44943</v>
      </c>
      <c r="S115" s="2" t="s">
        <v>25</v>
      </c>
      <c r="T115" s="2" t="s">
        <v>32</v>
      </c>
      <c r="U115" s="2" t="s">
        <v>20</v>
      </c>
      <c r="V115" s="2" t="s">
        <v>47</v>
      </c>
      <c r="W115" s="2" t="s">
        <v>52</v>
      </c>
      <c r="X115" s="2" t="s">
        <v>66</v>
      </c>
      <c r="Y115" s="2" t="s">
        <v>36</v>
      </c>
      <c r="Z115" s="2">
        <v>5</v>
      </c>
      <c r="AA115" s="2">
        <v>3245.77</v>
      </c>
    </row>
    <row r="116" spans="15:27" x14ac:dyDescent="0.3">
      <c r="O116" s="2">
        <v>10011</v>
      </c>
      <c r="P116" s="2">
        <v>1466</v>
      </c>
      <c r="Q116" s="3">
        <v>45098</v>
      </c>
      <c r="R116" s="3">
        <v>45106</v>
      </c>
      <c r="S116" s="2" t="s">
        <v>37</v>
      </c>
      <c r="T116" s="2" t="s">
        <v>41</v>
      </c>
      <c r="U116" s="2" t="s">
        <v>20</v>
      </c>
      <c r="V116" s="2" t="s">
        <v>38</v>
      </c>
      <c r="W116" s="2" t="s">
        <v>52</v>
      </c>
      <c r="X116" s="2" t="s">
        <v>53</v>
      </c>
      <c r="Y116" s="2" t="s">
        <v>36</v>
      </c>
      <c r="Z116" s="2">
        <v>6</v>
      </c>
      <c r="AA116" s="2">
        <v>3205.25</v>
      </c>
    </row>
    <row r="117" spans="15:27" x14ac:dyDescent="0.3">
      <c r="O117" s="2">
        <v>10069</v>
      </c>
      <c r="P117" s="2">
        <v>1013</v>
      </c>
      <c r="Q117" s="3">
        <v>45288</v>
      </c>
      <c r="R117" s="3">
        <v>45296</v>
      </c>
      <c r="S117" s="2" t="s">
        <v>18</v>
      </c>
      <c r="T117" s="2" t="s">
        <v>26</v>
      </c>
      <c r="U117" s="2" t="s">
        <v>20</v>
      </c>
      <c r="V117" s="2" t="s">
        <v>47</v>
      </c>
      <c r="W117" s="2" t="s">
        <v>60</v>
      </c>
      <c r="X117" s="2" t="s">
        <v>65</v>
      </c>
      <c r="Y117" s="2" t="s">
        <v>36</v>
      </c>
      <c r="Z117" s="2">
        <v>6</v>
      </c>
      <c r="AA117" s="2">
        <v>1836.98</v>
      </c>
    </row>
    <row r="118" spans="15:27" x14ac:dyDescent="0.3">
      <c r="O118" s="2">
        <v>10136</v>
      </c>
      <c r="P118" s="2">
        <v>1520</v>
      </c>
      <c r="Q118" s="3">
        <v>45180</v>
      </c>
      <c r="R118" s="3">
        <v>45181</v>
      </c>
      <c r="S118" s="2" t="s">
        <v>49</v>
      </c>
      <c r="T118" s="2" t="s">
        <v>26</v>
      </c>
      <c r="U118" s="2" t="s">
        <v>20</v>
      </c>
      <c r="V118" s="2" t="s">
        <v>28</v>
      </c>
      <c r="W118" s="2" t="s">
        <v>34</v>
      </c>
      <c r="X118" s="2" t="s">
        <v>42</v>
      </c>
      <c r="Y118" s="2" t="s">
        <v>36</v>
      </c>
      <c r="Z118" s="2">
        <v>6</v>
      </c>
      <c r="AA118" s="2">
        <v>1809.29</v>
      </c>
    </row>
    <row r="119" spans="15:27" x14ac:dyDescent="0.3">
      <c r="O119" s="2">
        <v>10119</v>
      </c>
      <c r="P119" s="2">
        <v>1337</v>
      </c>
      <c r="Q119" s="3">
        <v>44964</v>
      </c>
      <c r="R119" s="3">
        <v>44970</v>
      </c>
      <c r="S119" s="2" t="s">
        <v>19</v>
      </c>
      <c r="T119" s="2" t="s">
        <v>41</v>
      </c>
      <c r="U119" s="2" t="s">
        <v>20</v>
      </c>
      <c r="V119" s="2" t="s">
        <v>38</v>
      </c>
      <c r="W119" s="2" t="s">
        <v>34</v>
      </c>
      <c r="X119" s="2" t="s">
        <v>35</v>
      </c>
      <c r="Y119" s="2" t="s">
        <v>36</v>
      </c>
      <c r="Z119" s="2">
        <v>8</v>
      </c>
      <c r="AA119" s="2">
        <v>3339.68</v>
      </c>
    </row>
    <row r="120" spans="15:27" x14ac:dyDescent="0.3">
      <c r="O120" s="2">
        <v>10161</v>
      </c>
      <c r="P120" s="2">
        <v>1047</v>
      </c>
      <c r="Q120" s="3">
        <v>45109</v>
      </c>
      <c r="R120" s="3">
        <v>45111</v>
      </c>
      <c r="S120" s="2" t="s">
        <v>49</v>
      </c>
      <c r="T120" s="2" t="s">
        <v>44</v>
      </c>
      <c r="U120" s="2" t="s">
        <v>20</v>
      </c>
      <c r="V120" s="2" t="s">
        <v>38</v>
      </c>
      <c r="W120" s="2" t="s">
        <v>22</v>
      </c>
      <c r="X120" s="2" t="s">
        <v>23</v>
      </c>
      <c r="Y120" s="2" t="s">
        <v>36</v>
      </c>
      <c r="Z120" s="2">
        <v>8</v>
      </c>
      <c r="AA120" s="2">
        <v>1168.3900000000001</v>
      </c>
    </row>
    <row r="121" spans="15:27" x14ac:dyDescent="0.3">
      <c r="O121" s="2">
        <v>10057</v>
      </c>
      <c r="P121" s="2">
        <v>1504</v>
      </c>
      <c r="Q121" s="3">
        <v>45117</v>
      </c>
      <c r="R121" s="3">
        <v>45122</v>
      </c>
      <c r="S121" s="2" t="s">
        <v>40</v>
      </c>
      <c r="T121" s="2" t="s">
        <v>32</v>
      </c>
      <c r="U121" s="2" t="s">
        <v>20</v>
      </c>
      <c r="V121" s="2" t="s">
        <v>28</v>
      </c>
      <c r="W121" s="2" t="s">
        <v>60</v>
      </c>
      <c r="X121" s="2" t="s">
        <v>61</v>
      </c>
      <c r="Y121" s="2" t="s">
        <v>36</v>
      </c>
      <c r="Z121" s="2">
        <v>9</v>
      </c>
      <c r="AA121" s="2">
        <v>1012.33</v>
      </c>
    </row>
    <row r="122" spans="15:27" x14ac:dyDescent="0.3">
      <c r="O122" s="2">
        <v>10093</v>
      </c>
      <c r="P122" s="2">
        <v>1565</v>
      </c>
      <c r="Q122" s="3">
        <v>44980</v>
      </c>
      <c r="R122" s="3">
        <v>44982</v>
      </c>
      <c r="S122" s="2" t="s">
        <v>43</v>
      </c>
      <c r="T122" s="2" t="s">
        <v>32</v>
      </c>
      <c r="U122" s="2" t="s">
        <v>20</v>
      </c>
      <c r="V122" s="2" t="s">
        <v>45</v>
      </c>
      <c r="W122" s="2" t="s">
        <v>55</v>
      </c>
      <c r="X122" s="2" t="s">
        <v>59</v>
      </c>
      <c r="Y122" s="2" t="s">
        <v>36</v>
      </c>
      <c r="Z122" s="2">
        <v>9</v>
      </c>
      <c r="AA122" s="2">
        <v>1938.76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1124-94C9-4B47-BCFB-C0E4F7755947}">
  <dimension ref="A1:C7"/>
  <sheetViews>
    <sheetView workbookViewId="0">
      <selection sqref="A1:C7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136</v>
      </c>
      <c r="B1" s="1" t="s">
        <v>137</v>
      </c>
      <c r="C1" s="1" t="s">
        <v>138</v>
      </c>
    </row>
    <row r="2" spans="1:3" x14ac:dyDescent="0.3">
      <c r="A2" s="2" t="s">
        <v>139</v>
      </c>
      <c r="B2" s="14">
        <v>118.57</v>
      </c>
      <c r="C2" s="15">
        <v>0.68540000000000001</v>
      </c>
    </row>
    <row r="3" spans="1:3" x14ac:dyDescent="0.3">
      <c r="A3" s="2" t="s">
        <v>140</v>
      </c>
      <c r="B3" s="14">
        <v>26.93</v>
      </c>
      <c r="C3" s="15">
        <v>0.15570000000000001</v>
      </c>
    </row>
    <row r="4" spans="1:3" x14ac:dyDescent="0.3">
      <c r="A4" s="2" t="s">
        <v>141</v>
      </c>
      <c r="B4" s="14">
        <v>33.380000000000003</v>
      </c>
      <c r="C4" s="15">
        <v>0.193</v>
      </c>
    </row>
    <row r="5" spans="1:3" x14ac:dyDescent="0.3">
      <c r="A5" s="2" t="s">
        <v>142</v>
      </c>
      <c r="B5" s="14">
        <v>112.52</v>
      </c>
      <c r="C5" s="15">
        <v>0.65039999999999998</v>
      </c>
    </row>
    <row r="6" spans="1:3" x14ac:dyDescent="0.3">
      <c r="A6" s="2" t="s">
        <v>143</v>
      </c>
      <c r="B6" s="14">
        <v>31.03</v>
      </c>
      <c r="C6" s="15">
        <v>0.1794</v>
      </c>
    </row>
    <row r="7" spans="1:3" x14ac:dyDescent="0.3">
      <c r="A7" s="2" t="s">
        <v>144</v>
      </c>
      <c r="B7" s="14">
        <v>23.88</v>
      </c>
      <c r="C7" s="15">
        <v>0.1381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8970-6E77-4715-8463-17AAAE0C0320}">
  <dimension ref="B13:E20"/>
  <sheetViews>
    <sheetView workbookViewId="0">
      <selection activeCell="E14" sqref="E14"/>
    </sheetView>
  </sheetViews>
  <sheetFormatPr defaultRowHeight="14.4" x14ac:dyDescent="0.3"/>
  <sheetData>
    <row r="13" spans="2:5" x14ac:dyDescent="0.3">
      <c r="B13" s="1" t="s">
        <v>75</v>
      </c>
      <c r="C13" s="1" t="s">
        <v>76</v>
      </c>
      <c r="D13" s="1" t="s">
        <v>77</v>
      </c>
      <c r="E13" s="1" t="s">
        <v>78</v>
      </c>
    </row>
    <row r="14" spans="2:5" x14ac:dyDescent="0.3">
      <c r="B14" s="2" t="s">
        <v>145</v>
      </c>
      <c r="C14" s="2">
        <v>65</v>
      </c>
      <c r="D14" s="2">
        <v>68</v>
      </c>
      <c r="E14" s="2">
        <v>90</v>
      </c>
    </row>
    <row r="15" spans="2:5" x14ac:dyDescent="0.3">
      <c r="B15" s="2" t="s">
        <v>146</v>
      </c>
      <c r="C15" s="2">
        <v>45</v>
      </c>
      <c r="D15" s="2">
        <v>64</v>
      </c>
      <c r="E15" s="2">
        <v>98</v>
      </c>
    </row>
    <row r="16" spans="2:5" x14ac:dyDescent="0.3">
      <c r="B16" s="2" t="s">
        <v>147</v>
      </c>
      <c r="C16" s="2">
        <v>56</v>
      </c>
      <c r="D16" s="2">
        <v>89</v>
      </c>
      <c r="E16" s="2">
        <v>73</v>
      </c>
    </row>
    <row r="17" spans="2:5" x14ac:dyDescent="0.3">
      <c r="B17" s="2" t="s">
        <v>148</v>
      </c>
      <c r="C17" s="2">
        <v>83</v>
      </c>
      <c r="D17" s="2">
        <v>87</v>
      </c>
      <c r="E17" s="2">
        <v>51</v>
      </c>
    </row>
    <row r="18" spans="2:5" x14ac:dyDescent="0.3">
      <c r="B18" s="2" t="s">
        <v>149</v>
      </c>
      <c r="C18" s="2">
        <v>78</v>
      </c>
      <c r="D18" s="2">
        <v>90</v>
      </c>
      <c r="E18" s="2">
        <v>68</v>
      </c>
    </row>
    <row r="19" spans="2:5" x14ac:dyDescent="0.3">
      <c r="B19" s="2" t="s">
        <v>150</v>
      </c>
      <c r="C19" s="2">
        <v>60</v>
      </c>
      <c r="D19" s="2">
        <v>87</v>
      </c>
      <c r="E19" s="2">
        <v>93</v>
      </c>
    </row>
    <row r="20" spans="2:5" x14ac:dyDescent="0.3">
      <c r="B20" s="2" t="s">
        <v>151</v>
      </c>
      <c r="C20" s="2">
        <v>65</v>
      </c>
      <c r="D20" s="2">
        <v>98</v>
      </c>
      <c r="E20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514-3ACC-425A-B9E4-0F87E00C9295}">
  <dimension ref="G2:J9"/>
  <sheetViews>
    <sheetView workbookViewId="0">
      <selection activeCell="J4" sqref="J4"/>
    </sheetView>
  </sheetViews>
  <sheetFormatPr defaultRowHeight="14.4" x14ac:dyDescent="0.3"/>
  <sheetData>
    <row r="2" spans="7:10" x14ac:dyDescent="0.3">
      <c r="G2" s="1" t="s">
        <v>75</v>
      </c>
      <c r="H2" s="1" t="s">
        <v>76</v>
      </c>
      <c r="I2" s="1" t="s">
        <v>77</v>
      </c>
      <c r="J2" s="1" t="s">
        <v>78</v>
      </c>
    </row>
    <row r="3" spans="7:10" x14ac:dyDescent="0.3">
      <c r="G3" s="2" t="s">
        <v>145</v>
      </c>
      <c r="H3" s="2">
        <v>65</v>
      </c>
      <c r="I3" s="2">
        <v>68</v>
      </c>
      <c r="J3" s="2">
        <v>100</v>
      </c>
    </row>
    <row r="4" spans="7:10" x14ac:dyDescent="0.3">
      <c r="G4" s="2" t="s">
        <v>146</v>
      </c>
      <c r="H4" s="2">
        <v>45</v>
      </c>
      <c r="I4" s="2">
        <v>64</v>
      </c>
      <c r="J4" s="2">
        <v>98</v>
      </c>
    </row>
    <row r="5" spans="7:10" x14ac:dyDescent="0.3">
      <c r="G5" s="2" t="s">
        <v>147</v>
      </c>
      <c r="H5" s="2">
        <v>56</v>
      </c>
      <c r="I5" s="2">
        <v>89</v>
      </c>
      <c r="J5" s="2">
        <v>73</v>
      </c>
    </row>
    <row r="6" spans="7:10" x14ac:dyDescent="0.3">
      <c r="G6" s="2" t="s">
        <v>148</v>
      </c>
      <c r="H6" s="2">
        <v>83</v>
      </c>
      <c r="I6" s="2">
        <v>87</v>
      </c>
      <c r="J6" s="2">
        <v>51</v>
      </c>
    </row>
    <row r="7" spans="7:10" x14ac:dyDescent="0.3">
      <c r="G7" s="2" t="s">
        <v>149</v>
      </c>
      <c r="H7" s="2">
        <v>78</v>
      </c>
      <c r="I7" s="2">
        <v>90</v>
      </c>
      <c r="J7" s="2">
        <v>68</v>
      </c>
    </row>
    <row r="8" spans="7:10" x14ac:dyDescent="0.3">
      <c r="G8" s="2" t="s">
        <v>150</v>
      </c>
      <c r="H8" s="2">
        <v>60</v>
      </c>
      <c r="I8" s="2">
        <v>87</v>
      </c>
      <c r="J8" s="2">
        <v>93</v>
      </c>
    </row>
    <row r="9" spans="7:10" x14ac:dyDescent="0.3">
      <c r="G9" s="2" t="s">
        <v>151</v>
      </c>
      <c r="H9" s="2">
        <v>65</v>
      </c>
      <c r="I9" s="2">
        <v>98</v>
      </c>
      <c r="J9" s="2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43F8-9D4A-4C94-95ED-0E66A838555F}">
  <dimension ref="E10:H17"/>
  <sheetViews>
    <sheetView workbookViewId="0">
      <selection activeCell="E10" sqref="E10:H17"/>
    </sheetView>
  </sheetViews>
  <sheetFormatPr defaultRowHeight="14.4" x14ac:dyDescent="0.3"/>
  <sheetData>
    <row r="10" spans="5:8" x14ac:dyDescent="0.3">
      <c r="E10" s="1" t="s">
        <v>75</v>
      </c>
      <c r="F10" s="1" t="s">
        <v>76</v>
      </c>
      <c r="G10" s="1" t="s">
        <v>77</v>
      </c>
      <c r="H10" s="1" t="s">
        <v>78</v>
      </c>
    </row>
    <row r="11" spans="5:8" x14ac:dyDescent="0.3">
      <c r="E11" s="2" t="s">
        <v>145</v>
      </c>
      <c r="F11" s="2">
        <v>65</v>
      </c>
      <c r="G11" s="2">
        <v>68</v>
      </c>
      <c r="H11" s="2">
        <v>90</v>
      </c>
    </row>
    <row r="12" spans="5:8" x14ac:dyDescent="0.3">
      <c r="E12" s="2" t="s">
        <v>146</v>
      </c>
      <c r="F12" s="2">
        <v>45</v>
      </c>
      <c r="G12" s="2">
        <v>64</v>
      </c>
      <c r="H12" s="2">
        <v>98</v>
      </c>
    </row>
    <row r="13" spans="5:8" x14ac:dyDescent="0.3">
      <c r="E13" s="2" t="s">
        <v>147</v>
      </c>
      <c r="F13" s="2">
        <v>56</v>
      </c>
      <c r="G13" s="2">
        <v>89</v>
      </c>
      <c r="H13" s="2">
        <v>73</v>
      </c>
    </row>
    <row r="14" spans="5:8" x14ac:dyDescent="0.3">
      <c r="E14" s="2" t="s">
        <v>148</v>
      </c>
      <c r="F14" s="2">
        <v>83</v>
      </c>
      <c r="G14" s="2">
        <v>87</v>
      </c>
      <c r="H14" s="2">
        <v>51</v>
      </c>
    </row>
    <row r="15" spans="5:8" x14ac:dyDescent="0.3">
      <c r="E15" s="2" t="s">
        <v>149</v>
      </c>
      <c r="F15" s="2">
        <v>78</v>
      </c>
      <c r="G15" s="2">
        <v>90</v>
      </c>
      <c r="H15" s="2">
        <v>68</v>
      </c>
    </row>
    <row r="16" spans="5:8" x14ac:dyDescent="0.3">
      <c r="E16" s="2" t="s">
        <v>150</v>
      </c>
      <c r="F16" s="2">
        <v>60</v>
      </c>
      <c r="G16" s="2">
        <v>87</v>
      </c>
      <c r="H16" s="2">
        <v>93</v>
      </c>
    </row>
    <row r="17" spans="5:8" x14ac:dyDescent="0.3">
      <c r="E17" s="2" t="s">
        <v>151</v>
      </c>
      <c r="F17" s="2">
        <v>65</v>
      </c>
      <c r="G17" s="2">
        <v>98</v>
      </c>
      <c r="H17" s="2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6F47-3C37-4748-8BDC-F7F71D7860F6}">
  <dimension ref="B2:L34"/>
  <sheetViews>
    <sheetView workbookViewId="0">
      <selection activeCell="R22" sqref="R22"/>
    </sheetView>
  </sheetViews>
  <sheetFormatPr defaultRowHeight="14.4" outlineLevelRow="1" x14ac:dyDescent="0.3"/>
  <cols>
    <col min="8" max="8" width="2.21875" customWidth="1"/>
    <col min="9" max="9" width="6.6640625" customWidth="1"/>
  </cols>
  <sheetData>
    <row r="2" spans="2:12" x14ac:dyDescent="0.3">
      <c r="B2">
        <f>SUM(Sheet16:Sheet18!B2)</f>
        <v>0</v>
      </c>
      <c r="C2">
        <f>SUM(Sheet16:Sheet18!C2)</f>
        <v>0</v>
      </c>
      <c r="D2">
        <f>SUM(Sheet16:Sheet18!D2)</f>
        <v>0</v>
      </c>
    </row>
    <row r="3" spans="2:12" x14ac:dyDescent="0.3">
      <c r="B3">
        <f>SUM(Sheet16:Sheet18!B3)</f>
        <v>0</v>
      </c>
      <c r="C3">
        <f>SUM(Sheet16:Sheet18!C3)</f>
        <v>0</v>
      </c>
      <c r="D3">
        <f>SUM(Sheet16:Sheet18!D3)</f>
        <v>0</v>
      </c>
    </row>
    <row r="4" spans="2:12" x14ac:dyDescent="0.3">
      <c r="B4">
        <f>SUM(Sheet16:Sheet18!B4)</f>
        <v>0</v>
      </c>
      <c r="C4">
        <f>SUM(Sheet16:Sheet18!C4)</f>
        <v>0</v>
      </c>
      <c r="D4">
        <f>SUM(Sheet16:Sheet18!D4)</f>
        <v>0</v>
      </c>
    </row>
    <row r="5" spans="2:12" x14ac:dyDescent="0.3">
      <c r="B5">
        <f>SUM(Sheet16:Sheet18!B5)</f>
        <v>0</v>
      </c>
      <c r="C5">
        <f>SUM(Sheet16:Sheet18!C5)</f>
        <v>0</v>
      </c>
      <c r="D5">
        <f>SUM(Sheet16:Sheet18!D5)</f>
        <v>0</v>
      </c>
    </row>
    <row r="6" spans="2:12" x14ac:dyDescent="0.3">
      <c r="B6">
        <f>SUM(Sheet16:Sheet18!B6)</f>
        <v>0</v>
      </c>
      <c r="C6">
        <f>SUM(Sheet16:Sheet18!C6)</f>
        <v>0</v>
      </c>
      <c r="D6">
        <f>SUM(Sheet16:Sheet18!D6)</f>
        <v>0</v>
      </c>
      <c r="J6" t="s">
        <v>76</v>
      </c>
      <c r="K6" t="s">
        <v>77</v>
      </c>
      <c r="L6" t="s">
        <v>78</v>
      </c>
    </row>
    <row r="7" spans="2:12" hidden="1" outlineLevel="1" x14ac:dyDescent="0.3">
      <c r="I7" t="s">
        <v>152</v>
      </c>
      <c r="J7">
        <f>Sheet16!$C$14</f>
        <v>65</v>
      </c>
      <c r="K7">
        <f>Sheet16!$D$14</f>
        <v>68</v>
      </c>
      <c r="L7">
        <f>Sheet16!$E$14</f>
        <v>90</v>
      </c>
    </row>
    <row r="8" spans="2:12" hidden="1" outlineLevel="1" collapsed="1" x14ac:dyDescent="0.3">
      <c r="I8" t="s">
        <v>152</v>
      </c>
      <c r="J8">
        <f>Sheet17!$H$3</f>
        <v>65</v>
      </c>
      <c r="K8">
        <f>Sheet17!$I$3</f>
        <v>68</v>
      </c>
      <c r="L8">
        <f>Sheet17!$J$3</f>
        <v>100</v>
      </c>
    </row>
    <row r="9" spans="2:12" hidden="1" outlineLevel="1" collapsed="1" x14ac:dyDescent="0.3">
      <c r="I9" t="s">
        <v>152</v>
      </c>
      <c r="J9">
        <f>Sheet18!$F$11</f>
        <v>65</v>
      </c>
      <c r="K9">
        <f>Sheet18!$G$11</f>
        <v>68</v>
      </c>
      <c r="L9">
        <f>Sheet18!$H$11</f>
        <v>90</v>
      </c>
    </row>
    <row r="10" spans="2:12" collapsed="1" x14ac:dyDescent="0.3">
      <c r="B10">
        <f>SUM(Sheet16:Sheet18!B7)</f>
        <v>0</v>
      </c>
      <c r="C10">
        <f>SUM(Sheet16:Sheet18!C7)</f>
        <v>0</v>
      </c>
      <c r="D10">
        <f>SUM(Sheet16:Sheet18!D7)</f>
        <v>0</v>
      </c>
      <c r="H10" t="s">
        <v>145</v>
      </c>
      <c r="J10">
        <f>SUM(J7:J9)</f>
        <v>195</v>
      </c>
      <c r="K10">
        <f>SUM(K7:K9)</f>
        <v>204</v>
      </c>
      <c r="L10">
        <f>SUM(L7:L9)</f>
        <v>280</v>
      </c>
    </row>
    <row r="11" spans="2:12" hidden="1" outlineLevel="1" x14ac:dyDescent="0.3">
      <c r="I11" t="s">
        <v>152</v>
      </c>
      <c r="J11">
        <f>Sheet16!$C$15</f>
        <v>45</v>
      </c>
      <c r="K11">
        <f>Sheet16!$D$15</f>
        <v>64</v>
      </c>
      <c r="L11">
        <f>Sheet16!$E$15</f>
        <v>98</v>
      </c>
    </row>
    <row r="12" spans="2:12" hidden="1" outlineLevel="1" collapsed="1" x14ac:dyDescent="0.3">
      <c r="I12" t="s">
        <v>152</v>
      </c>
      <c r="J12">
        <f>Sheet17!$H$4</f>
        <v>45</v>
      </c>
      <c r="K12">
        <f>Sheet17!$I$4</f>
        <v>64</v>
      </c>
      <c r="L12">
        <f>Sheet17!$J$4</f>
        <v>98</v>
      </c>
    </row>
    <row r="13" spans="2:12" hidden="1" outlineLevel="1" collapsed="1" x14ac:dyDescent="0.3">
      <c r="I13" t="s">
        <v>152</v>
      </c>
      <c r="J13">
        <f>Sheet18!$F$12</f>
        <v>45</v>
      </c>
      <c r="K13">
        <f>Sheet18!$G$12</f>
        <v>64</v>
      </c>
      <c r="L13">
        <f>Sheet18!$H$12</f>
        <v>98</v>
      </c>
    </row>
    <row r="14" spans="2:12" collapsed="1" x14ac:dyDescent="0.3">
      <c r="H14" t="s">
        <v>146</v>
      </c>
      <c r="J14">
        <f>SUM(J11:J13)</f>
        <v>135</v>
      </c>
      <c r="K14">
        <f>SUM(K11:K13)</f>
        <v>192</v>
      </c>
      <c r="L14">
        <f>SUM(L11:L13)</f>
        <v>294</v>
      </c>
    </row>
    <row r="15" spans="2:12" hidden="1" outlineLevel="1" x14ac:dyDescent="0.3">
      <c r="I15" t="s">
        <v>152</v>
      </c>
      <c r="J15">
        <f>Sheet16!$C$16</f>
        <v>56</v>
      </c>
      <c r="K15">
        <f>Sheet16!$D$16</f>
        <v>89</v>
      </c>
      <c r="L15">
        <f>Sheet16!$E$16</f>
        <v>73</v>
      </c>
    </row>
    <row r="16" spans="2:12" hidden="1" outlineLevel="1" collapsed="1" x14ac:dyDescent="0.3">
      <c r="I16" t="s">
        <v>152</v>
      </c>
      <c r="J16">
        <f>Sheet17!$H$5</f>
        <v>56</v>
      </c>
      <c r="K16">
        <f>Sheet17!$I$5</f>
        <v>89</v>
      </c>
      <c r="L16">
        <f>Sheet17!$J$5</f>
        <v>73</v>
      </c>
    </row>
    <row r="17" spans="8:12" hidden="1" outlineLevel="1" collapsed="1" x14ac:dyDescent="0.3">
      <c r="I17" t="s">
        <v>152</v>
      </c>
      <c r="J17">
        <f>Sheet18!$F$13</f>
        <v>56</v>
      </c>
      <c r="K17">
        <f>Sheet18!$G$13</f>
        <v>89</v>
      </c>
      <c r="L17">
        <f>Sheet18!$H$13</f>
        <v>73</v>
      </c>
    </row>
    <row r="18" spans="8:12" collapsed="1" x14ac:dyDescent="0.3">
      <c r="H18" t="s">
        <v>147</v>
      </c>
      <c r="J18">
        <f>SUM(J15:J17)</f>
        <v>168</v>
      </c>
      <c r="K18">
        <f>SUM(K15:K17)</f>
        <v>267</v>
      </c>
      <c r="L18">
        <f>SUM(L15:L17)</f>
        <v>219</v>
      </c>
    </row>
    <row r="19" spans="8:12" hidden="1" outlineLevel="1" x14ac:dyDescent="0.3">
      <c r="I19" t="s">
        <v>152</v>
      </c>
      <c r="J19">
        <f>Sheet16!$C$17</f>
        <v>83</v>
      </c>
      <c r="K19">
        <f>Sheet16!$D$17</f>
        <v>87</v>
      </c>
      <c r="L19">
        <f>Sheet16!$E$17</f>
        <v>51</v>
      </c>
    </row>
    <row r="20" spans="8:12" hidden="1" outlineLevel="1" collapsed="1" x14ac:dyDescent="0.3">
      <c r="I20" t="s">
        <v>152</v>
      </c>
      <c r="J20">
        <f>Sheet17!$H$6</f>
        <v>83</v>
      </c>
      <c r="K20">
        <f>Sheet17!$I$6</f>
        <v>87</v>
      </c>
      <c r="L20">
        <f>Sheet17!$J$6</f>
        <v>51</v>
      </c>
    </row>
    <row r="21" spans="8:12" hidden="1" outlineLevel="1" collapsed="1" x14ac:dyDescent="0.3">
      <c r="I21" t="s">
        <v>152</v>
      </c>
      <c r="J21">
        <f>Sheet18!$F$14</f>
        <v>83</v>
      </c>
      <c r="K21">
        <f>Sheet18!$G$14</f>
        <v>87</v>
      </c>
      <c r="L21">
        <f>Sheet18!$H$14</f>
        <v>51</v>
      </c>
    </row>
    <row r="22" spans="8:12" collapsed="1" x14ac:dyDescent="0.3">
      <c r="H22" t="s">
        <v>148</v>
      </c>
      <c r="J22">
        <f>SUM(J19:J21)</f>
        <v>249</v>
      </c>
      <c r="K22">
        <f>SUM(K19:K21)</f>
        <v>261</v>
      </c>
      <c r="L22">
        <f>SUM(L19:L21)</f>
        <v>153</v>
      </c>
    </row>
    <row r="23" spans="8:12" hidden="1" outlineLevel="1" x14ac:dyDescent="0.3">
      <c r="I23" t="s">
        <v>152</v>
      </c>
      <c r="J23">
        <f>Sheet16!$C$18</f>
        <v>78</v>
      </c>
      <c r="K23">
        <f>Sheet16!$D$18</f>
        <v>90</v>
      </c>
      <c r="L23">
        <f>Sheet16!$E$18</f>
        <v>68</v>
      </c>
    </row>
    <row r="24" spans="8:12" hidden="1" outlineLevel="1" collapsed="1" x14ac:dyDescent="0.3">
      <c r="I24" t="s">
        <v>152</v>
      </c>
      <c r="J24">
        <f>Sheet17!$H$7</f>
        <v>78</v>
      </c>
      <c r="K24">
        <f>Sheet17!$I$7</f>
        <v>90</v>
      </c>
      <c r="L24">
        <f>Sheet17!$J$7</f>
        <v>68</v>
      </c>
    </row>
    <row r="25" spans="8:12" hidden="1" outlineLevel="1" collapsed="1" x14ac:dyDescent="0.3">
      <c r="I25" t="s">
        <v>152</v>
      </c>
      <c r="J25">
        <f>Sheet18!$F$15</f>
        <v>78</v>
      </c>
      <c r="K25">
        <f>Sheet18!$G$15</f>
        <v>90</v>
      </c>
      <c r="L25">
        <f>Sheet18!$H$15</f>
        <v>68</v>
      </c>
    </row>
    <row r="26" spans="8:12" collapsed="1" x14ac:dyDescent="0.3">
      <c r="H26" t="s">
        <v>149</v>
      </c>
      <c r="J26">
        <f>SUM(J23:J25)</f>
        <v>234</v>
      </c>
      <c r="K26">
        <f>SUM(K23:K25)</f>
        <v>270</v>
      </c>
      <c r="L26">
        <f>SUM(L23:L25)</f>
        <v>204</v>
      </c>
    </row>
    <row r="27" spans="8:12" hidden="1" outlineLevel="1" x14ac:dyDescent="0.3">
      <c r="I27" t="s">
        <v>152</v>
      </c>
      <c r="J27">
        <f>Sheet16!$C$19</f>
        <v>60</v>
      </c>
      <c r="K27">
        <f>Sheet16!$D$19</f>
        <v>87</v>
      </c>
      <c r="L27">
        <f>Sheet16!$E$19</f>
        <v>93</v>
      </c>
    </row>
    <row r="28" spans="8:12" hidden="1" outlineLevel="1" collapsed="1" x14ac:dyDescent="0.3">
      <c r="I28" t="s">
        <v>152</v>
      </c>
      <c r="J28">
        <f>Sheet17!$H$8</f>
        <v>60</v>
      </c>
      <c r="K28">
        <f>Sheet17!$I$8</f>
        <v>87</v>
      </c>
      <c r="L28">
        <f>Sheet17!$J$8</f>
        <v>93</v>
      </c>
    </row>
    <row r="29" spans="8:12" hidden="1" outlineLevel="1" collapsed="1" x14ac:dyDescent="0.3">
      <c r="I29" t="s">
        <v>152</v>
      </c>
      <c r="J29">
        <f>Sheet18!$F$16</f>
        <v>60</v>
      </c>
      <c r="K29">
        <f>Sheet18!$G$16</f>
        <v>87</v>
      </c>
      <c r="L29">
        <f>Sheet18!$H$16</f>
        <v>93</v>
      </c>
    </row>
    <row r="30" spans="8:12" collapsed="1" x14ac:dyDescent="0.3">
      <c r="H30" t="s">
        <v>150</v>
      </c>
      <c r="J30">
        <f>SUM(J27:J29)</f>
        <v>180</v>
      </c>
      <c r="K30">
        <f>SUM(K27:K29)</f>
        <v>261</v>
      </c>
      <c r="L30">
        <f>SUM(L27:L29)</f>
        <v>279</v>
      </c>
    </row>
    <row r="31" spans="8:12" hidden="1" outlineLevel="1" x14ac:dyDescent="0.3">
      <c r="I31" t="s">
        <v>152</v>
      </c>
      <c r="J31">
        <f>Sheet16!$C$20</f>
        <v>65</v>
      </c>
      <c r="K31">
        <f>Sheet16!$D$20</f>
        <v>98</v>
      </c>
      <c r="L31">
        <f>Sheet16!$E$20</f>
        <v>78</v>
      </c>
    </row>
    <row r="32" spans="8:12" hidden="1" outlineLevel="1" collapsed="1" x14ac:dyDescent="0.3">
      <c r="I32" t="s">
        <v>152</v>
      </c>
      <c r="J32">
        <f>Sheet17!$H$9</f>
        <v>65</v>
      </c>
      <c r="K32">
        <f>Sheet17!$I$9</f>
        <v>98</v>
      </c>
      <c r="L32">
        <f>Sheet17!$J$9</f>
        <v>78</v>
      </c>
    </row>
    <row r="33" spans="8:12" hidden="1" outlineLevel="1" collapsed="1" x14ac:dyDescent="0.3">
      <c r="I33" t="s">
        <v>152</v>
      </c>
      <c r="J33">
        <f>Sheet18!$F$17</f>
        <v>65</v>
      </c>
      <c r="K33">
        <f>Sheet18!$G$17</f>
        <v>98</v>
      </c>
      <c r="L33">
        <f>Sheet18!$H$17</f>
        <v>78</v>
      </c>
    </row>
    <row r="34" spans="8:12" collapsed="1" x14ac:dyDescent="0.3">
      <c r="H34" t="s">
        <v>151</v>
      </c>
      <c r="J34">
        <f>SUM(J31:J33)</f>
        <v>195</v>
      </c>
      <c r="K34">
        <f>SUM(K31:K33)</f>
        <v>294</v>
      </c>
      <c r="L34">
        <f>SUM(L31:L33)</f>
        <v>234</v>
      </c>
    </row>
  </sheetData>
  <dataConsolidate topLabels="1" link="1">
    <dataRefs count="3">
      <dataRef ref="B13:E20" sheet="Sheet16"/>
      <dataRef ref="G2:J9" sheet="Sheet17"/>
      <dataRef ref="E10:H17" sheet="Sheet18"/>
    </dataRefs>
  </dataConsolid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EDBC-722C-40EE-A4B3-596E81B69D09}">
  <dimension ref="C2:P17"/>
  <sheetViews>
    <sheetView workbookViewId="0">
      <selection activeCell="P4" sqref="P4:P13"/>
    </sheetView>
  </sheetViews>
  <sheetFormatPr defaultRowHeight="14.4" x14ac:dyDescent="0.3"/>
  <sheetData>
    <row r="2" spans="3:16" x14ac:dyDescent="0.3">
      <c r="C2" t="s">
        <v>98</v>
      </c>
      <c r="E2" t="s">
        <v>105</v>
      </c>
      <c r="F2" t="s">
        <v>114</v>
      </c>
    </row>
    <row r="3" spans="3:16" x14ac:dyDescent="0.3">
      <c r="C3" t="s">
        <v>99</v>
      </c>
      <c r="E3" t="s">
        <v>106</v>
      </c>
      <c r="F3" t="s">
        <v>115</v>
      </c>
    </row>
    <row r="4" spans="3:16" x14ac:dyDescent="0.3">
      <c r="C4" t="s">
        <v>100</v>
      </c>
      <c r="E4" t="s">
        <v>107</v>
      </c>
      <c r="F4" t="s">
        <v>116</v>
      </c>
      <c r="I4" t="s">
        <v>119</v>
      </c>
      <c r="N4" s="10" t="s">
        <v>98</v>
      </c>
      <c r="P4" s="10" t="s">
        <v>98</v>
      </c>
    </row>
    <row r="5" spans="3:16" x14ac:dyDescent="0.3">
      <c r="C5" t="s">
        <v>101</v>
      </c>
      <c r="E5" t="s">
        <v>108</v>
      </c>
      <c r="F5" t="s">
        <v>117</v>
      </c>
      <c r="I5" t="s">
        <v>120</v>
      </c>
      <c r="N5" t="s">
        <v>99</v>
      </c>
      <c r="P5" s="10" t="s">
        <v>99</v>
      </c>
    </row>
    <row r="6" spans="3:16" x14ac:dyDescent="0.3">
      <c r="C6" t="s">
        <v>102</v>
      </c>
      <c r="E6" t="s">
        <v>109</v>
      </c>
      <c r="F6" t="s">
        <v>118</v>
      </c>
      <c r="I6" t="s">
        <v>121</v>
      </c>
      <c r="N6" t="s">
        <v>100</v>
      </c>
      <c r="P6" s="10" t="s">
        <v>100</v>
      </c>
    </row>
    <row r="7" spans="3:16" x14ac:dyDescent="0.3">
      <c r="C7" t="s">
        <v>103</v>
      </c>
      <c r="E7" t="s">
        <v>110</v>
      </c>
      <c r="F7" t="s">
        <v>114</v>
      </c>
      <c r="I7" t="s">
        <v>122</v>
      </c>
      <c r="N7" t="s">
        <v>101</v>
      </c>
      <c r="P7" s="10" t="s">
        <v>101</v>
      </c>
    </row>
    <row r="8" spans="3:16" x14ac:dyDescent="0.3">
      <c r="C8" t="s">
        <v>104</v>
      </c>
      <c r="E8" t="s">
        <v>111</v>
      </c>
      <c r="F8" t="s">
        <v>115</v>
      </c>
      <c r="N8" t="s">
        <v>102</v>
      </c>
      <c r="P8" s="10" t="s">
        <v>102</v>
      </c>
    </row>
    <row r="9" spans="3:16" x14ac:dyDescent="0.3">
      <c r="C9" t="s">
        <v>98</v>
      </c>
      <c r="E9" t="s">
        <v>112</v>
      </c>
      <c r="F9" t="s">
        <v>116</v>
      </c>
      <c r="N9" t="s">
        <v>103</v>
      </c>
      <c r="P9" s="10" t="s">
        <v>98</v>
      </c>
    </row>
    <row r="10" spans="3:16" x14ac:dyDescent="0.3">
      <c r="C10" t="s">
        <v>99</v>
      </c>
      <c r="E10" t="s">
        <v>113</v>
      </c>
      <c r="F10" t="s">
        <v>117</v>
      </c>
      <c r="K10" t="s">
        <v>121</v>
      </c>
      <c r="N10" t="s">
        <v>104</v>
      </c>
      <c r="P10" s="10" t="s">
        <v>99</v>
      </c>
    </row>
    <row r="11" spans="3:16" x14ac:dyDescent="0.3">
      <c r="F11" t="s">
        <v>118</v>
      </c>
      <c r="K11" t="s">
        <v>122</v>
      </c>
      <c r="N11" t="s">
        <v>98</v>
      </c>
      <c r="P11" s="10" t="s">
        <v>100</v>
      </c>
    </row>
    <row r="12" spans="3:16" x14ac:dyDescent="0.3">
      <c r="K12" t="s">
        <v>119</v>
      </c>
      <c r="N12" t="s">
        <v>99</v>
      </c>
      <c r="P12" s="10" t="s">
        <v>101</v>
      </c>
    </row>
    <row r="13" spans="3:16" x14ac:dyDescent="0.3">
      <c r="K13" t="s">
        <v>120</v>
      </c>
      <c r="P13" s="10" t="s">
        <v>102</v>
      </c>
    </row>
    <row r="14" spans="3:16" x14ac:dyDescent="0.3">
      <c r="K14" t="s">
        <v>121</v>
      </c>
    </row>
    <row r="15" spans="3:16" x14ac:dyDescent="0.3">
      <c r="K15" t="s">
        <v>122</v>
      </c>
    </row>
    <row r="16" spans="3:16" x14ac:dyDescent="0.3">
      <c r="K16" t="s">
        <v>119</v>
      </c>
    </row>
    <row r="17" spans="11:11" x14ac:dyDescent="0.3">
      <c r="K17" t="s">
        <v>120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0259-02D2-40B6-B695-0C8A19C3683E}">
  <dimension ref="A1:J9"/>
  <sheetViews>
    <sheetView workbookViewId="0">
      <selection sqref="A1:D9"/>
    </sheetView>
  </sheetViews>
  <sheetFormatPr defaultRowHeight="14.4" x14ac:dyDescent="0.3"/>
  <sheetData>
    <row r="1" spans="1:10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10" x14ac:dyDescent="0.3">
      <c r="A2" s="2"/>
      <c r="B2" s="2"/>
      <c r="C2" s="2"/>
      <c r="D2" s="2"/>
      <c r="E2" s="2"/>
      <c r="F2" s="2"/>
      <c r="G2" s="2"/>
    </row>
    <row r="3" spans="1:10" x14ac:dyDescent="0.3">
      <c r="A3" s="2"/>
      <c r="B3" s="2"/>
      <c r="C3" s="2"/>
      <c r="D3" s="2"/>
      <c r="E3" s="2"/>
      <c r="F3" s="2"/>
      <c r="G3" s="2"/>
      <c r="I3" s="2" t="s">
        <v>82</v>
      </c>
      <c r="J3" s="2" t="s">
        <v>83</v>
      </c>
    </row>
    <row r="4" spans="1:10" x14ac:dyDescent="0.3">
      <c r="A4" s="2"/>
      <c r="B4" s="2"/>
      <c r="C4" s="2"/>
      <c r="D4" s="2"/>
      <c r="E4" s="2"/>
      <c r="F4" s="2"/>
      <c r="G4" s="2"/>
      <c r="I4" s="2" t="s">
        <v>84</v>
      </c>
      <c r="J4" s="2" t="s">
        <v>85</v>
      </c>
    </row>
    <row r="5" spans="1:10" x14ac:dyDescent="0.3">
      <c r="A5" s="2"/>
      <c r="B5" s="2"/>
      <c r="C5" s="2"/>
      <c r="D5" s="2"/>
      <c r="E5" s="2"/>
      <c r="F5" s="2"/>
      <c r="G5" s="2"/>
      <c r="I5" s="2" t="s">
        <v>86</v>
      </c>
      <c r="J5" s="2" t="s">
        <v>87</v>
      </c>
    </row>
    <row r="6" spans="1:10" x14ac:dyDescent="0.3">
      <c r="A6" s="2"/>
      <c r="B6" s="2"/>
      <c r="C6" s="2"/>
      <c r="D6" s="2"/>
      <c r="E6" s="2"/>
      <c r="F6" s="2"/>
      <c r="G6" s="2"/>
      <c r="I6" s="2" t="s">
        <v>88</v>
      </c>
      <c r="J6" s="2" t="s">
        <v>89</v>
      </c>
    </row>
    <row r="7" spans="1:10" x14ac:dyDescent="0.3">
      <c r="A7" s="2"/>
      <c r="B7" s="2"/>
      <c r="C7" s="2"/>
      <c r="D7" s="2"/>
      <c r="E7" s="2"/>
      <c r="F7" s="2"/>
      <c r="G7" s="2"/>
      <c r="I7" s="2" t="s">
        <v>90</v>
      </c>
      <c r="J7" s="2" t="s">
        <v>91</v>
      </c>
    </row>
    <row r="8" spans="1:10" x14ac:dyDescent="0.3">
      <c r="A8" s="2"/>
      <c r="B8" s="2"/>
      <c r="C8" s="2"/>
      <c r="D8" s="2"/>
      <c r="E8" s="2"/>
      <c r="F8" s="2"/>
      <c r="G8" s="2"/>
    </row>
    <row r="9" spans="1:10" x14ac:dyDescent="0.3">
      <c r="I9" s="7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1C72-269B-45C5-BE54-E4FD4AF95D41}">
  <dimension ref="A1:NI20"/>
  <sheetViews>
    <sheetView workbookViewId="0">
      <selection activeCell="E24" sqref="E24"/>
    </sheetView>
  </sheetViews>
  <sheetFormatPr defaultRowHeight="14.4" x14ac:dyDescent="0.3"/>
  <cols>
    <col min="1" max="1" width="17.4414062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3" width="14.5546875" bestFit="1" customWidth="1"/>
    <col min="54" max="54" width="11.109375" bestFit="1" customWidth="1"/>
    <col min="55" max="55" width="10.5546875" bestFit="1" customWidth="1"/>
    <col min="56" max="56" width="11.109375" bestFit="1" customWidth="1"/>
    <col min="57" max="57" width="11.6640625" bestFit="1" customWidth="1"/>
    <col min="58" max="58" width="10.77734375" bestFit="1" customWidth="1"/>
    <col min="59" max="59" width="11.21875" bestFit="1" customWidth="1"/>
    <col min="60" max="60" width="11.44140625" bestFit="1" customWidth="1"/>
    <col min="61" max="62" width="11.21875" bestFit="1" customWidth="1"/>
    <col min="63" max="63" width="14.21875" bestFit="1" customWidth="1"/>
    <col min="64" max="64" width="14.5546875" bestFit="1" customWidth="1"/>
    <col min="65" max="65" width="10.77734375" bestFit="1" customWidth="1"/>
    <col min="66" max="66" width="11.21875" bestFit="1" customWidth="1"/>
    <col min="67" max="67" width="10.33203125" bestFit="1" customWidth="1"/>
    <col min="68" max="68" width="14.5546875" bestFit="1" customWidth="1"/>
    <col min="69" max="69" width="11.109375" bestFit="1" customWidth="1"/>
    <col min="70" max="70" width="14.21875" bestFit="1" customWidth="1"/>
    <col min="71" max="71" width="10.88671875" bestFit="1" customWidth="1"/>
    <col min="72" max="72" width="14.5546875" bestFit="1" customWidth="1"/>
    <col min="73" max="73" width="11.6640625" bestFit="1" customWidth="1"/>
    <col min="74" max="74" width="14.5546875" bestFit="1" customWidth="1"/>
    <col min="75" max="75" width="11.44140625" bestFit="1" customWidth="1"/>
    <col min="76" max="76" width="14.5546875" bestFit="1" customWidth="1"/>
    <col min="77" max="77" width="11.44140625" bestFit="1" customWidth="1"/>
    <col min="78" max="78" width="11.21875" bestFit="1" customWidth="1"/>
    <col min="79" max="79" width="10.77734375" bestFit="1" customWidth="1"/>
    <col min="80" max="80" width="10.33203125" bestFit="1" customWidth="1"/>
    <col min="81" max="83" width="11.21875" bestFit="1" customWidth="1"/>
    <col min="84" max="85" width="11.109375" bestFit="1" customWidth="1"/>
    <col min="86" max="86" width="10.33203125" bestFit="1" customWidth="1"/>
    <col min="87" max="87" width="11.21875" bestFit="1" customWidth="1"/>
    <col min="88" max="88" width="11.109375" bestFit="1" customWidth="1"/>
    <col min="89" max="89" width="11.21875" bestFit="1" customWidth="1"/>
    <col min="90" max="90" width="11.44140625" bestFit="1" customWidth="1"/>
    <col min="91" max="92" width="10.33203125" bestFit="1" customWidth="1"/>
    <col min="93" max="93" width="11.44140625" bestFit="1" customWidth="1"/>
    <col min="94" max="94" width="10.77734375" bestFit="1" customWidth="1"/>
    <col min="95" max="95" width="14.21875" bestFit="1" customWidth="1"/>
    <col min="96" max="96" width="11.21875" bestFit="1" customWidth="1"/>
    <col min="97" max="97" width="11.44140625" bestFit="1" customWidth="1"/>
    <col min="98" max="98" width="14.21875" bestFit="1" customWidth="1"/>
    <col min="99" max="99" width="14.5546875" bestFit="1" customWidth="1"/>
    <col min="100" max="100" width="11.21875" bestFit="1" customWidth="1"/>
    <col min="101" max="101" width="10.33203125" bestFit="1" customWidth="1"/>
    <col min="102" max="102" width="11.109375" bestFit="1" customWidth="1"/>
    <col min="103" max="104" width="14.5546875" bestFit="1" customWidth="1"/>
    <col min="105" max="105" width="11.21875" bestFit="1" customWidth="1"/>
    <col min="106" max="106" width="10.33203125" bestFit="1" customWidth="1"/>
    <col min="107" max="107" width="11.21875" bestFit="1" customWidth="1"/>
    <col min="108" max="108" width="11.44140625" bestFit="1" customWidth="1"/>
    <col min="109" max="109" width="11.21875" bestFit="1" customWidth="1"/>
    <col min="110" max="110" width="11.6640625" bestFit="1" customWidth="1"/>
    <col min="111" max="111" width="10.33203125" bestFit="1" customWidth="1"/>
    <col min="112" max="112" width="14.5546875" bestFit="1" customWidth="1"/>
    <col min="113" max="113" width="10.77734375" bestFit="1" customWidth="1"/>
    <col min="114" max="114" width="14.5546875" bestFit="1" customWidth="1"/>
    <col min="115" max="115" width="10.77734375" bestFit="1" customWidth="1"/>
    <col min="116" max="117" width="10.33203125" bestFit="1" customWidth="1"/>
    <col min="118" max="118" width="11.21875" bestFit="1" customWidth="1"/>
    <col min="119" max="120" width="11.44140625" bestFit="1" customWidth="1"/>
    <col min="121" max="121" width="14.5546875" bestFit="1" customWidth="1"/>
    <col min="122" max="122" width="11.109375" bestFit="1" customWidth="1"/>
    <col min="123" max="123" width="10.77734375" bestFit="1" customWidth="1"/>
    <col min="124" max="124" width="10.33203125" bestFit="1" customWidth="1"/>
    <col min="125" max="125" width="14.5546875" bestFit="1" customWidth="1"/>
    <col min="126" max="126" width="10.33203125" bestFit="1" customWidth="1"/>
    <col min="127" max="127" width="14.21875" bestFit="1" customWidth="1"/>
    <col min="128" max="128" width="10.33203125" bestFit="1" customWidth="1"/>
    <col min="129" max="129" width="14.5546875" bestFit="1" customWidth="1"/>
    <col min="130" max="130" width="10.77734375" bestFit="1" customWidth="1"/>
    <col min="131" max="131" width="11.44140625" bestFit="1" customWidth="1"/>
    <col min="132" max="132" width="11.109375" bestFit="1" customWidth="1"/>
    <col min="133" max="133" width="10.77734375" bestFit="1" customWidth="1"/>
    <col min="134" max="134" width="11.6640625" bestFit="1" customWidth="1"/>
    <col min="135" max="135" width="14.21875" bestFit="1" customWidth="1"/>
    <col min="136" max="136" width="14.5546875" bestFit="1" customWidth="1"/>
    <col min="137" max="137" width="11.21875" bestFit="1" customWidth="1"/>
    <col min="138" max="138" width="11.44140625" bestFit="1" customWidth="1"/>
    <col min="139" max="139" width="14.21875" bestFit="1" customWidth="1"/>
    <col min="140" max="140" width="11.21875" bestFit="1" customWidth="1"/>
    <col min="141" max="141" width="11.44140625" bestFit="1" customWidth="1"/>
    <col min="142" max="142" width="11.21875" bestFit="1" customWidth="1"/>
    <col min="143" max="143" width="10.33203125" bestFit="1" customWidth="1"/>
    <col min="144" max="144" width="14.21875" bestFit="1" customWidth="1"/>
    <col min="145" max="145" width="11.21875" bestFit="1" customWidth="1"/>
    <col min="146" max="146" width="10.33203125" bestFit="1" customWidth="1"/>
    <col min="147" max="147" width="14.21875" bestFit="1" customWidth="1"/>
    <col min="148" max="148" width="10.33203125" bestFit="1" customWidth="1"/>
    <col min="149" max="149" width="10.88671875" bestFit="1" customWidth="1"/>
    <col min="150" max="150" width="10.33203125" bestFit="1" customWidth="1"/>
    <col min="151" max="151" width="14.5546875" bestFit="1" customWidth="1"/>
    <col min="152" max="152" width="11.6640625" bestFit="1" customWidth="1"/>
    <col min="153" max="153" width="11.21875" bestFit="1" customWidth="1"/>
    <col min="154" max="155" width="14.5546875" bestFit="1" customWidth="1"/>
    <col min="156" max="158" width="11.21875" bestFit="1" customWidth="1"/>
    <col min="159" max="159" width="10.33203125" bestFit="1" customWidth="1"/>
    <col min="160" max="160" width="14.21875" bestFit="1" customWidth="1"/>
    <col min="161" max="161" width="11.44140625" bestFit="1" customWidth="1"/>
    <col min="162" max="162" width="10.77734375" bestFit="1" customWidth="1"/>
    <col min="163" max="163" width="11.21875" bestFit="1" customWidth="1"/>
    <col min="164" max="164" width="10.33203125" bestFit="1" customWidth="1"/>
    <col min="165" max="165" width="11.109375" bestFit="1" customWidth="1"/>
    <col min="166" max="166" width="11.21875" bestFit="1" customWidth="1"/>
    <col min="167" max="167" width="14.5546875" bestFit="1" customWidth="1"/>
    <col min="168" max="168" width="11.109375" bestFit="1" customWidth="1"/>
    <col min="169" max="169" width="11.21875" bestFit="1" customWidth="1"/>
    <col min="170" max="170" width="11.44140625" bestFit="1" customWidth="1"/>
    <col min="171" max="171" width="10.33203125" bestFit="1" customWidth="1"/>
    <col min="172" max="172" width="11.21875" bestFit="1" customWidth="1"/>
    <col min="173" max="173" width="14.21875" bestFit="1" customWidth="1"/>
    <col min="174" max="175" width="11.44140625" bestFit="1" customWidth="1"/>
    <col min="176" max="177" width="14.5546875" bestFit="1" customWidth="1"/>
    <col min="178" max="178" width="11.21875" bestFit="1" customWidth="1"/>
    <col min="179" max="179" width="10.33203125" bestFit="1" customWidth="1"/>
    <col min="180" max="180" width="14.5546875" bestFit="1" customWidth="1"/>
    <col min="181" max="181" width="11.21875" bestFit="1" customWidth="1"/>
    <col min="182" max="182" width="14.5546875" bestFit="1" customWidth="1"/>
    <col min="183" max="183" width="14.21875" bestFit="1" customWidth="1"/>
    <col min="184" max="184" width="14.5546875" bestFit="1" customWidth="1"/>
    <col min="185" max="185" width="14.21875" bestFit="1" customWidth="1"/>
    <col min="186" max="186" width="11.21875" bestFit="1" customWidth="1"/>
    <col min="187" max="187" width="11.44140625" bestFit="1" customWidth="1"/>
    <col min="188" max="189" width="10.77734375" bestFit="1" customWidth="1"/>
    <col min="190" max="190" width="11.109375" bestFit="1" customWidth="1"/>
    <col min="191" max="191" width="14.21875" bestFit="1" customWidth="1"/>
    <col min="192" max="192" width="10.77734375" bestFit="1" customWidth="1"/>
    <col min="193" max="193" width="11.21875" bestFit="1" customWidth="1"/>
    <col min="194" max="194" width="11.109375" bestFit="1" customWidth="1"/>
    <col min="195" max="196" width="10.33203125" bestFit="1" customWidth="1"/>
    <col min="197" max="198" width="11.109375" bestFit="1" customWidth="1"/>
    <col min="199" max="199" width="14.21875" bestFit="1" customWidth="1"/>
    <col min="200" max="200" width="10.77734375" bestFit="1" customWidth="1"/>
    <col min="201" max="201" width="11.44140625" bestFit="1" customWidth="1"/>
    <col min="202" max="202" width="10.77734375" bestFit="1" customWidth="1"/>
    <col min="203" max="203" width="11.44140625" bestFit="1" customWidth="1"/>
    <col min="204" max="204" width="11.109375" bestFit="1" customWidth="1"/>
    <col min="205" max="205" width="14.21875" bestFit="1" customWidth="1"/>
    <col min="206" max="206" width="11.21875" bestFit="1" customWidth="1"/>
    <col min="207" max="208" width="14.5546875" bestFit="1" customWidth="1"/>
    <col min="209" max="209" width="10.33203125" bestFit="1" customWidth="1"/>
    <col min="210" max="210" width="10.77734375" bestFit="1" customWidth="1"/>
    <col min="211" max="211" width="14.21875" bestFit="1" customWidth="1"/>
    <col min="212" max="212" width="11.21875" bestFit="1" customWidth="1"/>
    <col min="213" max="213" width="11.109375" bestFit="1" customWidth="1"/>
    <col min="214" max="214" width="11.21875" bestFit="1" customWidth="1"/>
    <col min="215" max="215" width="11.109375" bestFit="1" customWidth="1"/>
    <col min="216" max="216" width="14.5546875" bestFit="1" customWidth="1"/>
    <col min="217" max="217" width="11.21875" bestFit="1" customWidth="1"/>
    <col min="218" max="219" width="10.33203125" bestFit="1" customWidth="1"/>
    <col min="220" max="220" width="10.77734375" bestFit="1" customWidth="1"/>
    <col min="221" max="221" width="14.5546875" bestFit="1" customWidth="1"/>
    <col min="222" max="222" width="10.77734375" bestFit="1" customWidth="1"/>
    <col min="223" max="223" width="10.33203125" bestFit="1" customWidth="1"/>
    <col min="224" max="224" width="10.77734375" bestFit="1" customWidth="1"/>
    <col min="225" max="225" width="11.44140625" bestFit="1" customWidth="1"/>
    <col min="226" max="226" width="10.33203125" bestFit="1" customWidth="1"/>
    <col min="227" max="227" width="14.5546875" bestFit="1" customWidth="1"/>
    <col min="228" max="228" width="11.21875" bestFit="1" customWidth="1"/>
    <col min="229" max="229" width="14.5546875" bestFit="1" customWidth="1"/>
    <col min="230" max="231" width="11.21875" bestFit="1" customWidth="1"/>
    <col min="232" max="233" width="14.5546875" bestFit="1" customWidth="1"/>
    <col min="234" max="234" width="14.21875" bestFit="1" customWidth="1"/>
    <col min="235" max="235" width="11.44140625" bestFit="1" customWidth="1"/>
    <col min="236" max="236" width="10.33203125" bestFit="1" customWidth="1"/>
    <col min="237" max="237" width="11.44140625" bestFit="1" customWidth="1"/>
    <col min="238" max="238" width="11.21875" bestFit="1" customWidth="1"/>
    <col min="239" max="239" width="10.88671875" bestFit="1" customWidth="1"/>
    <col min="240" max="240" width="11.44140625" bestFit="1" customWidth="1"/>
    <col min="241" max="241" width="11.6640625" bestFit="1" customWidth="1"/>
    <col min="242" max="242" width="10.33203125" bestFit="1" customWidth="1"/>
    <col min="243" max="243" width="11.6640625" bestFit="1" customWidth="1"/>
    <col min="244" max="244" width="14.21875" bestFit="1" customWidth="1"/>
    <col min="245" max="245" width="11.44140625" bestFit="1" customWidth="1"/>
    <col min="246" max="246" width="14.5546875" bestFit="1" customWidth="1"/>
    <col min="247" max="247" width="10.77734375" bestFit="1" customWidth="1"/>
    <col min="248" max="248" width="14.5546875" bestFit="1" customWidth="1"/>
    <col min="249" max="250" width="11.109375" bestFit="1" customWidth="1"/>
    <col min="251" max="251" width="10.33203125" bestFit="1" customWidth="1"/>
    <col min="252" max="252" width="14.5546875" bestFit="1" customWidth="1"/>
    <col min="253" max="253" width="11.21875" bestFit="1" customWidth="1"/>
    <col min="254" max="254" width="11.6640625" bestFit="1" customWidth="1"/>
    <col min="255" max="256" width="11.21875" bestFit="1" customWidth="1"/>
    <col min="257" max="257" width="14.21875" bestFit="1" customWidth="1"/>
    <col min="258" max="258" width="11.21875" bestFit="1" customWidth="1"/>
    <col min="259" max="259" width="14.5546875" bestFit="1" customWidth="1"/>
    <col min="260" max="260" width="10.33203125" bestFit="1" customWidth="1"/>
    <col min="261" max="261" width="11.109375" bestFit="1" customWidth="1"/>
    <col min="262" max="262" width="11.6640625" bestFit="1" customWidth="1"/>
    <col min="263" max="263" width="10.33203125" bestFit="1" customWidth="1"/>
    <col min="264" max="265" width="14.5546875" bestFit="1" customWidth="1"/>
    <col min="266" max="266" width="11.21875" bestFit="1" customWidth="1"/>
    <col min="267" max="267" width="14.5546875" bestFit="1" customWidth="1"/>
    <col min="268" max="268" width="11.6640625" bestFit="1" customWidth="1"/>
    <col min="269" max="269" width="14.5546875" bestFit="1" customWidth="1"/>
    <col min="270" max="270" width="10.33203125" bestFit="1" customWidth="1"/>
    <col min="271" max="271" width="10.77734375" bestFit="1" customWidth="1"/>
    <col min="272" max="272" width="11.44140625" bestFit="1" customWidth="1"/>
    <col min="273" max="273" width="10.33203125" bestFit="1" customWidth="1"/>
    <col min="274" max="274" width="11.44140625" bestFit="1" customWidth="1"/>
    <col min="275" max="275" width="10.77734375" bestFit="1" customWidth="1"/>
    <col min="276" max="276" width="14.21875" bestFit="1" customWidth="1"/>
    <col min="277" max="277" width="11.21875" bestFit="1" customWidth="1"/>
    <col min="278" max="278" width="11.44140625" bestFit="1" customWidth="1"/>
    <col min="279" max="280" width="14.5546875" bestFit="1" customWidth="1"/>
    <col min="281" max="281" width="10.77734375" bestFit="1" customWidth="1"/>
    <col min="282" max="283" width="11.21875" bestFit="1" customWidth="1"/>
    <col min="284" max="284" width="14.21875" bestFit="1" customWidth="1"/>
    <col min="285" max="285" width="10.33203125" bestFit="1" customWidth="1"/>
    <col min="286" max="286" width="14.5546875" bestFit="1" customWidth="1"/>
    <col min="287" max="287" width="11.21875" bestFit="1" customWidth="1"/>
    <col min="288" max="288" width="14.5546875" bestFit="1" customWidth="1"/>
    <col min="289" max="289" width="11.21875" bestFit="1" customWidth="1"/>
    <col min="290" max="290" width="11.6640625" bestFit="1" customWidth="1"/>
    <col min="291" max="291" width="14.5546875" bestFit="1" customWidth="1"/>
    <col min="292" max="292" width="10.33203125" bestFit="1" customWidth="1"/>
    <col min="293" max="293" width="11.21875" bestFit="1" customWidth="1"/>
    <col min="294" max="294" width="10.33203125" bestFit="1" customWidth="1"/>
    <col min="295" max="295" width="14.5546875" bestFit="1" customWidth="1"/>
    <col min="296" max="296" width="10.77734375" bestFit="1" customWidth="1"/>
    <col min="297" max="298" width="14.5546875" bestFit="1" customWidth="1"/>
    <col min="299" max="299" width="11.21875" bestFit="1" customWidth="1"/>
    <col min="300" max="300" width="10.88671875" bestFit="1" customWidth="1"/>
    <col min="301" max="301" width="14.5546875" bestFit="1" customWidth="1"/>
    <col min="302" max="302" width="10.33203125" bestFit="1" customWidth="1"/>
    <col min="303" max="303" width="11.6640625" bestFit="1" customWidth="1"/>
    <col min="304" max="304" width="11.44140625" bestFit="1" customWidth="1"/>
    <col min="305" max="305" width="14.5546875" bestFit="1" customWidth="1"/>
    <col min="306" max="306" width="10.33203125" bestFit="1" customWidth="1"/>
    <col min="307" max="307" width="10.77734375" bestFit="1" customWidth="1"/>
    <col min="308" max="308" width="14.21875" bestFit="1" customWidth="1"/>
    <col min="309" max="309" width="10.77734375" bestFit="1" customWidth="1"/>
    <col min="310" max="310" width="10.88671875" bestFit="1" customWidth="1"/>
    <col min="311" max="311" width="11.109375" bestFit="1" customWidth="1"/>
    <col min="312" max="312" width="11.44140625" bestFit="1" customWidth="1"/>
    <col min="313" max="313" width="14.5546875" bestFit="1" customWidth="1"/>
    <col min="314" max="314" width="10.33203125" bestFit="1" customWidth="1"/>
    <col min="315" max="315" width="14.5546875" bestFit="1" customWidth="1"/>
    <col min="316" max="316" width="11.109375" bestFit="1" customWidth="1"/>
    <col min="317" max="317" width="10.33203125" bestFit="1" customWidth="1"/>
    <col min="318" max="318" width="11.21875" bestFit="1" customWidth="1"/>
    <col min="319" max="319" width="11.109375" bestFit="1" customWidth="1"/>
    <col min="320" max="320" width="14.21875" bestFit="1" customWidth="1"/>
    <col min="321" max="321" width="10.33203125" bestFit="1" customWidth="1"/>
    <col min="322" max="322" width="14.21875" bestFit="1" customWidth="1"/>
    <col min="323" max="323" width="11.21875" bestFit="1" customWidth="1"/>
    <col min="324" max="325" width="10.33203125" bestFit="1" customWidth="1"/>
    <col min="326" max="326" width="14.21875" bestFit="1" customWidth="1"/>
    <col min="327" max="329" width="11.44140625" bestFit="1" customWidth="1"/>
    <col min="330" max="330" width="14.5546875" bestFit="1" customWidth="1"/>
    <col min="331" max="331" width="11.44140625" bestFit="1" customWidth="1"/>
    <col min="332" max="332" width="10.33203125" bestFit="1" customWidth="1"/>
    <col min="333" max="333" width="14.21875" bestFit="1" customWidth="1"/>
    <col min="334" max="334" width="14.5546875" bestFit="1" customWidth="1"/>
    <col min="335" max="335" width="14.21875" bestFit="1" customWidth="1"/>
    <col min="336" max="336" width="11.109375" bestFit="1" customWidth="1"/>
    <col min="337" max="338" width="11.21875" bestFit="1" customWidth="1"/>
    <col min="339" max="339" width="14.5546875" bestFit="1" customWidth="1"/>
    <col min="340" max="340" width="11.44140625" bestFit="1" customWidth="1"/>
    <col min="341" max="341" width="10.77734375" bestFit="1" customWidth="1"/>
    <col min="342" max="342" width="14.5546875" bestFit="1" customWidth="1"/>
    <col min="343" max="343" width="11.21875" bestFit="1" customWidth="1"/>
    <col min="344" max="344" width="14.5546875" bestFit="1" customWidth="1"/>
    <col min="345" max="345" width="14.21875" bestFit="1" customWidth="1"/>
    <col min="346" max="346" width="10.88671875" bestFit="1" customWidth="1"/>
    <col min="347" max="347" width="11.6640625" bestFit="1" customWidth="1"/>
    <col min="348" max="350" width="11.109375" bestFit="1" customWidth="1"/>
    <col min="351" max="351" width="14.5546875" bestFit="1" customWidth="1"/>
    <col min="352" max="352" width="11.21875" bestFit="1" customWidth="1"/>
    <col min="353" max="353" width="14.21875" bestFit="1" customWidth="1"/>
    <col min="354" max="354" width="14.5546875" bestFit="1" customWidth="1"/>
    <col min="355" max="355" width="10.33203125" bestFit="1" customWidth="1"/>
    <col min="356" max="356" width="11.21875" bestFit="1" customWidth="1"/>
    <col min="357" max="357" width="14.5546875" bestFit="1" customWidth="1"/>
    <col min="358" max="359" width="11.109375" bestFit="1" customWidth="1"/>
    <col min="360" max="360" width="11.44140625" bestFit="1" customWidth="1"/>
    <col min="361" max="361" width="14.21875" bestFit="1" customWidth="1"/>
    <col min="362" max="362" width="10.77734375" bestFit="1" customWidth="1"/>
    <col min="363" max="363" width="11.21875" bestFit="1" customWidth="1"/>
    <col min="364" max="364" width="10.33203125" bestFit="1" customWidth="1"/>
    <col min="365" max="365" width="14.5546875" bestFit="1" customWidth="1"/>
    <col min="366" max="366" width="11.109375" bestFit="1" customWidth="1"/>
    <col min="367" max="367" width="10.88671875" bestFit="1" customWidth="1"/>
    <col min="368" max="368" width="10.33203125" bestFit="1" customWidth="1"/>
    <col min="369" max="369" width="11.21875" bestFit="1" customWidth="1"/>
    <col min="370" max="370" width="10.77734375" bestFit="1" customWidth="1"/>
    <col min="371" max="371" width="11.109375" bestFit="1" customWidth="1"/>
    <col min="372" max="373" width="11.21875" bestFit="1" customWidth="1"/>
  </cols>
  <sheetData>
    <row r="1" spans="1:373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10052</v>
      </c>
      <c r="BA1" s="2">
        <v>10053</v>
      </c>
      <c r="BB1" s="2">
        <v>10054</v>
      </c>
      <c r="BC1" s="2">
        <v>10055</v>
      </c>
      <c r="BD1" s="2">
        <v>10056</v>
      </c>
      <c r="BE1" s="2">
        <v>10057</v>
      </c>
      <c r="BF1" s="2">
        <v>10059</v>
      </c>
      <c r="BG1" s="2">
        <v>10060</v>
      </c>
      <c r="BH1" s="2">
        <v>10061</v>
      </c>
      <c r="BI1" s="2">
        <v>10063</v>
      </c>
      <c r="BJ1" s="2">
        <v>10064</v>
      </c>
      <c r="BK1" s="2">
        <v>10065</v>
      </c>
      <c r="BL1" s="2">
        <v>10066</v>
      </c>
      <c r="BM1" s="2">
        <v>10067</v>
      </c>
      <c r="BN1" s="2">
        <v>10068</v>
      </c>
      <c r="BO1" s="2">
        <v>10069</v>
      </c>
      <c r="BP1" s="2">
        <v>10070</v>
      </c>
      <c r="BQ1" s="2">
        <v>10071</v>
      </c>
      <c r="BR1" s="2">
        <v>10072</v>
      </c>
      <c r="BS1" s="2">
        <v>10073</v>
      </c>
      <c r="BT1" s="2">
        <v>10074</v>
      </c>
      <c r="BU1" s="2">
        <v>10075</v>
      </c>
      <c r="BV1" s="2">
        <v>10076</v>
      </c>
      <c r="BW1" s="2">
        <v>10077</v>
      </c>
      <c r="BX1" s="2">
        <v>10079</v>
      </c>
      <c r="BY1" s="2">
        <v>10080</v>
      </c>
      <c r="BZ1" s="2">
        <v>10081</v>
      </c>
      <c r="CA1" s="2">
        <v>10082</v>
      </c>
      <c r="CB1" s="2">
        <v>10083</v>
      </c>
      <c r="CC1" s="2">
        <v>10084</v>
      </c>
      <c r="CD1" s="2">
        <v>10085</v>
      </c>
      <c r="CE1" s="2">
        <v>10086</v>
      </c>
      <c r="CF1" s="2">
        <v>10087</v>
      </c>
      <c r="CG1" s="2">
        <v>10088</v>
      </c>
      <c r="CH1" s="2">
        <v>10091</v>
      </c>
      <c r="CI1" s="2">
        <v>10092</v>
      </c>
      <c r="CJ1" s="2">
        <v>10093</v>
      </c>
      <c r="CK1" s="2">
        <v>10094</v>
      </c>
      <c r="CL1" s="2">
        <v>10095</v>
      </c>
      <c r="CM1" s="2">
        <v>10096</v>
      </c>
      <c r="CN1" s="2">
        <v>10097</v>
      </c>
      <c r="CO1" s="2">
        <v>10098</v>
      </c>
      <c r="CP1" s="2">
        <v>10099</v>
      </c>
      <c r="CQ1" s="2">
        <v>10100</v>
      </c>
      <c r="CR1" s="2">
        <v>10101</v>
      </c>
      <c r="CS1" s="2">
        <v>10102</v>
      </c>
      <c r="CT1" s="2">
        <v>10103</v>
      </c>
      <c r="CU1" s="2">
        <v>10105</v>
      </c>
      <c r="CV1" s="2">
        <v>10106</v>
      </c>
      <c r="CW1" s="2">
        <v>10107</v>
      </c>
      <c r="CX1" s="2">
        <v>10108</v>
      </c>
      <c r="CY1" s="2">
        <v>10110</v>
      </c>
      <c r="CZ1" s="2">
        <v>10111</v>
      </c>
      <c r="DA1" s="2">
        <v>10112</v>
      </c>
      <c r="DB1" s="2">
        <v>10113</v>
      </c>
      <c r="DC1" s="2">
        <v>10114</v>
      </c>
      <c r="DD1" s="2">
        <v>10115</v>
      </c>
      <c r="DE1" s="2">
        <v>10116</v>
      </c>
      <c r="DF1" s="2">
        <v>10117</v>
      </c>
      <c r="DG1" s="2">
        <v>10118</v>
      </c>
      <c r="DH1" s="2">
        <v>10119</v>
      </c>
      <c r="DI1" s="2">
        <v>10120</v>
      </c>
      <c r="DJ1" s="2">
        <v>10121</v>
      </c>
      <c r="DK1" s="2">
        <v>10122</v>
      </c>
      <c r="DL1" s="2">
        <v>10123</v>
      </c>
      <c r="DM1" s="2">
        <v>10124</v>
      </c>
      <c r="DN1" s="2">
        <v>10125</v>
      </c>
      <c r="DO1" s="2">
        <v>10126</v>
      </c>
      <c r="DP1" s="2">
        <v>10127</v>
      </c>
      <c r="DQ1" s="2">
        <v>10128</v>
      </c>
      <c r="DR1" s="2">
        <v>10129</v>
      </c>
      <c r="DS1" s="2">
        <v>10130</v>
      </c>
      <c r="DT1" s="2">
        <v>10131</v>
      </c>
      <c r="DU1" s="2">
        <v>10132</v>
      </c>
      <c r="DV1" s="2">
        <v>10133</v>
      </c>
      <c r="DW1" s="2">
        <v>10135</v>
      </c>
      <c r="DX1" s="2">
        <v>10136</v>
      </c>
      <c r="DY1" s="2">
        <v>10138</v>
      </c>
      <c r="DZ1" s="2">
        <v>10139</v>
      </c>
      <c r="EA1" s="2">
        <v>10140</v>
      </c>
      <c r="EB1" s="2">
        <v>10141</v>
      </c>
      <c r="EC1" s="2">
        <v>10142</v>
      </c>
      <c r="ED1" s="2">
        <v>10143</v>
      </c>
      <c r="EE1" s="2">
        <v>10144</v>
      </c>
      <c r="EF1" s="2">
        <v>10145</v>
      </c>
      <c r="EG1" s="2">
        <v>10146</v>
      </c>
      <c r="EH1" s="2">
        <v>10147</v>
      </c>
      <c r="EI1" s="2">
        <v>10148</v>
      </c>
      <c r="EJ1" s="2">
        <v>10149</v>
      </c>
      <c r="EK1" s="2">
        <v>10150</v>
      </c>
      <c r="EL1" s="2">
        <v>10151</v>
      </c>
      <c r="EM1" s="2">
        <v>10152</v>
      </c>
      <c r="EN1" s="2">
        <v>10154</v>
      </c>
      <c r="EO1" s="2">
        <v>10155</v>
      </c>
      <c r="EP1" s="2">
        <v>10156</v>
      </c>
      <c r="EQ1" s="2">
        <v>10157</v>
      </c>
      <c r="ER1" s="2">
        <v>10158</v>
      </c>
      <c r="ES1" s="2">
        <v>10159</v>
      </c>
      <c r="ET1" s="2">
        <v>10160</v>
      </c>
      <c r="EU1" s="2">
        <v>10161</v>
      </c>
      <c r="EV1" s="2">
        <v>10162</v>
      </c>
      <c r="EW1" s="2">
        <v>10163</v>
      </c>
      <c r="EX1" s="2">
        <v>10164</v>
      </c>
      <c r="EY1" s="2">
        <v>10165</v>
      </c>
      <c r="EZ1" s="2">
        <v>10166</v>
      </c>
      <c r="FA1" s="2">
        <v>10167</v>
      </c>
      <c r="FB1" s="2">
        <v>10168</v>
      </c>
      <c r="FC1" s="2">
        <v>10170</v>
      </c>
      <c r="FD1" s="2">
        <v>10171</v>
      </c>
      <c r="FE1" s="2">
        <v>10172</v>
      </c>
      <c r="FF1" s="2">
        <v>10173</v>
      </c>
      <c r="FG1" s="2">
        <v>10174</v>
      </c>
      <c r="FH1" s="2">
        <v>10175</v>
      </c>
      <c r="FI1" s="2">
        <v>10178</v>
      </c>
      <c r="FJ1" s="2">
        <v>10179</v>
      </c>
      <c r="FK1" s="2">
        <v>10180</v>
      </c>
      <c r="FL1" s="2">
        <v>10181</v>
      </c>
      <c r="FM1" s="2">
        <v>10183</v>
      </c>
      <c r="FN1" s="2">
        <v>10184</v>
      </c>
      <c r="FO1" s="2">
        <v>10185</v>
      </c>
      <c r="FP1" s="2">
        <v>10186</v>
      </c>
      <c r="FQ1" s="2">
        <v>10187</v>
      </c>
      <c r="FR1" s="2">
        <v>10188</v>
      </c>
      <c r="FS1" s="2">
        <v>10190</v>
      </c>
      <c r="FT1" s="2">
        <v>10191</v>
      </c>
      <c r="FU1" s="2">
        <v>10192</v>
      </c>
      <c r="FV1" s="2">
        <v>10193</v>
      </c>
      <c r="FW1" s="2">
        <v>10194</v>
      </c>
      <c r="FX1" s="2">
        <v>10195</v>
      </c>
      <c r="FY1" s="2">
        <v>10196</v>
      </c>
      <c r="FZ1" s="2">
        <v>10197</v>
      </c>
      <c r="GA1" s="2">
        <v>10198</v>
      </c>
      <c r="GB1" s="2">
        <v>10199</v>
      </c>
      <c r="GC1" s="2">
        <v>10200</v>
      </c>
      <c r="GD1" s="2">
        <v>10201</v>
      </c>
      <c r="GE1" s="2">
        <v>10202</v>
      </c>
      <c r="GF1" s="2">
        <v>10207</v>
      </c>
      <c r="GG1" s="2">
        <v>10208</v>
      </c>
      <c r="GH1" s="2">
        <v>10209</v>
      </c>
      <c r="GI1" s="2">
        <v>10210</v>
      </c>
      <c r="GJ1" s="2">
        <v>10211</v>
      </c>
      <c r="GK1" s="2">
        <v>10212</v>
      </c>
      <c r="GL1" s="2">
        <v>10214</v>
      </c>
      <c r="GM1" s="2">
        <v>10215</v>
      </c>
      <c r="GN1" s="2">
        <v>10216</v>
      </c>
      <c r="GO1" s="2">
        <v>10217</v>
      </c>
      <c r="GP1" s="2">
        <v>10218</v>
      </c>
      <c r="GQ1" s="2">
        <v>10220</v>
      </c>
      <c r="GR1" s="2">
        <v>10222</v>
      </c>
      <c r="GS1" s="2">
        <v>10223</v>
      </c>
      <c r="GT1" s="2">
        <v>10226</v>
      </c>
      <c r="GU1" s="2">
        <v>10229</v>
      </c>
      <c r="GV1" s="2">
        <v>10232</v>
      </c>
      <c r="GW1" s="2">
        <v>10233</v>
      </c>
      <c r="GX1" s="2">
        <v>10234</v>
      </c>
      <c r="GY1" s="2">
        <v>10235</v>
      </c>
      <c r="GZ1" s="2">
        <v>10238</v>
      </c>
      <c r="HA1" s="2">
        <v>10239</v>
      </c>
      <c r="HB1" s="2">
        <v>10240</v>
      </c>
      <c r="HC1" s="2">
        <v>10241</v>
      </c>
      <c r="HD1" s="2">
        <v>10243</v>
      </c>
      <c r="HE1" s="2">
        <v>10244</v>
      </c>
      <c r="HF1" s="2">
        <v>10245</v>
      </c>
      <c r="HG1" s="2">
        <v>10246</v>
      </c>
      <c r="HH1" s="2">
        <v>10247</v>
      </c>
      <c r="HI1" s="2">
        <v>10248</v>
      </c>
      <c r="HJ1" s="2">
        <v>10249</v>
      </c>
      <c r="HK1" s="2">
        <v>10251</v>
      </c>
      <c r="HL1" s="2">
        <v>10252</v>
      </c>
      <c r="HM1" s="2">
        <v>10253</v>
      </c>
      <c r="HN1" s="2">
        <v>10254</v>
      </c>
      <c r="HO1" s="2">
        <v>10257</v>
      </c>
      <c r="HP1" s="2">
        <v>10260</v>
      </c>
      <c r="HQ1" s="2">
        <v>10261</v>
      </c>
      <c r="HR1" s="2">
        <v>10262</v>
      </c>
      <c r="HS1" s="2">
        <v>10263</v>
      </c>
      <c r="HT1" s="2">
        <v>10264</v>
      </c>
      <c r="HU1" s="2">
        <v>10266</v>
      </c>
      <c r="HV1" s="2">
        <v>10267</v>
      </c>
      <c r="HW1" s="2">
        <v>10268</v>
      </c>
      <c r="HX1" s="2">
        <v>10269</v>
      </c>
      <c r="HY1" s="2">
        <v>10270</v>
      </c>
      <c r="HZ1" s="2">
        <v>10271</v>
      </c>
      <c r="IA1" s="2">
        <v>10273</v>
      </c>
      <c r="IB1" s="2">
        <v>10274</v>
      </c>
      <c r="IC1" s="2">
        <v>10275</v>
      </c>
      <c r="ID1" s="2">
        <v>10277</v>
      </c>
      <c r="IE1" s="2">
        <v>10280</v>
      </c>
      <c r="IF1" s="2">
        <v>10281</v>
      </c>
      <c r="IG1" s="2">
        <v>10286</v>
      </c>
      <c r="IH1" s="2">
        <v>10287</v>
      </c>
      <c r="II1" s="2">
        <v>10289</v>
      </c>
      <c r="IJ1" s="2">
        <v>10290</v>
      </c>
      <c r="IK1" s="2">
        <v>10291</v>
      </c>
      <c r="IL1" s="2">
        <v>10294</v>
      </c>
      <c r="IM1" s="2">
        <v>10295</v>
      </c>
      <c r="IN1" s="2">
        <v>10296</v>
      </c>
      <c r="IO1" s="2">
        <v>10302</v>
      </c>
      <c r="IP1" s="2">
        <v>10303</v>
      </c>
      <c r="IQ1" s="2">
        <v>10304</v>
      </c>
      <c r="IR1" s="2">
        <v>10305</v>
      </c>
      <c r="IS1" s="2">
        <v>10306</v>
      </c>
      <c r="IT1" s="2">
        <v>10307</v>
      </c>
      <c r="IU1" s="2">
        <v>10308</v>
      </c>
      <c r="IV1" s="2">
        <v>10309</v>
      </c>
      <c r="IW1" s="2">
        <v>10311</v>
      </c>
      <c r="IX1" s="2">
        <v>10312</v>
      </c>
      <c r="IY1" s="2">
        <v>10313</v>
      </c>
      <c r="IZ1" s="2">
        <v>10314</v>
      </c>
      <c r="JA1" s="2">
        <v>10315</v>
      </c>
      <c r="JB1" s="2">
        <v>10316</v>
      </c>
      <c r="JC1" s="2">
        <v>10317</v>
      </c>
      <c r="JD1" s="2">
        <v>10318</v>
      </c>
      <c r="JE1" s="2">
        <v>10320</v>
      </c>
      <c r="JF1" s="2">
        <v>10321</v>
      </c>
      <c r="JG1" s="2">
        <v>10322</v>
      </c>
      <c r="JH1" s="2">
        <v>10324</v>
      </c>
      <c r="JI1" s="2">
        <v>10325</v>
      </c>
      <c r="JJ1" s="2">
        <v>10326</v>
      </c>
      <c r="JK1" s="2">
        <v>10327</v>
      </c>
      <c r="JL1" s="2">
        <v>10328</v>
      </c>
      <c r="JM1" s="2">
        <v>10329</v>
      </c>
      <c r="JN1" s="2">
        <v>10330</v>
      </c>
      <c r="JO1" s="2">
        <v>10332</v>
      </c>
      <c r="JP1" s="2">
        <v>10336</v>
      </c>
      <c r="JQ1" s="2">
        <v>10338</v>
      </c>
      <c r="JR1" s="2">
        <v>10339</v>
      </c>
      <c r="JS1" s="2">
        <v>10341</v>
      </c>
      <c r="JT1" s="2">
        <v>10342</v>
      </c>
      <c r="JU1" s="2">
        <v>10343</v>
      </c>
      <c r="JV1" s="2">
        <v>10344</v>
      </c>
      <c r="JW1" s="2">
        <v>10345</v>
      </c>
      <c r="JX1" s="2">
        <v>10347</v>
      </c>
      <c r="JY1" s="2">
        <v>10350</v>
      </c>
      <c r="JZ1" s="2">
        <v>10351</v>
      </c>
      <c r="KA1" s="2">
        <v>10352</v>
      </c>
      <c r="KB1" s="2">
        <v>10355</v>
      </c>
      <c r="KC1" s="2">
        <v>10356</v>
      </c>
      <c r="KD1" s="2">
        <v>10357</v>
      </c>
      <c r="KE1" s="2">
        <v>10358</v>
      </c>
      <c r="KF1" s="2">
        <v>10359</v>
      </c>
      <c r="KG1" s="2">
        <v>10360</v>
      </c>
      <c r="KH1" s="2">
        <v>10361</v>
      </c>
      <c r="KI1" s="2">
        <v>10365</v>
      </c>
      <c r="KJ1" s="2">
        <v>10366</v>
      </c>
      <c r="KK1" s="2">
        <v>10367</v>
      </c>
      <c r="KL1" s="2">
        <v>10369</v>
      </c>
      <c r="KM1" s="2">
        <v>10370</v>
      </c>
      <c r="KN1" s="2">
        <v>10371</v>
      </c>
      <c r="KO1" s="2">
        <v>10372</v>
      </c>
      <c r="KP1" s="2">
        <v>10373</v>
      </c>
      <c r="KQ1" s="2">
        <v>10374</v>
      </c>
      <c r="KR1" s="2">
        <v>10376</v>
      </c>
      <c r="KS1" s="2">
        <v>10379</v>
      </c>
      <c r="KT1" s="2">
        <v>10381</v>
      </c>
      <c r="KU1" s="2">
        <v>10383</v>
      </c>
      <c r="KV1" s="2">
        <v>10384</v>
      </c>
      <c r="KW1" s="2">
        <v>10385</v>
      </c>
      <c r="KX1" s="2">
        <v>10386</v>
      </c>
      <c r="KY1" s="2">
        <v>10387</v>
      </c>
      <c r="KZ1" s="2">
        <v>10388</v>
      </c>
      <c r="LA1" s="2">
        <v>10390</v>
      </c>
      <c r="LB1" s="2">
        <v>10392</v>
      </c>
      <c r="LC1" s="2">
        <v>10393</v>
      </c>
      <c r="LD1" s="2">
        <v>10394</v>
      </c>
      <c r="LE1" s="2">
        <v>10395</v>
      </c>
      <c r="LF1" s="2">
        <v>10396</v>
      </c>
      <c r="LG1" s="2">
        <v>10398</v>
      </c>
      <c r="LH1" s="2">
        <v>10399</v>
      </c>
      <c r="LI1" s="2">
        <v>10403</v>
      </c>
      <c r="LJ1" s="2">
        <v>10405</v>
      </c>
      <c r="LK1" s="2">
        <v>10406</v>
      </c>
      <c r="LL1" s="2">
        <v>10407</v>
      </c>
      <c r="LM1" s="2">
        <v>10409</v>
      </c>
      <c r="LN1" s="2">
        <v>10411</v>
      </c>
      <c r="LO1" s="2">
        <v>10413</v>
      </c>
      <c r="LP1" s="2">
        <v>10414</v>
      </c>
      <c r="LQ1" s="2">
        <v>10417</v>
      </c>
      <c r="LR1" s="2">
        <v>10418</v>
      </c>
      <c r="LS1" s="2">
        <v>10422</v>
      </c>
      <c r="LT1" s="2">
        <v>10423</v>
      </c>
      <c r="LU1" s="2">
        <v>10427</v>
      </c>
      <c r="LV1" s="2">
        <v>10431</v>
      </c>
      <c r="LW1" s="2">
        <v>10434</v>
      </c>
      <c r="LX1" s="2">
        <v>10435</v>
      </c>
      <c r="LY1" s="2">
        <v>10436</v>
      </c>
      <c r="LZ1" s="2">
        <v>10438</v>
      </c>
      <c r="MA1" s="2">
        <v>10439</v>
      </c>
      <c r="MB1" s="2">
        <v>10440</v>
      </c>
      <c r="MC1" s="2">
        <v>10441</v>
      </c>
      <c r="MD1" s="2">
        <v>10442</v>
      </c>
      <c r="ME1" s="2">
        <v>10444</v>
      </c>
      <c r="MF1" s="2">
        <v>10447</v>
      </c>
      <c r="MG1" s="2">
        <v>10448</v>
      </c>
      <c r="MH1" s="2">
        <v>10452</v>
      </c>
      <c r="MI1" s="2">
        <v>10454</v>
      </c>
      <c r="MJ1" s="2">
        <v>10455</v>
      </c>
      <c r="MK1" s="2">
        <v>10457</v>
      </c>
      <c r="ML1" s="2">
        <v>10460</v>
      </c>
      <c r="MM1" s="2">
        <v>10463</v>
      </c>
      <c r="MN1" s="2">
        <v>10464</v>
      </c>
      <c r="MO1" s="2">
        <v>10465</v>
      </c>
      <c r="MP1" s="2">
        <v>10466</v>
      </c>
      <c r="MQ1" s="2">
        <v>10468</v>
      </c>
      <c r="MR1" s="2">
        <v>10470</v>
      </c>
      <c r="MS1" s="2">
        <v>10472</v>
      </c>
      <c r="MT1" s="2">
        <v>10480</v>
      </c>
      <c r="MU1" s="2">
        <v>10481</v>
      </c>
      <c r="MV1" s="2">
        <v>10482</v>
      </c>
      <c r="MW1" s="2">
        <v>10485</v>
      </c>
      <c r="MX1" s="2">
        <v>10486</v>
      </c>
      <c r="MY1" s="2">
        <v>10487</v>
      </c>
      <c r="MZ1" s="2">
        <v>10489</v>
      </c>
      <c r="NA1" s="2">
        <v>10490</v>
      </c>
      <c r="NB1" s="2">
        <v>10491</v>
      </c>
      <c r="NC1" s="2">
        <v>10493</v>
      </c>
      <c r="ND1" s="2">
        <v>10494</v>
      </c>
      <c r="NE1" s="2">
        <v>10495</v>
      </c>
      <c r="NF1" s="2">
        <v>10496</v>
      </c>
      <c r="NG1" s="2">
        <v>10497</v>
      </c>
      <c r="NH1" s="2">
        <v>10498</v>
      </c>
      <c r="NI1" s="2">
        <v>10500</v>
      </c>
    </row>
    <row r="2" spans="1:373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1562</v>
      </c>
      <c r="BA2" s="2">
        <v>1875</v>
      </c>
      <c r="BB2" s="2">
        <v>1566</v>
      </c>
      <c r="BC2" s="2">
        <v>1243</v>
      </c>
      <c r="BD2" s="2">
        <v>1831</v>
      </c>
      <c r="BE2" s="2">
        <v>1504</v>
      </c>
      <c r="BF2" s="2">
        <v>1484</v>
      </c>
      <c r="BG2" s="2">
        <v>1818</v>
      </c>
      <c r="BH2" s="2">
        <v>1646</v>
      </c>
      <c r="BI2" s="2">
        <v>1840</v>
      </c>
      <c r="BJ2" s="2">
        <v>1166</v>
      </c>
      <c r="BK2" s="2">
        <v>1273</v>
      </c>
      <c r="BL2" s="2">
        <v>1387</v>
      </c>
      <c r="BM2" s="2">
        <v>1600</v>
      </c>
      <c r="BN2" s="2">
        <v>1315</v>
      </c>
      <c r="BO2" s="2">
        <v>1013</v>
      </c>
      <c r="BP2" s="2">
        <v>1241</v>
      </c>
      <c r="BQ2" s="2">
        <v>1776</v>
      </c>
      <c r="BR2" s="2">
        <v>1345</v>
      </c>
      <c r="BS2" s="2">
        <v>1564</v>
      </c>
      <c r="BT2" s="2">
        <v>1897</v>
      </c>
      <c r="BU2" s="2">
        <v>1339</v>
      </c>
      <c r="BV2" s="2">
        <v>1091</v>
      </c>
      <c r="BW2" s="2">
        <v>1366</v>
      </c>
      <c r="BX2" s="2">
        <v>1454</v>
      </c>
      <c r="BY2" s="2">
        <v>1427</v>
      </c>
      <c r="BZ2" s="2">
        <v>1508</v>
      </c>
      <c r="CA2" s="2">
        <v>1775</v>
      </c>
      <c r="CB2" s="2">
        <v>1942</v>
      </c>
      <c r="CC2" s="2">
        <v>1034</v>
      </c>
      <c r="CD2" s="2">
        <v>1205</v>
      </c>
      <c r="CE2" s="2">
        <v>1080</v>
      </c>
      <c r="CF2" s="2">
        <v>1931</v>
      </c>
      <c r="CG2" s="2">
        <v>1561</v>
      </c>
      <c r="CH2" s="2">
        <v>1001</v>
      </c>
      <c r="CI2" s="2">
        <v>1389</v>
      </c>
      <c r="CJ2" s="2">
        <v>1565</v>
      </c>
      <c r="CK2" s="2">
        <v>1105</v>
      </c>
      <c r="CL2" s="2">
        <v>1771</v>
      </c>
      <c r="CM2" s="2">
        <v>1821</v>
      </c>
      <c r="CN2" s="2">
        <v>1476</v>
      </c>
      <c r="CO2" s="2">
        <v>1702</v>
      </c>
      <c r="CP2" s="2">
        <v>1401</v>
      </c>
      <c r="CQ2" s="2">
        <v>1729</v>
      </c>
      <c r="CR2" s="2">
        <v>1555</v>
      </c>
      <c r="CS2" s="2">
        <v>1161</v>
      </c>
      <c r="CT2" s="2">
        <v>1201</v>
      </c>
      <c r="CU2" s="2">
        <v>1995</v>
      </c>
      <c r="CV2" s="2">
        <v>1269</v>
      </c>
      <c r="CW2" s="2">
        <v>1862</v>
      </c>
      <c r="CX2" s="2">
        <v>1815</v>
      </c>
      <c r="CY2" s="2">
        <v>1455</v>
      </c>
      <c r="CZ2" s="2">
        <v>1461</v>
      </c>
      <c r="DA2" s="2">
        <v>1726</v>
      </c>
      <c r="DB2" s="2">
        <v>1251</v>
      </c>
      <c r="DC2" s="2">
        <v>1701</v>
      </c>
      <c r="DD2" s="2">
        <v>1295</v>
      </c>
      <c r="DE2" s="2">
        <v>1724</v>
      </c>
      <c r="DF2" s="2">
        <v>1719</v>
      </c>
      <c r="DG2" s="2">
        <v>1748</v>
      </c>
      <c r="DH2" s="2">
        <v>1337</v>
      </c>
      <c r="DI2" s="2">
        <v>1878</v>
      </c>
      <c r="DJ2" s="2">
        <v>1052</v>
      </c>
      <c r="DK2" s="2">
        <v>1791</v>
      </c>
      <c r="DL2" s="2">
        <v>1921</v>
      </c>
      <c r="DM2" s="2">
        <v>1216</v>
      </c>
      <c r="DN2" s="2">
        <v>1763</v>
      </c>
      <c r="DO2" s="2">
        <v>1187</v>
      </c>
      <c r="DP2" s="2">
        <v>1379</v>
      </c>
      <c r="DQ2" s="2">
        <v>1492</v>
      </c>
      <c r="DR2" s="2">
        <v>1040</v>
      </c>
      <c r="DS2" s="2">
        <v>1156</v>
      </c>
      <c r="DT2" s="2">
        <v>1014</v>
      </c>
      <c r="DU2" s="2">
        <v>1812</v>
      </c>
      <c r="DV2" s="2">
        <v>1064</v>
      </c>
      <c r="DW2" s="2">
        <v>1838</v>
      </c>
      <c r="DX2" s="2">
        <v>1520</v>
      </c>
      <c r="DY2" s="2">
        <v>1128</v>
      </c>
      <c r="DZ2" s="2">
        <v>1647</v>
      </c>
      <c r="EA2" s="2">
        <v>1471</v>
      </c>
      <c r="EB2" s="2">
        <v>1062</v>
      </c>
      <c r="EC2" s="2">
        <v>1138</v>
      </c>
      <c r="ED2" s="2">
        <v>1498</v>
      </c>
      <c r="EE2" s="2">
        <v>1592</v>
      </c>
      <c r="EF2" s="2">
        <v>1391</v>
      </c>
      <c r="EG2" s="2">
        <v>1674</v>
      </c>
      <c r="EH2" s="2">
        <v>1418</v>
      </c>
      <c r="EI2" s="2">
        <v>1288</v>
      </c>
      <c r="EJ2" s="2">
        <v>1378</v>
      </c>
      <c r="EK2" s="2">
        <v>1772</v>
      </c>
      <c r="EL2" s="2">
        <v>1489</v>
      </c>
      <c r="EM2" s="2">
        <v>1230</v>
      </c>
      <c r="EN2" s="2">
        <v>1027</v>
      </c>
      <c r="EO2" s="2">
        <v>1134</v>
      </c>
      <c r="EP2" s="2">
        <v>1200</v>
      </c>
      <c r="EQ2" s="2">
        <v>1839</v>
      </c>
      <c r="ER2" s="2">
        <v>1779</v>
      </c>
      <c r="ES2" s="2">
        <v>1929</v>
      </c>
      <c r="ET2" s="2">
        <v>1032</v>
      </c>
      <c r="EU2" s="2">
        <v>1047</v>
      </c>
      <c r="EV2" s="2">
        <v>1502</v>
      </c>
      <c r="EW2" s="2">
        <v>1406</v>
      </c>
      <c r="EX2" s="2">
        <v>1573</v>
      </c>
      <c r="EY2" s="2">
        <v>1727</v>
      </c>
      <c r="EZ2" s="2">
        <v>1804</v>
      </c>
      <c r="FA2" s="2">
        <v>1098</v>
      </c>
      <c r="FB2" s="2">
        <v>1683</v>
      </c>
      <c r="FC2" s="2">
        <v>1725</v>
      </c>
      <c r="FD2" s="2">
        <v>1986</v>
      </c>
      <c r="FE2" s="2">
        <v>1546</v>
      </c>
      <c r="FF2" s="2">
        <v>1960</v>
      </c>
      <c r="FG2" s="2">
        <v>1738</v>
      </c>
      <c r="FH2" s="2">
        <v>1612</v>
      </c>
      <c r="FI2" s="2">
        <v>1642</v>
      </c>
      <c r="FJ2" s="2">
        <v>1768</v>
      </c>
      <c r="FK2" s="2">
        <v>1004</v>
      </c>
      <c r="FL2" s="2">
        <v>1217</v>
      </c>
      <c r="FM2" s="2">
        <v>1766</v>
      </c>
      <c r="FN2" s="2">
        <v>1397</v>
      </c>
      <c r="FO2" s="2">
        <v>1870</v>
      </c>
      <c r="FP2" s="2">
        <v>1794</v>
      </c>
      <c r="FQ2" s="2">
        <v>1392</v>
      </c>
      <c r="FR2" s="2">
        <v>1206</v>
      </c>
      <c r="FS2" s="2">
        <v>1857</v>
      </c>
      <c r="FT2" s="2">
        <v>1553</v>
      </c>
      <c r="FU2" s="2">
        <v>1891</v>
      </c>
      <c r="FV2" s="2">
        <v>1460</v>
      </c>
      <c r="FW2" s="2">
        <v>1690</v>
      </c>
      <c r="FX2" s="2">
        <v>1574</v>
      </c>
      <c r="FY2" s="2">
        <v>1863</v>
      </c>
      <c r="FZ2" s="2">
        <v>1742</v>
      </c>
      <c r="GA2" s="2">
        <v>1240</v>
      </c>
      <c r="GB2" s="2">
        <v>1563</v>
      </c>
      <c r="GC2" s="2">
        <v>1095</v>
      </c>
      <c r="GD2" s="2">
        <v>1899</v>
      </c>
      <c r="GE2" s="2">
        <v>1733</v>
      </c>
      <c r="GF2" s="2">
        <v>1654</v>
      </c>
      <c r="GG2" s="2">
        <v>1170</v>
      </c>
      <c r="GH2" s="2">
        <v>1540</v>
      </c>
      <c r="GI2" s="2">
        <v>1035</v>
      </c>
      <c r="GJ2" s="2">
        <v>1524</v>
      </c>
      <c r="GK2" s="2">
        <v>1159</v>
      </c>
      <c r="GL2" s="2">
        <v>1698</v>
      </c>
      <c r="GM2" s="2">
        <v>1242</v>
      </c>
      <c r="GN2" s="2">
        <v>1085</v>
      </c>
      <c r="GO2" s="2">
        <v>1795</v>
      </c>
      <c r="GP2" s="2">
        <v>1577</v>
      </c>
      <c r="GQ2" s="2">
        <v>1556</v>
      </c>
      <c r="GR2" s="2">
        <v>1952</v>
      </c>
      <c r="GS2" s="2">
        <v>1645</v>
      </c>
      <c r="GT2" s="2">
        <v>1619</v>
      </c>
      <c r="GU2" s="2">
        <v>1797</v>
      </c>
      <c r="GV2" s="2">
        <v>1639</v>
      </c>
      <c r="GW2" s="2">
        <v>1505</v>
      </c>
      <c r="GX2" s="2">
        <v>1347</v>
      </c>
      <c r="GY2" s="2">
        <v>1472</v>
      </c>
      <c r="GZ2" s="2">
        <v>1224</v>
      </c>
      <c r="HA2" s="2">
        <v>1384</v>
      </c>
      <c r="HB2" s="2">
        <v>1376</v>
      </c>
      <c r="HC2" s="2">
        <v>1282</v>
      </c>
      <c r="HD2" s="2">
        <v>1632</v>
      </c>
      <c r="HE2" s="2">
        <v>1627</v>
      </c>
      <c r="HF2" s="2">
        <v>1972</v>
      </c>
      <c r="HG2" s="2">
        <v>1744</v>
      </c>
      <c r="HH2" s="2">
        <v>1258</v>
      </c>
      <c r="HI2" s="2">
        <v>1358</v>
      </c>
      <c r="HJ2" s="2">
        <v>1709</v>
      </c>
      <c r="HK2" s="2">
        <v>1410</v>
      </c>
      <c r="HL2" s="2">
        <v>1648</v>
      </c>
      <c r="HM2" s="2">
        <v>1317</v>
      </c>
      <c r="HN2" s="2">
        <v>1676</v>
      </c>
      <c r="HO2" s="2">
        <v>1233</v>
      </c>
      <c r="HP2" s="2">
        <v>1974</v>
      </c>
      <c r="HQ2" s="2">
        <v>1826</v>
      </c>
      <c r="HR2" s="2">
        <v>1373</v>
      </c>
      <c r="HS2" s="2">
        <v>1671</v>
      </c>
      <c r="HT2" s="2">
        <v>1607</v>
      </c>
      <c r="HU2" s="2">
        <v>1232</v>
      </c>
      <c r="HV2" s="2">
        <v>1691</v>
      </c>
      <c r="HW2" s="2">
        <v>1112</v>
      </c>
      <c r="HX2" s="2">
        <v>1829</v>
      </c>
      <c r="HY2" s="2">
        <v>1496</v>
      </c>
      <c r="HZ2" s="2">
        <v>1441</v>
      </c>
      <c r="IA2" s="2">
        <v>1267</v>
      </c>
      <c r="IB2" s="2">
        <v>1509</v>
      </c>
      <c r="IC2" s="2">
        <v>1806</v>
      </c>
      <c r="ID2" s="2">
        <v>1386</v>
      </c>
      <c r="IE2" s="2">
        <v>1624</v>
      </c>
      <c r="IF2" s="2">
        <v>1951</v>
      </c>
      <c r="IG2" s="2">
        <v>1641</v>
      </c>
      <c r="IH2" s="2">
        <v>1219</v>
      </c>
      <c r="II2" s="2">
        <v>1854</v>
      </c>
      <c r="IJ2" s="2">
        <v>1996</v>
      </c>
      <c r="IK2" s="2">
        <v>1735</v>
      </c>
      <c r="IL2" s="2">
        <v>1402</v>
      </c>
      <c r="IM2" s="2">
        <v>1637</v>
      </c>
      <c r="IN2" s="2">
        <v>1129</v>
      </c>
      <c r="IO2" s="2">
        <v>1415</v>
      </c>
      <c r="IP2" s="2">
        <v>1246</v>
      </c>
      <c r="IQ2" s="2">
        <v>1835</v>
      </c>
      <c r="IR2" s="2">
        <v>1438</v>
      </c>
      <c r="IS2" s="2">
        <v>1202</v>
      </c>
      <c r="IT2" s="2">
        <v>1183</v>
      </c>
      <c r="IU2" s="2">
        <v>1122</v>
      </c>
      <c r="IV2" s="2">
        <v>1400</v>
      </c>
      <c r="IW2" s="2">
        <v>1293</v>
      </c>
      <c r="IX2" s="2">
        <v>1279</v>
      </c>
      <c r="IY2" s="2">
        <v>1836</v>
      </c>
      <c r="IZ2" s="2">
        <v>1883</v>
      </c>
      <c r="JA2" s="2">
        <v>1609</v>
      </c>
      <c r="JB2" s="2">
        <v>1197</v>
      </c>
      <c r="JC2" s="2">
        <v>1981</v>
      </c>
      <c r="JD2" s="2">
        <v>1906</v>
      </c>
      <c r="JE2" s="2">
        <v>1751</v>
      </c>
      <c r="JF2" s="2">
        <v>1143</v>
      </c>
      <c r="JG2" s="2">
        <v>1608</v>
      </c>
      <c r="JH2" s="2">
        <v>1123</v>
      </c>
      <c r="JI2" s="2">
        <v>1186</v>
      </c>
      <c r="JJ2" s="2">
        <v>1325</v>
      </c>
      <c r="JK2" s="2">
        <v>1463</v>
      </c>
      <c r="JL2" s="2">
        <v>1348</v>
      </c>
      <c r="JM2" s="2">
        <v>1770</v>
      </c>
      <c r="JN2" s="2">
        <v>1659</v>
      </c>
      <c r="JO2" s="2">
        <v>1954</v>
      </c>
      <c r="JP2" s="2">
        <v>1962</v>
      </c>
      <c r="JQ2" s="2">
        <v>1146</v>
      </c>
      <c r="JR2" s="2">
        <v>1147</v>
      </c>
      <c r="JS2" s="2">
        <v>1710</v>
      </c>
      <c r="JT2" s="2">
        <v>1819</v>
      </c>
      <c r="JU2" s="2">
        <v>1488</v>
      </c>
      <c r="JV2" s="2">
        <v>1928</v>
      </c>
      <c r="JW2" s="2">
        <v>1935</v>
      </c>
      <c r="JX2" s="2">
        <v>1550</v>
      </c>
      <c r="JY2" s="2">
        <v>1640</v>
      </c>
      <c r="JZ2" s="2">
        <v>1778</v>
      </c>
      <c r="KA2" s="2">
        <v>1987</v>
      </c>
      <c r="KB2" s="2">
        <v>1945</v>
      </c>
      <c r="KC2" s="2">
        <v>1150</v>
      </c>
      <c r="KD2" s="2">
        <v>1414</v>
      </c>
      <c r="KE2" s="2">
        <v>1989</v>
      </c>
      <c r="KF2" s="2">
        <v>1297</v>
      </c>
      <c r="KG2" s="2">
        <v>1610</v>
      </c>
      <c r="KH2" s="2">
        <v>1262</v>
      </c>
      <c r="KI2" s="2">
        <v>1623</v>
      </c>
      <c r="KJ2" s="2">
        <v>1571</v>
      </c>
      <c r="KK2" s="2">
        <v>1880</v>
      </c>
      <c r="KL2" s="2">
        <v>1896</v>
      </c>
      <c r="KM2" s="2">
        <v>1303</v>
      </c>
      <c r="KN2" s="2">
        <v>1253</v>
      </c>
      <c r="KO2" s="2">
        <v>1651</v>
      </c>
      <c r="KP2" s="2">
        <v>1452</v>
      </c>
      <c r="KQ2" s="2">
        <v>1036</v>
      </c>
      <c r="KR2" s="2">
        <v>1008</v>
      </c>
      <c r="KS2" s="2">
        <v>1658</v>
      </c>
      <c r="KT2" s="2">
        <v>1207</v>
      </c>
      <c r="KU2" s="2">
        <v>1403</v>
      </c>
      <c r="KV2" s="2">
        <v>1151</v>
      </c>
      <c r="KW2" s="2">
        <v>1053</v>
      </c>
      <c r="KX2" s="2">
        <v>1119</v>
      </c>
      <c r="KY2" s="2">
        <v>1672</v>
      </c>
      <c r="KZ2" s="2">
        <v>1919</v>
      </c>
      <c r="LA2" s="2">
        <v>1586</v>
      </c>
      <c r="LB2" s="2">
        <v>1967</v>
      </c>
      <c r="LC2" s="2">
        <v>1419</v>
      </c>
      <c r="LD2" s="2">
        <v>1421</v>
      </c>
      <c r="LE2" s="2">
        <v>1103</v>
      </c>
      <c r="LF2" s="2">
        <v>1851</v>
      </c>
      <c r="LG2" s="2">
        <v>1226</v>
      </c>
      <c r="LH2" s="2">
        <v>1111</v>
      </c>
      <c r="LI2" s="2">
        <v>1152</v>
      </c>
      <c r="LJ2" s="2">
        <v>1913</v>
      </c>
      <c r="LK2" s="2">
        <v>1895</v>
      </c>
      <c r="LL2" s="2">
        <v>1877</v>
      </c>
      <c r="LM2" s="2">
        <v>1705</v>
      </c>
      <c r="LN2" s="2">
        <v>1162</v>
      </c>
      <c r="LO2" s="2">
        <v>1956</v>
      </c>
      <c r="LP2" s="2">
        <v>1680</v>
      </c>
      <c r="LQ2" s="2">
        <v>1579</v>
      </c>
      <c r="LR2" s="2">
        <v>1800</v>
      </c>
      <c r="LS2" s="2">
        <v>1915</v>
      </c>
      <c r="LT2" s="2">
        <v>1503</v>
      </c>
      <c r="LU2" s="2">
        <v>1194</v>
      </c>
      <c r="LV2" s="2">
        <v>1687</v>
      </c>
      <c r="LW2" s="2">
        <v>1882</v>
      </c>
      <c r="LX2" s="2">
        <v>1469</v>
      </c>
      <c r="LY2" s="2">
        <v>1374</v>
      </c>
      <c r="LZ2" s="2">
        <v>1749</v>
      </c>
      <c r="MA2" s="2">
        <v>1669</v>
      </c>
      <c r="MB2" s="2">
        <v>1037</v>
      </c>
      <c r="MC2" s="2">
        <v>1229</v>
      </c>
      <c r="MD2" s="2">
        <v>1364</v>
      </c>
      <c r="ME2" s="2">
        <v>1437</v>
      </c>
      <c r="MF2" s="2">
        <v>1026</v>
      </c>
      <c r="MG2" s="2">
        <v>1225</v>
      </c>
      <c r="MH2" s="2">
        <v>1283</v>
      </c>
      <c r="MI2" s="2">
        <v>1959</v>
      </c>
      <c r="MJ2" s="2">
        <v>1480</v>
      </c>
      <c r="MK2" s="2">
        <v>1828</v>
      </c>
      <c r="ML2" s="2">
        <v>1515</v>
      </c>
      <c r="MM2" s="2">
        <v>1048</v>
      </c>
      <c r="MN2" s="2">
        <v>1511</v>
      </c>
      <c r="MO2" s="2">
        <v>1016</v>
      </c>
      <c r="MP2" s="2">
        <v>1171</v>
      </c>
      <c r="MQ2" s="2">
        <v>1157</v>
      </c>
      <c r="MR2" s="2">
        <v>1045</v>
      </c>
      <c r="MS2" s="2">
        <v>1517</v>
      </c>
      <c r="MT2" s="2">
        <v>1301</v>
      </c>
      <c r="MU2" s="2">
        <v>1180</v>
      </c>
      <c r="MV2" s="2">
        <v>1606</v>
      </c>
      <c r="MW2" s="2">
        <v>1992</v>
      </c>
      <c r="MX2" s="2">
        <v>1115</v>
      </c>
      <c r="MY2" s="2">
        <v>1190</v>
      </c>
      <c r="MZ2" s="2">
        <v>1980</v>
      </c>
      <c r="NA2" s="2">
        <v>1927</v>
      </c>
      <c r="NB2" s="2">
        <v>1982</v>
      </c>
      <c r="NC2" s="2">
        <v>1255</v>
      </c>
      <c r="ND2" s="2">
        <v>1322</v>
      </c>
      <c r="NE2" s="2">
        <v>1127</v>
      </c>
      <c r="NF2" s="2">
        <v>1017</v>
      </c>
      <c r="NG2" s="2">
        <v>1792</v>
      </c>
      <c r="NH2" s="2">
        <v>1734</v>
      </c>
      <c r="NI2" s="2">
        <v>1569</v>
      </c>
    </row>
    <row r="3" spans="1:373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45097</v>
      </c>
      <c r="BA3" s="3">
        <v>45115</v>
      </c>
      <c r="BB3" s="3">
        <v>45279</v>
      </c>
      <c r="BC3" s="3">
        <v>45110</v>
      </c>
      <c r="BD3" s="3">
        <v>44929</v>
      </c>
      <c r="BE3" s="3">
        <v>45117</v>
      </c>
      <c r="BF3" s="3">
        <v>44945</v>
      </c>
      <c r="BG3" s="3">
        <v>44949</v>
      </c>
      <c r="BH3" s="3">
        <v>44956</v>
      </c>
      <c r="BI3" s="3">
        <v>45034</v>
      </c>
      <c r="BJ3" s="3">
        <v>45207</v>
      </c>
      <c r="BK3" s="3">
        <v>45054</v>
      </c>
      <c r="BL3" s="3">
        <v>45155</v>
      </c>
      <c r="BM3" s="3">
        <v>45037</v>
      </c>
      <c r="BN3" s="3">
        <v>45062</v>
      </c>
      <c r="BO3" s="3">
        <v>45288</v>
      </c>
      <c r="BP3" s="3">
        <v>45112</v>
      </c>
      <c r="BQ3" s="3">
        <v>45070</v>
      </c>
      <c r="BR3" s="3">
        <v>44998</v>
      </c>
      <c r="BS3" s="3">
        <v>45055</v>
      </c>
      <c r="BT3" s="3">
        <v>45290</v>
      </c>
      <c r="BU3" s="3">
        <v>45187</v>
      </c>
      <c r="BV3" s="3">
        <v>44929</v>
      </c>
      <c r="BW3" s="3">
        <v>45030</v>
      </c>
      <c r="BX3" s="3">
        <v>45246</v>
      </c>
      <c r="BY3" s="3">
        <v>45288</v>
      </c>
      <c r="BZ3" s="3">
        <v>45280</v>
      </c>
      <c r="CA3" s="3">
        <v>44936</v>
      </c>
      <c r="CB3" s="3">
        <v>45228</v>
      </c>
      <c r="CC3" s="3">
        <v>45157</v>
      </c>
      <c r="CD3" s="3">
        <v>45145</v>
      </c>
      <c r="CE3" s="3">
        <v>44992</v>
      </c>
      <c r="CF3" s="3">
        <v>45038</v>
      </c>
      <c r="CG3" s="3">
        <v>44939</v>
      </c>
      <c r="CH3" s="3">
        <v>45016</v>
      </c>
      <c r="CI3" s="3">
        <v>45240</v>
      </c>
      <c r="CJ3" s="3">
        <v>44980</v>
      </c>
      <c r="CK3" s="3">
        <v>44938</v>
      </c>
      <c r="CL3" s="3">
        <v>45135</v>
      </c>
      <c r="CM3" s="3">
        <v>44940</v>
      </c>
      <c r="CN3" s="3">
        <v>45047</v>
      </c>
      <c r="CO3" s="3">
        <v>44946</v>
      </c>
      <c r="CP3" s="3">
        <v>45001</v>
      </c>
      <c r="CQ3" s="3">
        <v>45169</v>
      </c>
      <c r="CR3" s="3">
        <v>45149</v>
      </c>
      <c r="CS3" s="3">
        <v>44996</v>
      </c>
      <c r="CT3" s="3">
        <v>45238</v>
      </c>
      <c r="CU3" s="3">
        <v>45027</v>
      </c>
      <c r="CV3" s="3">
        <v>45112</v>
      </c>
      <c r="CW3" s="3">
        <v>45058</v>
      </c>
      <c r="CX3" s="3">
        <v>45037</v>
      </c>
      <c r="CY3" s="3">
        <v>44946</v>
      </c>
      <c r="CZ3" s="3">
        <v>44950</v>
      </c>
      <c r="DA3" s="3">
        <v>45153</v>
      </c>
      <c r="DB3" s="3">
        <v>45080</v>
      </c>
      <c r="DC3" s="3">
        <v>45219</v>
      </c>
      <c r="DD3" s="3">
        <v>45156</v>
      </c>
      <c r="DE3" s="3">
        <v>45236</v>
      </c>
      <c r="DF3" s="3">
        <v>45285</v>
      </c>
      <c r="DG3" s="3">
        <v>45128</v>
      </c>
      <c r="DH3" s="3">
        <v>44964</v>
      </c>
      <c r="DI3" s="3">
        <v>45186</v>
      </c>
      <c r="DJ3" s="3">
        <v>45114</v>
      </c>
      <c r="DK3" s="3">
        <v>44983</v>
      </c>
      <c r="DL3" s="3">
        <v>44946</v>
      </c>
      <c r="DM3" s="3">
        <v>45199</v>
      </c>
      <c r="DN3" s="3">
        <v>45045</v>
      </c>
      <c r="DO3" s="3">
        <v>44997</v>
      </c>
      <c r="DP3" s="3">
        <v>44930</v>
      </c>
      <c r="DQ3" s="3">
        <v>45147</v>
      </c>
      <c r="DR3" s="3">
        <v>44940</v>
      </c>
      <c r="DS3" s="3">
        <v>44929</v>
      </c>
      <c r="DT3" s="3">
        <v>45142</v>
      </c>
      <c r="DU3" s="3">
        <v>45155</v>
      </c>
      <c r="DV3" s="3">
        <v>45262</v>
      </c>
      <c r="DW3" s="3">
        <v>44981</v>
      </c>
      <c r="DX3" s="3">
        <v>45180</v>
      </c>
      <c r="DY3" s="3">
        <v>45088</v>
      </c>
      <c r="DZ3" s="3">
        <v>45084</v>
      </c>
      <c r="EA3" s="3">
        <v>45008</v>
      </c>
      <c r="EB3" s="3">
        <v>45085</v>
      </c>
      <c r="EC3" s="3">
        <v>45114</v>
      </c>
      <c r="ED3" s="3">
        <v>44986</v>
      </c>
      <c r="EE3" s="3">
        <v>45231</v>
      </c>
      <c r="EF3" s="3">
        <v>45245</v>
      </c>
      <c r="EG3" s="3">
        <v>45137</v>
      </c>
      <c r="EH3" s="3">
        <v>45078</v>
      </c>
      <c r="EI3" s="3">
        <v>45035</v>
      </c>
      <c r="EJ3" s="3">
        <v>45002</v>
      </c>
      <c r="EK3" s="3">
        <v>44956</v>
      </c>
      <c r="EL3" s="3">
        <v>45240</v>
      </c>
      <c r="EM3" s="3">
        <v>45043</v>
      </c>
      <c r="EN3" s="3">
        <v>45118</v>
      </c>
      <c r="EO3" s="3">
        <v>44945</v>
      </c>
      <c r="EP3" s="3">
        <v>45099</v>
      </c>
      <c r="EQ3" s="3">
        <v>45154</v>
      </c>
      <c r="ER3" s="3">
        <v>45276</v>
      </c>
      <c r="ES3" s="3">
        <v>45109</v>
      </c>
      <c r="ET3" s="3">
        <v>45039</v>
      </c>
      <c r="EU3" s="3">
        <v>45109</v>
      </c>
      <c r="EV3" s="3">
        <v>45072</v>
      </c>
      <c r="EW3" s="3">
        <v>45245</v>
      </c>
      <c r="EX3" s="3">
        <v>45042</v>
      </c>
      <c r="EY3" s="3">
        <v>45039</v>
      </c>
      <c r="EZ3" s="3">
        <v>45177</v>
      </c>
      <c r="FA3" s="3">
        <v>45177</v>
      </c>
      <c r="FB3" s="3">
        <v>45229</v>
      </c>
      <c r="FC3" s="3">
        <v>45044</v>
      </c>
      <c r="FD3" s="3">
        <v>45227</v>
      </c>
      <c r="FE3" s="3">
        <v>45087</v>
      </c>
      <c r="FF3" s="3">
        <v>45124</v>
      </c>
      <c r="FG3" s="3">
        <v>45186</v>
      </c>
      <c r="FH3" s="3">
        <v>45074</v>
      </c>
      <c r="FI3" s="3">
        <v>45124</v>
      </c>
      <c r="FJ3" s="3">
        <v>44973</v>
      </c>
      <c r="FK3" s="3">
        <v>45004</v>
      </c>
      <c r="FL3" s="3">
        <v>45050</v>
      </c>
      <c r="FM3" s="3">
        <v>45285</v>
      </c>
      <c r="FN3" s="3">
        <v>45063</v>
      </c>
      <c r="FO3" s="3">
        <v>45016</v>
      </c>
      <c r="FP3" s="3">
        <v>45251</v>
      </c>
      <c r="FQ3" s="3">
        <v>44987</v>
      </c>
      <c r="FR3" s="3">
        <v>45064</v>
      </c>
      <c r="FS3" s="3">
        <v>45185</v>
      </c>
      <c r="FT3" s="3">
        <v>45033</v>
      </c>
      <c r="FU3" s="3">
        <v>45039</v>
      </c>
      <c r="FV3" s="3">
        <v>45276</v>
      </c>
      <c r="FW3" s="3">
        <v>45180</v>
      </c>
      <c r="FX3" s="3">
        <v>45044</v>
      </c>
      <c r="FY3" s="3">
        <v>45124</v>
      </c>
      <c r="FZ3" s="3">
        <v>45263</v>
      </c>
      <c r="GA3" s="3">
        <v>45291</v>
      </c>
      <c r="GB3" s="3">
        <v>44977</v>
      </c>
      <c r="GC3" s="3">
        <v>45171</v>
      </c>
      <c r="GD3" s="3">
        <v>44961</v>
      </c>
      <c r="GE3" s="3">
        <v>45228</v>
      </c>
      <c r="GF3" s="3">
        <v>45000</v>
      </c>
      <c r="GG3" s="3">
        <v>45118</v>
      </c>
      <c r="GH3" s="3">
        <v>45187</v>
      </c>
      <c r="GI3" s="3">
        <v>45282</v>
      </c>
      <c r="GJ3" s="3">
        <v>44996</v>
      </c>
      <c r="GK3" s="3">
        <v>45016</v>
      </c>
      <c r="GL3" s="3">
        <v>45052</v>
      </c>
      <c r="GM3" s="3">
        <v>45157</v>
      </c>
      <c r="GN3" s="3">
        <v>45221</v>
      </c>
      <c r="GO3" s="3">
        <v>45055</v>
      </c>
      <c r="GP3" s="3">
        <v>45206</v>
      </c>
      <c r="GQ3" s="3">
        <v>45026</v>
      </c>
      <c r="GR3" s="3">
        <v>45223</v>
      </c>
      <c r="GS3" s="3">
        <v>45108</v>
      </c>
      <c r="GT3" s="3">
        <v>45290</v>
      </c>
      <c r="GU3" s="3">
        <v>44957</v>
      </c>
      <c r="GV3" s="3">
        <v>44962</v>
      </c>
      <c r="GW3" s="3">
        <v>45139</v>
      </c>
      <c r="GX3" s="3">
        <v>45290</v>
      </c>
      <c r="GY3" s="3">
        <v>45032</v>
      </c>
      <c r="GZ3" s="3">
        <v>45089</v>
      </c>
      <c r="HA3" s="3">
        <v>45146</v>
      </c>
      <c r="HB3" s="3">
        <v>45196</v>
      </c>
      <c r="HC3" s="3">
        <v>45046</v>
      </c>
      <c r="HD3" s="3">
        <v>45108</v>
      </c>
      <c r="HE3" s="3">
        <v>45032</v>
      </c>
      <c r="HF3" s="3">
        <v>45143</v>
      </c>
      <c r="HG3" s="3">
        <v>45131</v>
      </c>
      <c r="HH3" s="3">
        <v>44996</v>
      </c>
      <c r="HI3" s="3">
        <v>44970</v>
      </c>
      <c r="HJ3" s="3">
        <v>45255</v>
      </c>
      <c r="HK3" s="3">
        <v>45154</v>
      </c>
      <c r="HL3" s="3">
        <v>45110</v>
      </c>
      <c r="HM3" s="3">
        <v>45033</v>
      </c>
      <c r="HN3" s="3">
        <v>45010</v>
      </c>
      <c r="HO3" s="3">
        <v>45289</v>
      </c>
      <c r="HP3" s="3">
        <v>45104</v>
      </c>
      <c r="HQ3" s="3">
        <v>44933</v>
      </c>
      <c r="HR3" s="3">
        <v>44996</v>
      </c>
      <c r="HS3" s="3">
        <v>45053</v>
      </c>
      <c r="HT3" s="3">
        <v>45086</v>
      </c>
      <c r="HU3" s="3">
        <v>45129</v>
      </c>
      <c r="HV3" s="3">
        <v>45074</v>
      </c>
      <c r="HW3" s="3">
        <v>45069</v>
      </c>
      <c r="HX3" s="3">
        <v>45125</v>
      </c>
      <c r="HY3" s="3">
        <v>45080</v>
      </c>
      <c r="HZ3" s="3">
        <v>45068</v>
      </c>
      <c r="IA3" s="3">
        <v>45091</v>
      </c>
      <c r="IB3" s="3">
        <v>45240</v>
      </c>
      <c r="IC3" s="3">
        <v>44947</v>
      </c>
      <c r="ID3" s="3">
        <v>44995</v>
      </c>
      <c r="IE3" s="3">
        <v>45144</v>
      </c>
      <c r="IF3" s="3">
        <v>45231</v>
      </c>
      <c r="IG3" s="3">
        <v>45043</v>
      </c>
      <c r="IH3" s="3">
        <v>45122</v>
      </c>
      <c r="II3" s="3">
        <v>45012</v>
      </c>
      <c r="IJ3" s="3">
        <v>45215</v>
      </c>
      <c r="IK3" s="3">
        <v>45007</v>
      </c>
      <c r="IL3" s="3">
        <v>44987</v>
      </c>
      <c r="IM3" s="3">
        <v>45280</v>
      </c>
      <c r="IN3" s="3">
        <v>44954</v>
      </c>
      <c r="IO3" s="3">
        <v>45024</v>
      </c>
      <c r="IP3" s="3">
        <v>45124</v>
      </c>
      <c r="IQ3" s="3">
        <v>45024</v>
      </c>
      <c r="IR3" s="3">
        <v>44991</v>
      </c>
      <c r="IS3" s="3">
        <v>45256</v>
      </c>
      <c r="IT3" s="3">
        <v>45267</v>
      </c>
      <c r="IU3" s="3">
        <v>44931</v>
      </c>
      <c r="IV3" s="3">
        <v>44928</v>
      </c>
      <c r="IW3" s="3">
        <v>45038</v>
      </c>
      <c r="IX3" s="3">
        <v>44983</v>
      </c>
      <c r="IY3" s="3">
        <v>44992</v>
      </c>
      <c r="IZ3" s="3">
        <v>45256</v>
      </c>
      <c r="JA3" s="3">
        <v>45024</v>
      </c>
      <c r="JB3" s="3">
        <v>45070</v>
      </c>
      <c r="JC3" s="3">
        <v>45051</v>
      </c>
      <c r="JD3" s="3">
        <v>45093</v>
      </c>
      <c r="JE3" s="3">
        <v>45002</v>
      </c>
      <c r="JF3" s="3">
        <v>45270</v>
      </c>
      <c r="JG3" s="3">
        <v>45220</v>
      </c>
      <c r="JH3" s="3">
        <v>45064</v>
      </c>
      <c r="JI3" s="3">
        <v>45025</v>
      </c>
      <c r="JJ3" s="3">
        <v>45118</v>
      </c>
      <c r="JK3" s="3">
        <v>45169</v>
      </c>
      <c r="JL3" s="3">
        <v>45245</v>
      </c>
      <c r="JM3" s="3">
        <v>44975</v>
      </c>
      <c r="JN3" s="3">
        <v>44958</v>
      </c>
      <c r="JO3" s="3">
        <v>44946</v>
      </c>
      <c r="JP3" s="3">
        <v>45069</v>
      </c>
      <c r="JQ3" s="3">
        <v>45139</v>
      </c>
      <c r="JR3" s="3">
        <v>45005</v>
      </c>
      <c r="JS3" s="3">
        <v>45042</v>
      </c>
      <c r="JT3" s="3">
        <v>45018</v>
      </c>
      <c r="JU3" s="3">
        <v>45196</v>
      </c>
      <c r="JV3" s="3">
        <v>45094</v>
      </c>
      <c r="JW3" s="3">
        <v>44984</v>
      </c>
      <c r="JX3" s="3">
        <v>44952</v>
      </c>
      <c r="JY3" s="3">
        <v>45180</v>
      </c>
      <c r="JZ3" s="3">
        <v>44970</v>
      </c>
      <c r="KA3" s="3">
        <v>45023</v>
      </c>
      <c r="KB3" s="3">
        <v>45188</v>
      </c>
      <c r="KC3" s="3">
        <v>45093</v>
      </c>
      <c r="KD3" s="3">
        <v>45205</v>
      </c>
      <c r="KE3" s="3">
        <v>45015</v>
      </c>
      <c r="KF3" s="3">
        <v>45104</v>
      </c>
      <c r="KG3" s="3">
        <v>45123</v>
      </c>
      <c r="KH3" s="3">
        <v>45233</v>
      </c>
      <c r="KI3" s="3">
        <v>44934</v>
      </c>
      <c r="KJ3" s="3">
        <v>45223</v>
      </c>
      <c r="KK3" s="3">
        <v>45090</v>
      </c>
      <c r="KL3" s="3">
        <v>44998</v>
      </c>
      <c r="KM3" s="3">
        <v>44981</v>
      </c>
      <c r="KN3" s="3">
        <v>44973</v>
      </c>
      <c r="KO3" s="3">
        <v>45164</v>
      </c>
      <c r="KP3" s="3">
        <v>45030</v>
      </c>
      <c r="KQ3" s="3">
        <v>45136</v>
      </c>
      <c r="KR3" s="3">
        <v>45242</v>
      </c>
      <c r="KS3" s="3">
        <v>45262</v>
      </c>
      <c r="KT3" s="3">
        <v>45185</v>
      </c>
      <c r="KU3" s="3">
        <v>45040</v>
      </c>
      <c r="KV3" s="3">
        <v>45289</v>
      </c>
      <c r="KW3" s="3">
        <v>44966</v>
      </c>
      <c r="KX3" s="3">
        <v>45146</v>
      </c>
      <c r="KY3" s="3">
        <v>45055</v>
      </c>
      <c r="KZ3" s="3">
        <v>44934</v>
      </c>
      <c r="LA3" s="3">
        <v>45102</v>
      </c>
      <c r="LB3" s="3">
        <v>45027</v>
      </c>
      <c r="LC3" s="3">
        <v>45186</v>
      </c>
      <c r="LD3" s="3">
        <v>45172</v>
      </c>
      <c r="LE3" s="3">
        <v>45201</v>
      </c>
      <c r="LF3" s="3">
        <v>44958</v>
      </c>
      <c r="LG3" s="3">
        <v>44938</v>
      </c>
      <c r="LH3" s="3">
        <v>45228</v>
      </c>
      <c r="LI3" s="3">
        <v>45035</v>
      </c>
      <c r="LJ3" s="3">
        <v>45084</v>
      </c>
      <c r="LK3" s="3">
        <v>45195</v>
      </c>
      <c r="LL3" s="3">
        <v>45088</v>
      </c>
      <c r="LM3" s="3">
        <v>45028</v>
      </c>
      <c r="LN3" s="3">
        <v>44985</v>
      </c>
      <c r="LO3" s="3">
        <v>45054</v>
      </c>
      <c r="LP3" s="3">
        <v>45209</v>
      </c>
      <c r="LQ3" s="3">
        <v>45057</v>
      </c>
      <c r="LR3" s="3">
        <v>45279</v>
      </c>
      <c r="LS3" s="3">
        <v>45059</v>
      </c>
      <c r="LT3" s="3">
        <v>45153</v>
      </c>
      <c r="LU3" s="3">
        <v>45137</v>
      </c>
      <c r="LV3" s="3">
        <v>45139</v>
      </c>
      <c r="LW3" s="3">
        <v>45057</v>
      </c>
      <c r="LX3" s="3">
        <v>45002</v>
      </c>
      <c r="LY3" s="3">
        <v>45212</v>
      </c>
      <c r="LZ3" s="3">
        <v>45082</v>
      </c>
      <c r="MA3" s="3">
        <v>45174</v>
      </c>
      <c r="MB3" s="3">
        <v>45144</v>
      </c>
      <c r="MC3" s="3">
        <v>45116</v>
      </c>
      <c r="MD3" s="3">
        <v>45089</v>
      </c>
      <c r="ME3" s="3">
        <v>44960</v>
      </c>
      <c r="MF3" s="3">
        <v>45264</v>
      </c>
      <c r="MG3" s="3">
        <v>45240</v>
      </c>
      <c r="MH3" s="3">
        <v>45076</v>
      </c>
      <c r="MI3" s="3">
        <v>45251</v>
      </c>
      <c r="MJ3" s="3">
        <v>45034</v>
      </c>
      <c r="MK3" s="3">
        <v>45276</v>
      </c>
      <c r="ML3" s="3">
        <v>45215</v>
      </c>
      <c r="MM3" s="3">
        <v>44992</v>
      </c>
      <c r="MN3" s="3">
        <v>45174</v>
      </c>
      <c r="MO3" s="3">
        <v>45082</v>
      </c>
      <c r="MP3" s="3">
        <v>44973</v>
      </c>
      <c r="MQ3" s="3">
        <v>45074</v>
      </c>
      <c r="MR3" s="3">
        <v>44927</v>
      </c>
      <c r="MS3" s="3">
        <v>45269</v>
      </c>
      <c r="MT3" s="3">
        <v>45117</v>
      </c>
      <c r="MU3" s="3">
        <v>44947</v>
      </c>
      <c r="MV3" s="3">
        <v>45153</v>
      </c>
      <c r="MW3" s="3">
        <v>45228</v>
      </c>
      <c r="MX3" s="3">
        <v>45068</v>
      </c>
      <c r="MY3" s="3">
        <v>44965</v>
      </c>
      <c r="MZ3" s="3">
        <v>45178</v>
      </c>
      <c r="NA3" s="3">
        <v>45259</v>
      </c>
      <c r="NB3" s="3">
        <v>45133</v>
      </c>
      <c r="NC3" s="3">
        <v>45041</v>
      </c>
      <c r="ND3" s="3">
        <v>45151</v>
      </c>
      <c r="NE3" s="3">
        <v>45060</v>
      </c>
      <c r="NF3" s="3">
        <v>45177</v>
      </c>
      <c r="NG3" s="3">
        <v>45145</v>
      </c>
      <c r="NH3" s="3">
        <v>45017</v>
      </c>
      <c r="NI3" s="3">
        <v>44972</v>
      </c>
    </row>
    <row r="4" spans="1:373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45098</v>
      </c>
      <c r="BA4" s="3">
        <v>45118</v>
      </c>
      <c r="BB4" s="3">
        <v>45281</v>
      </c>
      <c r="BC4" s="3">
        <v>45115</v>
      </c>
      <c r="BD4" s="3">
        <v>44934</v>
      </c>
      <c r="BE4" s="3">
        <v>45122</v>
      </c>
      <c r="BF4" s="3">
        <v>44950</v>
      </c>
      <c r="BG4" s="3">
        <v>44952</v>
      </c>
      <c r="BH4" s="3">
        <v>44957</v>
      </c>
      <c r="BI4" s="3">
        <v>45043</v>
      </c>
      <c r="BJ4" s="3">
        <v>45216</v>
      </c>
      <c r="BK4" s="3">
        <v>45058</v>
      </c>
      <c r="BL4" s="3">
        <v>45158</v>
      </c>
      <c r="BM4" s="3">
        <v>45038</v>
      </c>
      <c r="BN4" s="3">
        <v>45064</v>
      </c>
      <c r="BO4" s="3">
        <v>45296</v>
      </c>
      <c r="BP4" s="3">
        <v>45113</v>
      </c>
      <c r="BQ4" s="3">
        <v>45078</v>
      </c>
      <c r="BR4" s="3">
        <v>45005</v>
      </c>
      <c r="BS4" s="3">
        <v>45063</v>
      </c>
      <c r="BT4" s="3">
        <v>45296</v>
      </c>
      <c r="BU4" s="3">
        <v>45196</v>
      </c>
      <c r="BV4" s="3">
        <v>44932</v>
      </c>
      <c r="BW4" s="3">
        <v>45034</v>
      </c>
      <c r="BX4" s="3">
        <v>45254</v>
      </c>
      <c r="BY4" s="3">
        <v>45293</v>
      </c>
      <c r="BZ4" s="3">
        <v>45283</v>
      </c>
      <c r="CA4" s="3">
        <v>44942</v>
      </c>
      <c r="CB4" s="3">
        <v>45232</v>
      </c>
      <c r="CC4" s="3">
        <v>45166</v>
      </c>
      <c r="CD4" s="3">
        <v>45148</v>
      </c>
      <c r="CE4" s="3">
        <v>44996</v>
      </c>
      <c r="CF4" s="3">
        <v>45045</v>
      </c>
      <c r="CG4" s="3">
        <v>44946</v>
      </c>
      <c r="CH4" s="3">
        <v>45019</v>
      </c>
      <c r="CI4" s="3">
        <v>45246</v>
      </c>
      <c r="CJ4" s="3">
        <v>44982</v>
      </c>
      <c r="CK4" s="3">
        <v>44946</v>
      </c>
      <c r="CL4" s="3">
        <v>45137</v>
      </c>
      <c r="CM4" s="3">
        <v>44947</v>
      </c>
      <c r="CN4" s="3">
        <v>45056</v>
      </c>
      <c r="CO4" s="3">
        <v>44947</v>
      </c>
      <c r="CP4" s="3">
        <v>45009</v>
      </c>
      <c r="CQ4" s="3">
        <v>45176</v>
      </c>
      <c r="CR4" s="3">
        <v>45155</v>
      </c>
      <c r="CS4" s="3">
        <v>45002</v>
      </c>
      <c r="CT4" s="3">
        <v>45244</v>
      </c>
      <c r="CU4" s="3">
        <v>45029</v>
      </c>
      <c r="CV4" s="3">
        <v>45113</v>
      </c>
      <c r="CW4" s="3">
        <v>45064</v>
      </c>
      <c r="CX4" s="3">
        <v>45045</v>
      </c>
      <c r="CY4" s="3">
        <v>44947</v>
      </c>
      <c r="CZ4" s="3">
        <v>44959</v>
      </c>
      <c r="DA4" s="3">
        <v>45154</v>
      </c>
      <c r="DB4" s="3">
        <v>45083</v>
      </c>
      <c r="DC4" s="3">
        <v>45227</v>
      </c>
      <c r="DD4" s="3">
        <v>45159</v>
      </c>
      <c r="DE4" s="3">
        <v>45240</v>
      </c>
      <c r="DF4" s="3">
        <v>45293</v>
      </c>
      <c r="DG4" s="3">
        <v>45129</v>
      </c>
      <c r="DH4" s="3">
        <v>44970</v>
      </c>
      <c r="DI4" s="3">
        <v>45187</v>
      </c>
      <c r="DJ4" s="3">
        <v>45115</v>
      </c>
      <c r="DK4" s="3">
        <v>44991</v>
      </c>
      <c r="DL4" s="3">
        <v>44950</v>
      </c>
      <c r="DM4" s="3">
        <v>45200</v>
      </c>
      <c r="DN4" s="3">
        <v>45052</v>
      </c>
      <c r="DO4" s="3">
        <v>45002</v>
      </c>
      <c r="DP4" s="3">
        <v>44935</v>
      </c>
      <c r="DQ4" s="3">
        <v>45148</v>
      </c>
      <c r="DR4" s="3">
        <v>44946</v>
      </c>
      <c r="DS4" s="3">
        <v>44938</v>
      </c>
      <c r="DT4" s="3">
        <v>45151</v>
      </c>
      <c r="DU4" s="3">
        <v>45163</v>
      </c>
      <c r="DV4" s="3">
        <v>45267</v>
      </c>
      <c r="DW4" s="3">
        <v>44990</v>
      </c>
      <c r="DX4" s="3">
        <v>45181</v>
      </c>
      <c r="DY4" s="3">
        <v>45093</v>
      </c>
      <c r="DZ4" s="3">
        <v>45087</v>
      </c>
      <c r="EA4" s="3">
        <v>45015</v>
      </c>
      <c r="EB4" s="3">
        <v>45092</v>
      </c>
      <c r="EC4" s="3">
        <v>45123</v>
      </c>
      <c r="ED4" s="3">
        <v>44993</v>
      </c>
      <c r="EE4" s="3">
        <v>45234</v>
      </c>
      <c r="EF4" s="3">
        <v>45246</v>
      </c>
      <c r="EG4" s="3">
        <v>45145</v>
      </c>
      <c r="EH4" s="3">
        <v>45081</v>
      </c>
      <c r="EI4" s="3">
        <v>45043</v>
      </c>
      <c r="EJ4" s="3">
        <v>45010</v>
      </c>
      <c r="EK4" s="3">
        <v>44961</v>
      </c>
      <c r="EL4" s="3">
        <v>45241</v>
      </c>
      <c r="EM4" s="3">
        <v>45050</v>
      </c>
      <c r="EN4" s="3">
        <v>45126</v>
      </c>
      <c r="EO4" s="3">
        <v>44954</v>
      </c>
      <c r="EP4" s="3">
        <v>45106</v>
      </c>
      <c r="EQ4" s="3">
        <v>45161</v>
      </c>
      <c r="ER4" s="3">
        <v>45277</v>
      </c>
      <c r="ES4" s="3">
        <v>45113</v>
      </c>
      <c r="ET4" s="3">
        <v>45041</v>
      </c>
      <c r="EU4" s="3">
        <v>45111</v>
      </c>
      <c r="EV4" s="3">
        <v>45074</v>
      </c>
      <c r="EW4" s="3">
        <v>45249</v>
      </c>
      <c r="EX4" s="3">
        <v>45043</v>
      </c>
      <c r="EY4" s="3">
        <v>45043</v>
      </c>
      <c r="EZ4" s="3">
        <v>45179</v>
      </c>
      <c r="FA4" s="3">
        <v>45182</v>
      </c>
      <c r="FB4" s="3">
        <v>45232</v>
      </c>
      <c r="FC4" s="3">
        <v>45048</v>
      </c>
      <c r="FD4" s="3">
        <v>45228</v>
      </c>
      <c r="FE4" s="3">
        <v>45088</v>
      </c>
      <c r="FF4" s="3">
        <v>45127</v>
      </c>
      <c r="FG4" s="3">
        <v>45195</v>
      </c>
      <c r="FH4" s="3">
        <v>45081</v>
      </c>
      <c r="FI4" s="3">
        <v>45126</v>
      </c>
      <c r="FJ4" s="3">
        <v>44976</v>
      </c>
      <c r="FK4" s="3">
        <v>45006</v>
      </c>
      <c r="FL4" s="3">
        <v>45053</v>
      </c>
      <c r="FM4" s="3">
        <v>45294</v>
      </c>
      <c r="FN4" s="3">
        <v>45072</v>
      </c>
      <c r="FO4" s="3">
        <v>45023</v>
      </c>
      <c r="FP4" s="3">
        <v>45254</v>
      </c>
      <c r="FQ4" s="3">
        <v>44991</v>
      </c>
      <c r="FR4" s="3">
        <v>45070</v>
      </c>
      <c r="FS4" s="3">
        <v>45187</v>
      </c>
      <c r="FT4" s="3">
        <v>45039</v>
      </c>
      <c r="FU4" s="3">
        <v>45042</v>
      </c>
      <c r="FV4" s="3">
        <v>45284</v>
      </c>
      <c r="FW4" s="3">
        <v>45182</v>
      </c>
      <c r="FX4" s="3">
        <v>45045</v>
      </c>
      <c r="FY4" s="3">
        <v>45133</v>
      </c>
      <c r="FZ4" s="3">
        <v>45266</v>
      </c>
      <c r="GA4" s="3">
        <v>45292</v>
      </c>
      <c r="GB4" s="3">
        <v>44984</v>
      </c>
      <c r="GC4" s="3">
        <v>45176</v>
      </c>
      <c r="GD4" s="3">
        <v>44966</v>
      </c>
      <c r="GE4" s="3">
        <v>45229</v>
      </c>
      <c r="GF4" s="3">
        <v>45006</v>
      </c>
      <c r="GG4" s="3">
        <v>45123</v>
      </c>
      <c r="GH4" s="3">
        <v>45193</v>
      </c>
      <c r="GI4" s="3">
        <v>45284</v>
      </c>
      <c r="GJ4" s="3">
        <v>45000</v>
      </c>
      <c r="GK4" s="3">
        <v>45019</v>
      </c>
      <c r="GL4" s="3">
        <v>45061</v>
      </c>
      <c r="GM4" s="3">
        <v>45162</v>
      </c>
      <c r="GN4" s="3">
        <v>45227</v>
      </c>
      <c r="GO4" s="3">
        <v>45057</v>
      </c>
      <c r="GP4" s="3">
        <v>45209</v>
      </c>
      <c r="GQ4" s="3">
        <v>45035</v>
      </c>
      <c r="GR4" s="3">
        <v>45231</v>
      </c>
      <c r="GS4" s="3">
        <v>45117</v>
      </c>
      <c r="GT4" s="3">
        <v>45291</v>
      </c>
      <c r="GU4" s="3">
        <v>44959</v>
      </c>
      <c r="GV4" s="3">
        <v>44969</v>
      </c>
      <c r="GW4" s="3">
        <v>45143</v>
      </c>
      <c r="GX4" s="3">
        <v>45295</v>
      </c>
      <c r="GY4" s="3">
        <v>45040</v>
      </c>
      <c r="GZ4" s="3">
        <v>45093</v>
      </c>
      <c r="HA4" s="3">
        <v>45149</v>
      </c>
      <c r="HB4" s="3">
        <v>45198</v>
      </c>
      <c r="HC4" s="3">
        <v>45049</v>
      </c>
      <c r="HD4" s="3">
        <v>45109</v>
      </c>
      <c r="HE4" s="3">
        <v>45038</v>
      </c>
      <c r="HF4" s="3">
        <v>45148</v>
      </c>
      <c r="HG4" s="3">
        <v>45139</v>
      </c>
      <c r="HH4" s="3">
        <v>44998</v>
      </c>
      <c r="HI4" s="3">
        <v>44974</v>
      </c>
      <c r="HJ4" s="3">
        <v>45263</v>
      </c>
      <c r="HK4" s="3">
        <v>45155</v>
      </c>
      <c r="HL4" s="3">
        <v>45114</v>
      </c>
      <c r="HM4" s="3">
        <v>45034</v>
      </c>
      <c r="HN4" s="3">
        <v>45012</v>
      </c>
      <c r="HO4" s="3">
        <v>45297</v>
      </c>
      <c r="HP4" s="3">
        <v>45110</v>
      </c>
      <c r="HQ4" s="3">
        <v>44936</v>
      </c>
      <c r="HR4" s="3">
        <v>44998</v>
      </c>
      <c r="HS4" s="3">
        <v>45059</v>
      </c>
      <c r="HT4" s="3">
        <v>45091</v>
      </c>
      <c r="HU4" s="3">
        <v>45134</v>
      </c>
      <c r="HV4" s="3">
        <v>45079</v>
      </c>
      <c r="HW4" s="3">
        <v>45072</v>
      </c>
      <c r="HX4" s="3">
        <v>45132</v>
      </c>
      <c r="HY4" s="3">
        <v>45086</v>
      </c>
      <c r="HZ4" s="3">
        <v>45072</v>
      </c>
      <c r="IA4" s="3">
        <v>45100</v>
      </c>
      <c r="IB4" s="3">
        <v>45241</v>
      </c>
      <c r="IC4" s="3">
        <v>44951</v>
      </c>
      <c r="ID4" s="3">
        <v>45001</v>
      </c>
      <c r="IE4" s="3">
        <v>45149</v>
      </c>
      <c r="IF4" s="3">
        <v>45240</v>
      </c>
      <c r="IG4" s="3">
        <v>45050</v>
      </c>
      <c r="IH4" s="3">
        <v>45125</v>
      </c>
      <c r="II4" s="3">
        <v>45014</v>
      </c>
      <c r="IJ4" s="3">
        <v>45218</v>
      </c>
      <c r="IK4" s="3">
        <v>45008</v>
      </c>
      <c r="IL4" s="3">
        <v>44994</v>
      </c>
      <c r="IM4" s="3">
        <v>45284</v>
      </c>
      <c r="IN4" s="3">
        <v>44957</v>
      </c>
      <c r="IO4" s="3">
        <v>45027</v>
      </c>
      <c r="IP4" s="3">
        <v>45125</v>
      </c>
      <c r="IQ4" s="3">
        <v>45027</v>
      </c>
      <c r="IR4" s="3">
        <v>44993</v>
      </c>
      <c r="IS4" s="3">
        <v>45264</v>
      </c>
      <c r="IT4" s="3">
        <v>45273</v>
      </c>
      <c r="IU4" s="3">
        <v>44940</v>
      </c>
      <c r="IV4" s="3">
        <v>44936</v>
      </c>
      <c r="IW4" s="3">
        <v>45043</v>
      </c>
      <c r="IX4" s="3">
        <v>44990</v>
      </c>
      <c r="IY4" s="3">
        <v>44997</v>
      </c>
      <c r="IZ4" s="3">
        <v>45264</v>
      </c>
      <c r="JA4" s="3">
        <v>45029</v>
      </c>
      <c r="JB4" s="3">
        <v>45071</v>
      </c>
      <c r="JC4" s="3">
        <v>45056</v>
      </c>
      <c r="JD4" s="3">
        <v>45097</v>
      </c>
      <c r="JE4" s="3">
        <v>45005</v>
      </c>
      <c r="JF4" s="3">
        <v>45275</v>
      </c>
      <c r="JG4" s="3">
        <v>45222</v>
      </c>
      <c r="JH4" s="3">
        <v>45070</v>
      </c>
      <c r="JI4" s="3">
        <v>45030</v>
      </c>
      <c r="JJ4" s="3">
        <v>45124</v>
      </c>
      <c r="JK4" s="3">
        <v>45176</v>
      </c>
      <c r="JL4" s="3">
        <v>45250</v>
      </c>
      <c r="JM4" s="3">
        <v>44976</v>
      </c>
      <c r="JN4" s="3">
        <v>44966</v>
      </c>
      <c r="JO4" s="3">
        <v>44955</v>
      </c>
      <c r="JP4" s="3">
        <v>45072</v>
      </c>
      <c r="JQ4" s="3">
        <v>45145</v>
      </c>
      <c r="JR4" s="3">
        <v>45012</v>
      </c>
      <c r="JS4" s="3">
        <v>45048</v>
      </c>
      <c r="JT4" s="3">
        <v>45019</v>
      </c>
      <c r="JU4" s="3">
        <v>45204</v>
      </c>
      <c r="JV4" s="3">
        <v>45101</v>
      </c>
      <c r="JW4" s="3">
        <v>44993</v>
      </c>
      <c r="JX4" s="3">
        <v>44954</v>
      </c>
      <c r="JY4" s="3">
        <v>45185</v>
      </c>
      <c r="JZ4" s="3">
        <v>44972</v>
      </c>
      <c r="KA4" s="3">
        <v>45026</v>
      </c>
      <c r="KB4" s="3">
        <v>45191</v>
      </c>
      <c r="KC4" s="3">
        <v>45102</v>
      </c>
      <c r="KD4" s="3">
        <v>45213</v>
      </c>
      <c r="KE4" s="3">
        <v>45019</v>
      </c>
      <c r="KF4" s="3">
        <v>45105</v>
      </c>
      <c r="KG4" s="3">
        <v>45124</v>
      </c>
      <c r="KH4" s="3">
        <v>45234</v>
      </c>
      <c r="KI4" s="3">
        <v>44940</v>
      </c>
      <c r="KJ4" s="3">
        <v>45226</v>
      </c>
      <c r="KK4" s="3">
        <v>45095</v>
      </c>
      <c r="KL4" s="3">
        <v>45000</v>
      </c>
      <c r="KM4" s="3">
        <v>44987</v>
      </c>
      <c r="KN4" s="3">
        <v>44979</v>
      </c>
      <c r="KO4" s="3">
        <v>45167</v>
      </c>
      <c r="KP4" s="3">
        <v>45036</v>
      </c>
      <c r="KQ4" s="3">
        <v>45141</v>
      </c>
      <c r="KR4" s="3">
        <v>45251</v>
      </c>
      <c r="KS4" s="3">
        <v>45270</v>
      </c>
      <c r="KT4" s="3">
        <v>45188</v>
      </c>
      <c r="KU4" s="3">
        <v>45042</v>
      </c>
      <c r="KV4" s="3">
        <v>45297</v>
      </c>
      <c r="KW4" s="3">
        <v>44967</v>
      </c>
      <c r="KX4" s="3">
        <v>45154</v>
      </c>
      <c r="KY4" s="3">
        <v>45062</v>
      </c>
      <c r="KZ4" s="3">
        <v>44941</v>
      </c>
      <c r="LA4" s="3">
        <v>45103</v>
      </c>
      <c r="LB4" s="3">
        <v>45036</v>
      </c>
      <c r="LC4" s="3">
        <v>45191</v>
      </c>
      <c r="LD4" s="3">
        <v>45173</v>
      </c>
      <c r="LE4" s="3">
        <v>45206</v>
      </c>
      <c r="LF4" s="3">
        <v>44966</v>
      </c>
      <c r="LG4" s="3">
        <v>44943</v>
      </c>
      <c r="LH4" s="3">
        <v>45237</v>
      </c>
      <c r="LI4" s="3">
        <v>45037</v>
      </c>
      <c r="LJ4" s="3">
        <v>45091</v>
      </c>
      <c r="LK4" s="3">
        <v>45204</v>
      </c>
      <c r="LL4" s="3">
        <v>45090</v>
      </c>
      <c r="LM4" s="3">
        <v>45034</v>
      </c>
      <c r="LN4" s="3">
        <v>44993</v>
      </c>
      <c r="LO4" s="3">
        <v>45056</v>
      </c>
      <c r="LP4" s="3">
        <v>45212</v>
      </c>
      <c r="LQ4" s="3">
        <v>45065</v>
      </c>
      <c r="LR4" s="3">
        <v>45280</v>
      </c>
      <c r="LS4" s="3">
        <v>45061</v>
      </c>
      <c r="LT4" s="3">
        <v>45155</v>
      </c>
      <c r="LU4" s="3">
        <v>45140</v>
      </c>
      <c r="LV4" s="3">
        <v>45146</v>
      </c>
      <c r="LW4" s="3">
        <v>45062</v>
      </c>
      <c r="LX4" s="3">
        <v>45009</v>
      </c>
      <c r="LY4" s="3">
        <v>45213</v>
      </c>
      <c r="LZ4" s="3">
        <v>45091</v>
      </c>
      <c r="MA4" s="3">
        <v>45179</v>
      </c>
      <c r="MB4" s="3">
        <v>45149</v>
      </c>
      <c r="MC4" s="3">
        <v>45119</v>
      </c>
      <c r="MD4" s="3">
        <v>45094</v>
      </c>
      <c r="ME4" s="3">
        <v>44969</v>
      </c>
      <c r="MF4" s="3">
        <v>45265</v>
      </c>
      <c r="MG4" s="3">
        <v>45247</v>
      </c>
      <c r="MH4" s="3">
        <v>45082</v>
      </c>
      <c r="MI4" s="3">
        <v>45255</v>
      </c>
      <c r="MJ4" s="3">
        <v>45036</v>
      </c>
      <c r="MK4" s="3">
        <v>45280</v>
      </c>
      <c r="ML4" s="3">
        <v>45221</v>
      </c>
      <c r="MM4" s="3">
        <v>45000</v>
      </c>
      <c r="MN4" s="3">
        <v>45176</v>
      </c>
      <c r="MO4" s="3">
        <v>45089</v>
      </c>
      <c r="MP4" s="3">
        <v>44975</v>
      </c>
      <c r="MQ4" s="3">
        <v>45082</v>
      </c>
      <c r="MR4" s="3">
        <v>44936</v>
      </c>
      <c r="MS4" s="3">
        <v>45278</v>
      </c>
      <c r="MT4" s="3">
        <v>45119</v>
      </c>
      <c r="MU4" s="3">
        <v>44955</v>
      </c>
      <c r="MV4" s="3">
        <v>45162</v>
      </c>
      <c r="MW4" s="3">
        <v>45237</v>
      </c>
      <c r="MX4" s="3">
        <v>45077</v>
      </c>
      <c r="MY4" s="3">
        <v>44966</v>
      </c>
      <c r="MZ4" s="3">
        <v>45187</v>
      </c>
      <c r="NA4" s="3">
        <v>45261</v>
      </c>
      <c r="NB4" s="3">
        <v>45137</v>
      </c>
      <c r="NC4" s="3">
        <v>45043</v>
      </c>
      <c r="ND4" s="3">
        <v>45154</v>
      </c>
      <c r="NE4" s="3">
        <v>45063</v>
      </c>
      <c r="NF4" s="3">
        <v>45178</v>
      </c>
      <c r="NG4" s="3">
        <v>45151</v>
      </c>
      <c r="NH4" s="3">
        <v>45025</v>
      </c>
      <c r="NI4" s="3">
        <v>44977</v>
      </c>
    </row>
    <row r="5" spans="1:373" x14ac:dyDescent="0.3">
      <c r="A5" s="1" t="s">
        <v>4</v>
      </c>
      <c r="B5" s="2" t="s">
        <v>18</v>
      </c>
      <c r="C5" s="2" t="s">
        <v>25</v>
      </c>
      <c r="D5" s="2" t="s">
        <v>18</v>
      </c>
      <c r="E5" s="2" t="s">
        <v>37</v>
      </c>
      <c r="F5" s="2" t="s">
        <v>40</v>
      </c>
      <c r="G5" s="2" t="s">
        <v>43</v>
      </c>
      <c r="H5" s="2" t="s">
        <v>37</v>
      </c>
      <c r="I5" s="2" t="s">
        <v>49</v>
      </c>
      <c r="J5" s="2" t="s">
        <v>18</v>
      </c>
      <c r="K5" s="2" t="s">
        <v>37</v>
      </c>
      <c r="L5" s="2" t="s">
        <v>37</v>
      </c>
      <c r="M5" s="2" t="s">
        <v>49</v>
      </c>
      <c r="N5" s="2" t="s">
        <v>19</v>
      </c>
      <c r="O5" s="2" t="s">
        <v>40</v>
      </c>
      <c r="P5" s="2" t="s">
        <v>43</v>
      </c>
      <c r="Q5" s="2" t="s">
        <v>25</v>
      </c>
      <c r="R5" s="2" t="s">
        <v>19</v>
      </c>
      <c r="S5" s="2" t="s">
        <v>18</v>
      </c>
      <c r="T5" s="2" t="s">
        <v>37</v>
      </c>
      <c r="U5" s="2" t="s">
        <v>49</v>
      </c>
      <c r="V5" s="2" t="s">
        <v>49</v>
      </c>
      <c r="W5" s="2" t="s">
        <v>40</v>
      </c>
      <c r="X5" s="2" t="s">
        <v>19</v>
      </c>
      <c r="Y5" s="2" t="s">
        <v>25</v>
      </c>
      <c r="Z5" s="2" t="s">
        <v>40</v>
      </c>
      <c r="AA5" s="2" t="s">
        <v>37</v>
      </c>
      <c r="AB5" s="2" t="s">
        <v>40</v>
      </c>
      <c r="AC5" s="2" t="s">
        <v>43</v>
      </c>
      <c r="AD5" s="2" t="s">
        <v>49</v>
      </c>
      <c r="AE5" s="2" t="s">
        <v>49</v>
      </c>
      <c r="AF5" s="2" t="s">
        <v>18</v>
      </c>
      <c r="AG5" s="2" t="s">
        <v>18</v>
      </c>
      <c r="AH5" s="2" t="s">
        <v>25</v>
      </c>
      <c r="AI5" s="2" t="s">
        <v>37</v>
      </c>
      <c r="AJ5" s="2" t="s">
        <v>43</v>
      </c>
      <c r="AK5" s="2" t="s">
        <v>19</v>
      </c>
      <c r="AL5" s="2" t="s">
        <v>40</v>
      </c>
      <c r="AM5" s="2" t="s">
        <v>25</v>
      </c>
      <c r="AN5" s="2" t="s">
        <v>37</v>
      </c>
      <c r="AO5" s="2" t="s">
        <v>18</v>
      </c>
      <c r="AP5" s="2" t="s">
        <v>40</v>
      </c>
      <c r="AQ5" s="2" t="s">
        <v>18</v>
      </c>
      <c r="AR5" s="2" t="s">
        <v>40</v>
      </c>
      <c r="AS5" s="2" t="s">
        <v>19</v>
      </c>
      <c r="AT5" s="2" t="s">
        <v>37</v>
      </c>
      <c r="AU5" s="2" t="s">
        <v>40</v>
      </c>
      <c r="AV5" s="2" t="s">
        <v>43</v>
      </c>
      <c r="AW5" s="2" t="s">
        <v>25</v>
      </c>
      <c r="AX5" s="2" t="s">
        <v>49</v>
      </c>
      <c r="AY5" s="2" t="s">
        <v>43</v>
      </c>
      <c r="AZ5" s="2" t="s">
        <v>25</v>
      </c>
      <c r="BA5" s="2" t="s">
        <v>49</v>
      </c>
      <c r="BB5" s="2" t="s">
        <v>43</v>
      </c>
      <c r="BC5" s="2" t="s">
        <v>40</v>
      </c>
      <c r="BD5" s="2" t="s">
        <v>40</v>
      </c>
      <c r="BE5" s="2" t="s">
        <v>40</v>
      </c>
      <c r="BF5" s="2" t="s">
        <v>43</v>
      </c>
      <c r="BG5" s="2" t="s">
        <v>49</v>
      </c>
      <c r="BH5" s="2" t="s">
        <v>40</v>
      </c>
      <c r="BI5" s="2" t="s">
        <v>43</v>
      </c>
      <c r="BJ5" s="2" t="s">
        <v>43</v>
      </c>
      <c r="BK5" s="2" t="s">
        <v>18</v>
      </c>
      <c r="BL5" s="2" t="s">
        <v>18</v>
      </c>
      <c r="BM5" s="2" t="s">
        <v>19</v>
      </c>
      <c r="BN5" s="2" t="s">
        <v>37</v>
      </c>
      <c r="BO5" s="2" t="s">
        <v>18</v>
      </c>
      <c r="BP5" s="2" t="s">
        <v>49</v>
      </c>
      <c r="BQ5" s="2" t="s">
        <v>18</v>
      </c>
      <c r="BR5" s="2" t="s">
        <v>19</v>
      </c>
      <c r="BS5" s="2" t="s">
        <v>43</v>
      </c>
      <c r="BT5" s="2" t="s">
        <v>19</v>
      </c>
      <c r="BU5" s="2" t="s">
        <v>43</v>
      </c>
      <c r="BV5" s="2" t="s">
        <v>25</v>
      </c>
      <c r="BW5" s="2" t="s">
        <v>25</v>
      </c>
      <c r="BX5" s="2" t="s">
        <v>37</v>
      </c>
      <c r="BY5" s="2" t="s">
        <v>18</v>
      </c>
      <c r="BZ5" s="2" t="s">
        <v>49</v>
      </c>
      <c r="CA5" s="2" t="s">
        <v>49</v>
      </c>
      <c r="CB5" s="2" t="s">
        <v>40</v>
      </c>
      <c r="CC5" s="2" t="s">
        <v>43</v>
      </c>
      <c r="CD5" s="2" t="s">
        <v>49</v>
      </c>
      <c r="CE5" s="2" t="s">
        <v>37</v>
      </c>
      <c r="CF5" s="2" t="s">
        <v>43</v>
      </c>
      <c r="CG5" s="2" t="s">
        <v>37</v>
      </c>
      <c r="CH5" s="2" t="s">
        <v>40</v>
      </c>
      <c r="CI5" s="2" t="s">
        <v>49</v>
      </c>
      <c r="CJ5" s="2" t="s">
        <v>43</v>
      </c>
      <c r="CK5" s="2" t="s">
        <v>25</v>
      </c>
      <c r="CL5" s="2" t="s">
        <v>43</v>
      </c>
      <c r="CM5" s="2" t="s">
        <v>43</v>
      </c>
      <c r="CN5" s="2" t="s">
        <v>40</v>
      </c>
      <c r="CO5" s="2" t="s">
        <v>40</v>
      </c>
      <c r="CP5" s="2" t="s">
        <v>49</v>
      </c>
      <c r="CQ5" s="2" t="s">
        <v>19</v>
      </c>
      <c r="CR5" s="2" t="s">
        <v>19</v>
      </c>
      <c r="CS5" s="2" t="s">
        <v>40</v>
      </c>
      <c r="CT5" s="2" t="s">
        <v>49</v>
      </c>
      <c r="CU5" s="2" t="s">
        <v>49</v>
      </c>
      <c r="CV5" s="2" t="s">
        <v>49</v>
      </c>
      <c r="CW5" s="2" t="s">
        <v>49</v>
      </c>
      <c r="CX5" s="2" t="s">
        <v>18</v>
      </c>
      <c r="CY5" s="2" t="s">
        <v>49</v>
      </c>
      <c r="CZ5" s="2" t="s">
        <v>18</v>
      </c>
      <c r="DA5" s="2" t="s">
        <v>40</v>
      </c>
      <c r="DB5" s="2" t="s">
        <v>19</v>
      </c>
      <c r="DC5" s="2" t="s">
        <v>43</v>
      </c>
      <c r="DD5" s="2" t="s">
        <v>25</v>
      </c>
      <c r="DE5" s="2" t="s">
        <v>19</v>
      </c>
      <c r="DF5" s="2" t="s">
        <v>43</v>
      </c>
      <c r="DG5" s="2" t="s">
        <v>25</v>
      </c>
      <c r="DH5" s="2" t="s">
        <v>19</v>
      </c>
      <c r="DI5" s="2" t="s">
        <v>43</v>
      </c>
      <c r="DJ5" s="2" t="s">
        <v>19</v>
      </c>
      <c r="DK5" s="2" t="s">
        <v>19</v>
      </c>
      <c r="DL5" s="2" t="s">
        <v>25</v>
      </c>
      <c r="DM5" s="2" t="s">
        <v>19</v>
      </c>
      <c r="DN5" s="2" t="s">
        <v>19</v>
      </c>
      <c r="DO5" s="2" t="s">
        <v>25</v>
      </c>
      <c r="DP5" s="2" t="s">
        <v>40</v>
      </c>
      <c r="DQ5" s="2" t="s">
        <v>49</v>
      </c>
      <c r="DR5" s="2" t="s">
        <v>37</v>
      </c>
      <c r="DS5" s="2" t="s">
        <v>18</v>
      </c>
      <c r="DT5" s="2" t="s">
        <v>37</v>
      </c>
      <c r="DU5" s="2" t="s">
        <v>37</v>
      </c>
      <c r="DV5" s="2" t="s">
        <v>43</v>
      </c>
      <c r="DW5" s="2" t="s">
        <v>43</v>
      </c>
      <c r="DX5" s="2" t="s">
        <v>49</v>
      </c>
      <c r="DY5" s="2" t="s">
        <v>25</v>
      </c>
      <c r="DZ5" s="2" t="s">
        <v>49</v>
      </c>
      <c r="EA5" s="2" t="s">
        <v>19</v>
      </c>
      <c r="EB5" s="2" t="s">
        <v>40</v>
      </c>
      <c r="EC5" s="2" t="s">
        <v>19</v>
      </c>
      <c r="ED5" s="2" t="s">
        <v>40</v>
      </c>
      <c r="EE5" s="2" t="s">
        <v>43</v>
      </c>
      <c r="EF5" s="2" t="s">
        <v>40</v>
      </c>
      <c r="EG5" s="2" t="s">
        <v>43</v>
      </c>
      <c r="EH5" s="2" t="s">
        <v>25</v>
      </c>
      <c r="EI5" s="2" t="s">
        <v>37</v>
      </c>
      <c r="EJ5" s="2" t="s">
        <v>25</v>
      </c>
      <c r="EK5" s="2" t="s">
        <v>25</v>
      </c>
      <c r="EL5" s="2" t="s">
        <v>37</v>
      </c>
      <c r="EM5" s="2" t="s">
        <v>40</v>
      </c>
      <c r="EN5" s="2" t="s">
        <v>43</v>
      </c>
      <c r="EO5" s="2" t="s">
        <v>19</v>
      </c>
      <c r="EP5" s="2" t="s">
        <v>43</v>
      </c>
      <c r="EQ5" s="2" t="s">
        <v>19</v>
      </c>
      <c r="ER5" s="2" t="s">
        <v>25</v>
      </c>
      <c r="ES5" s="2" t="s">
        <v>37</v>
      </c>
      <c r="ET5" s="2" t="s">
        <v>25</v>
      </c>
      <c r="EU5" s="2" t="s">
        <v>49</v>
      </c>
      <c r="EV5" s="2" t="s">
        <v>40</v>
      </c>
      <c r="EW5" s="2" t="s">
        <v>19</v>
      </c>
      <c r="EX5" s="2" t="s">
        <v>43</v>
      </c>
      <c r="EY5" s="2" t="s">
        <v>37</v>
      </c>
      <c r="EZ5" s="2" t="s">
        <v>19</v>
      </c>
      <c r="FA5" s="2" t="s">
        <v>43</v>
      </c>
      <c r="FB5" s="2" t="s">
        <v>40</v>
      </c>
      <c r="FC5" s="2" t="s">
        <v>40</v>
      </c>
      <c r="FD5" s="2" t="s">
        <v>18</v>
      </c>
      <c r="FE5" s="2" t="s">
        <v>49</v>
      </c>
      <c r="FF5" s="2" t="s">
        <v>18</v>
      </c>
      <c r="FG5" s="2" t="s">
        <v>37</v>
      </c>
      <c r="FH5" s="2" t="s">
        <v>19</v>
      </c>
      <c r="FI5" s="2" t="s">
        <v>43</v>
      </c>
      <c r="FJ5" s="2" t="s">
        <v>40</v>
      </c>
      <c r="FK5" s="2" t="s">
        <v>18</v>
      </c>
      <c r="FL5" s="2" t="s">
        <v>18</v>
      </c>
      <c r="FM5" s="2" t="s">
        <v>18</v>
      </c>
      <c r="FN5" s="2" t="s">
        <v>25</v>
      </c>
      <c r="FO5" s="2" t="s">
        <v>37</v>
      </c>
      <c r="FP5" s="2" t="s">
        <v>40</v>
      </c>
      <c r="FQ5" s="2" t="s">
        <v>19</v>
      </c>
      <c r="FR5" s="2" t="s">
        <v>43</v>
      </c>
      <c r="FS5" s="2" t="s">
        <v>37</v>
      </c>
      <c r="FT5" s="2" t="s">
        <v>43</v>
      </c>
      <c r="FU5" s="2" t="s">
        <v>18</v>
      </c>
      <c r="FV5" s="2" t="s">
        <v>49</v>
      </c>
      <c r="FW5" s="2" t="s">
        <v>37</v>
      </c>
      <c r="FX5" s="2" t="s">
        <v>37</v>
      </c>
      <c r="FY5" s="2" t="s">
        <v>40</v>
      </c>
      <c r="FZ5" s="2" t="s">
        <v>19</v>
      </c>
      <c r="GA5" s="2" t="s">
        <v>37</v>
      </c>
      <c r="GB5" s="2" t="s">
        <v>37</v>
      </c>
      <c r="GC5" s="2" t="s">
        <v>18</v>
      </c>
      <c r="GD5" s="2" t="s">
        <v>18</v>
      </c>
      <c r="GE5" s="2" t="s">
        <v>43</v>
      </c>
      <c r="GF5" s="2" t="s">
        <v>40</v>
      </c>
      <c r="GG5" s="2" t="s">
        <v>49</v>
      </c>
      <c r="GH5" s="2" t="s">
        <v>43</v>
      </c>
      <c r="GI5" s="2" t="s">
        <v>18</v>
      </c>
      <c r="GJ5" s="2" t="s">
        <v>25</v>
      </c>
      <c r="GK5" s="2" t="s">
        <v>19</v>
      </c>
      <c r="GL5" s="2" t="s">
        <v>40</v>
      </c>
      <c r="GM5" s="2" t="s">
        <v>18</v>
      </c>
      <c r="GN5" s="2" t="s">
        <v>40</v>
      </c>
      <c r="GO5" s="2" t="s">
        <v>40</v>
      </c>
      <c r="GP5" s="2" t="s">
        <v>40</v>
      </c>
      <c r="GQ5" s="2" t="s">
        <v>40</v>
      </c>
      <c r="GR5" s="2" t="s">
        <v>19</v>
      </c>
      <c r="GS5" s="2" t="s">
        <v>49</v>
      </c>
      <c r="GT5" s="2" t="s">
        <v>40</v>
      </c>
      <c r="GU5" s="2" t="s">
        <v>19</v>
      </c>
      <c r="GV5" s="2" t="s">
        <v>25</v>
      </c>
      <c r="GW5" s="2" t="s">
        <v>19</v>
      </c>
      <c r="GX5" s="2" t="s">
        <v>40</v>
      </c>
      <c r="GY5" s="2" t="s">
        <v>43</v>
      </c>
      <c r="GZ5" s="2" t="s">
        <v>37</v>
      </c>
      <c r="HA5" s="2" t="s">
        <v>37</v>
      </c>
      <c r="HB5" s="2" t="s">
        <v>19</v>
      </c>
      <c r="HC5" s="2" t="s">
        <v>43</v>
      </c>
      <c r="HD5" s="2" t="s">
        <v>40</v>
      </c>
      <c r="HE5" s="2" t="s">
        <v>37</v>
      </c>
      <c r="HF5" s="2" t="s">
        <v>18</v>
      </c>
      <c r="HG5" s="2" t="s">
        <v>19</v>
      </c>
      <c r="HH5" s="2" t="s">
        <v>18</v>
      </c>
      <c r="HI5" s="2" t="s">
        <v>25</v>
      </c>
      <c r="HJ5" s="2" t="s">
        <v>49</v>
      </c>
      <c r="HK5" s="2" t="s">
        <v>19</v>
      </c>
      <c r="HL5" s="2" t="s">
        <v>40</v>
      </c>
      <c r="HM5" s="2" t="s">
        <v>43</v>
      </c>
      <c r="HN5" s="2" t="s">
        <v>25</v>
      </c>
      <c r="HO5" s="2" t="s">
        <v>43</v>
      </c>
      <c r="HP5" s="2" t="s">
        <v>25</v>
      </c>
      <c r="HQ5" s="2" t="s">
        <v>18</v>
      </c>
      <c r="HR5" s="2" t="s">
        <v>18</v>
      </c>
      <c r="HS5" s="2" t="s">
        <v>43</v>
      </c>
      <c r="HT5" s="2" t="s">
        <v>18</v>
      </c>
      <c r="HU5" s="2" t="s">
        <v>43</v>
      </c>
      <c r="HV5" s="2" t="s">
        <v>43</v>
      </c>
      <c r="HW5" s="2" t="s">
        <v>40</v>
      </c>
      <c r="HX5" s="2" t="s">
        <v>18</v>
      </c>
      <c r="HY5" s="2" t="s">
        <v>25</v>
      </c>
      <c r="HZ5" s="2" t="s">
        <v>43</v>
      </c>
      <c r="IA5" s="2" t="s">
        <v>49</v>
      </c>
      <c r="IB5" s="2" t="s">
        <v>40</v>
      </c>
      <c r="IC5" s="2" t="s">
        <v>19</v>
      </c>
      <c r="ID5" s="2" t="s">
        <v>43</v>
      </c>
      <c r="IE5" s="2" t="s">
        <v>49</v>
      </c>
      <c r="IF5" s="2" t="s">
        <v>49</v>
      </c>
      <c r="IG5" s="2" t="s">
        <v>18</v>
      </c>
      <c r="IH5" s="2" t="s">
        <v>25</v>
      </c>
      <c r="II5" s="2" t="s">
        <v>40</v>
      </c>
      <c r="IJ5" s="2" t="s">
        <v>40</v>
      </c>
      <c r="IK5" s="2" t="s">
        <v>18</v>
      </c>
      <c r="IL5" s="2" t="s">
        <v>25</v>
      </c>
      <c r="IM5" s="2" t="s">
        <v>37</v>
      </c>
      <c r="IN5" s="2" t="s">
        <v>19</v>
      </c>
      <c r="IO5" s="2" t="s">
        <v>19</v>
      </c>
      <c r="IP5" s="2" t="s">
        <v>40</v>
      </c>
      <c r="IQ5" s="2" t="s">
        <v>43</v>
      </c>
      <c r="IR5" s="2" t="s">
        <v>49</v>
      </c>
      <c r="IS5" s="2" t="s">
        <v>49</v>
      </c>
      <c r="IT5" s="2" t="s">
        <v>18</v>
      </c>
      <c r="IU5" s="2" t="s">
        <v>40</v>
      </c>
      <c r="IV5" s="2" t="s">
        <v>37</v>
      </c>
      <c r="IW5" s="2" t="s">
        <v>49</v>
      </c>
      <c r="IX5" s="2" t="s">
        <v>49</v>
      </c>
      <c r="IY5" s="2" t="s">
        <v>43</v>
      </c>
      <c r="IZ5" s="2" t="s">
        <v>40</v>
      </c>
      <c r="JA5" s="2" t="s">
        <v>40</v>
      </c>
      <c r="JB5" s="2" t="s">
        <v>49</v>
      </c>
      <c r="JC5" s="2" t="s">
        <v>37</v>
      </c>
      <c r="JD5" s="2" t="s">
        <v>18</v>
      </c>
      <c r="JE5" s="2" t="s">
        <v>18</v>
      </c>
      <c r="JF5" s="2" t="s">
        <v>40</v>
      </c>
      <c r="JG5" s="2" t="s">
        <v>18</v>
      </c>
      <c r="JH5" s="2" t="s">
        <v>49</v>
      </c>
      <c r="JI5" s="2" t="s">
        <v>40</v>
      </c>
      <c r="JJ5" s="2" t="s">
        <v>40</v>
      </c>
      <c r="JK5" s="2" t="s">
        <v>25</v>
      </c>
      <c r="JL5" s="2" t="s">
        <v>25</v>
      </c>
      <c r="JM5" s="2" t="s">
        <v>43</v>
      </c>
      <c r="JN5" s="2" t="s">
        <v>40</v>
      </c>
      <c r="JO5" s="2" t="s">
        <v>18</v>
      </c>
      <c r="JP5" s="2" t="s">
        <v>19</v>
      </c>
      <c r="JQ5" s="2" t="s">
        <v>25</v>
      </c>
      <c r="JR5" s="2" t="s">
        <v>18</v>
      </c>
      <c r="JS5" s="2" t="s">
        <v>19</v>
      </c>
      <c r="JT5" s="2" t="s">
        <v>18</v>
      </c>
      <c r="JU5" s="2" t="s">
        <v>49</v>
      </c>
      <c r="JV5" s="2" t="s">
        <v>25</v>
      </c>
      <c r="JW5" s="2" t="s">
        <v>37</v>
      </c>
      <c r="JX5" s="2" t="s">
        <v>18</v>
      </c>
      <c r="JY5" s="2" t="s">
        <v>18</v>
      </c>
      <c r="JZ5" s="2" t="s">
        <v>49</v>
      </c>
      <c r="KA5" s="2" t="s">
        <v>49</v>
      </c>
      <c r="KB5" s="2" t="s">
        <v>40</v>
      </c>
      <c r="KC5" s="2" t="s">
        <v>19</v>
      </c>
      <c r="KD5" s="2" t="s">
        <v>40</v>
      </c>
      <c r="KE5" s="2" t="s">
        <v>18</v>
      </c>
      <c r="KF5" s="2" t="s">
        <v>19</v>
      </c>
      <c r="KG5" s="2" t="s">
        <v>37</v>
      </c>
      <c r="KH5" s="2" t="s">
        <v>37</v>
      </c>
      <c r="KI5" s="2" t="s">
        <v>19</v>
      </c>
      <c r="KJ5" s="2" t="s">
        <v>18</v>
      </c>
      <c r="KK5" s="2" t="s">
        <v>49</v>
      </c>
      <c r="KL5" s="2" t="s">
        <v>25</v>
      </c>
      <c r="KM5" s="2" t="s">
        <v>25</v>
      </c>
      <c r="KN5" s="2" t="s">
        <v>37</v>
      </c>
      <c r="KO5" s="2" t="s">
        <v>19</v>
      </c>
      <c r="KP5" s="2" t="s">
        <v>25</v>
      </c>
      <c r="KQ5" s="2" t="s">
        <v>40</v>
      </c>
      <c r="KR5" s="2" t="s">
        <v>40</v>
      </c>
      <c r="KS5" s="2" t="s">
        <v>18</v>
      </c>
      <c r="KT5" s="2" t="s">
        <v>19</v>
      </c>
      <c r="KU5" s="2" t="s">
        <v>40</v>
      </c>
      <c r="KV5" s="2" t="s">
        <v>25</v>
      </c>
      <c r="KW5" s="2" t="s">
        <v>19</v>
      </c>
      <c r="KX5" s="2" t="s">
        <v>18</v>
      </c>
      <c r="KY5" s="2" t="s">
        <v>49</v>
      </c>
      <c r="KZ5" s="2" t="s">
        <v>25</v>
      </c>
      <c r="LA5" s="2" t="s">
        <v>43</v>
      </c>
      <c r="LB5" s="2" t="s">
        <v>25</v>
      </c>
      <c r="LC5" s="2" t="s">
        <v>43</v>
      </c>
      <c r="LD5" s="2" t="s">
        <v>25</v>
      </c>
      <c r="LE5" s="2" t="s">
        <v>19</v>
      </c>
      <c r="LF5" s="2" t="s">
        <v>49</v>
      </c>
      <c r="LG5" s="2" t="s">
        <v>25</v>
      </c>
      <c r="LH5" s="2" t="s">
        <v>19</v>
      </c>
      <c r="LI5" s="2" t="s">
        <v>19</v>
      </c>
      <c r="LJ5" s="2" t="s">
        <v>49</v>
      </c>
      <c r="LK5" s="2" t="s">
        <v>19</v>
      </c>
      <c r="LL5" s="2" t="s">
        <v>25</v>
      </c>
      <c r="LM5" s="2" t="s">
        <v>40</v>
      </c>
      <c r="LN5" s="2" t="s">
        <v>49</v>
      </c>
      <c r="LO5" s="2" t="s">
        <v>40</v>
      </c>
      <c r="LP5" s="2" t="s">
        <v>49</v>
      </c>
      <c r="LQ5" s="2" t="s">
        <v>25</v>
      </c>
      <c r="LR5" s="2" t="s">
        <v>43</v>
      </c>
      <c r="LS5" s="2" t="s">
        <v>19</v>
      </c>
      <c r="LT5" s="2" t="s">
        <v>43</v>
      </c>
      <c r="LU5" s="2" t="s">
        <v>43</v>
      </c>
      <c r="LV5" s="2" t="s">
        <v>49</v>
      </c>
      <c r="LW5" s="2" t="s">
        <v>49</v>
      </c>
      <c r="LX5" s="2" t="s">
        <v>18</v>
      </c>
      <c r="LY5" s="2" t="s">
        <v>18</v>
      </c>
      <c r="LZ5" s="2" t="s">
        <v>49</v>
      </c>
      <c r="MA5" s="2" t="s">
        <v>37</v>
      </c>
      <c r="MB5" s="2" t="s">
        <v>40</v>
      </c>
      <c r="MC5" s="2" t="s">
        <v>19</v>
      </c>
      <c r="MD5" s="2" t="s">
        <v>18</v>
      </c>
      <c r="ME5" s="2" t="s">
        <v>43</v>
      </c>
      <c r="MF5" s="2" t="s">
        <v>37</v>
      </c>
      <c r="MG5" s="2" t="s">
        <v>43</v>
      </c>
      <c r="MH5" s="2" t="s">
        <v>49</v>
      </c>
      <c r="MI5" s="2" t="s">
        <v>37</v>
      </c>
      <c r="MJ5" s="2" t="s">
        <v>18</v>
      </c>
      <c r="MK5" s="2" t="s">
        <v>49</v>
      </c>
      <c r="ML5" s="2" t="s">
        <v>25</v>
      </c>
      <c r="MM5" s="2" t="s">
        <v>25</v>
      </c>
      <c r="MN5" s="2" t="s">
        <v>49</v>
      </c>
      <c r="MO5" s="2" t="s">
        <v>40</v>
      </c>
      <c r="MP5" s="2" t="s">
        <v>19</v>
      </c>
      <c r="MQ5" s="2" t="s">
        <v>25</v>
      </c>
      <c r="MR5" s="2" t="s">
        <v>37</v>
      </c>
      <c r="MS5" s="2" t="s">
        <v>18</v>
      </c>
      <c r="MT5" s="2" t="s">
        <v>19</v>
      </c>
      <c r="MU5" s="2" t="s">
        <v>37</v>
      </c>
      <c r="MV5" s="2" t="s">
        <v>37</v>
      </c>
      <c r="MW5" s="2" t="s">
        <v>19</v>
      </c>
      <c r="MX5" s="2" t="s">
        <v>19</v>
      </c>
      <c r="MY5" s="2" t="s">
        <v>43</v>
      </c>
      <c r="MZ5" s="2" t="s">
        <v>37</v>
      </c>
      <c r="NA5" s="2" t="s">
        <v>18</v>
      </c>
      <c r="NB5" s="2" t="s">
        <v>19</v>
      </c>
      <c r="NC5" s="2" t="s">
        <v>43</v>
      </c>
      <c r="ND5" s="2" t="s">
        <v>40</v>
      </c>
      <c r="NE5" s="2" t="s">
        <v>18</v>
      </c>
      <c r="NF5" s="2" t="s">
        <v>18</v>
      </c>
      <c r="NG5" s="2" t="s">
        <v>19</v>
      </c>
      <c r="NH5" s="2" t="s">
        <v>49</v>
      </c>
      <c r="NI5" s="2" t="s">
        <v>18</v>
      </c>
    </row>
    <row r="6" spans="1:373" x14ac:dyDescent="0.3">
      <c r="A6" s="1" t="s">
        <v>5</v>
      </c>
      <c r="B6" s="2" t="s">
        <v>19</v>
      </c>
      <c r="C6" s="2" t="s">
        <v>26</v>
      </c>
      <c r="D6" s="2" t="s">
        <v>32</v>
      </c>
      <c r="E6" s="2" t="s">
        <v>32</v>
      </c>
      <c r="F6" s="2" t="s">
        <v>41</v>
      </c>
      <c r="G6" s="2" t="s">
        <v>44</v>
      </c>
      <c r="H6" s="2" t="s">
        <v>44</v>
      </c>
      <c r="I6" s="2" t="s">
        <v>19</v>
      </c>
      <c r="J6" s="2" t="s">
        <v>32</v>
      </c>
      <c r="K6" s="2" t="s">
        <v>41</v>
      </c>
      <c r="L6" s="2" t="s">
        <v>41</v>
      </c>
      <c r="M6" s="2" t="s">
        <v>26</v>
      </c>
      <c r="N6" s="2" t="s">
        <v>26</v>
      </c>
      <c r="O6" s="2" t="s">
        <v>41</v>
      </c>
      <c r="P6" s="2" t="s">
        <v>26</v>
      </c>
      <c r="Q6" s="2" t="s">
        <v>32</v>
      </c>
      <c r="R6" s="2" t="s">
        <v>57</v>
      </c>
      <c r="S6" s="2" t="s">
        <v>32</v>
      </c>
      <c r="T6" s="2" t="s">
        <v>41</v>
      </c>
      <c r="U6" s="2" t="s">
        <v>41</v>
      </c>
      <c r="V6" s="2" t="s">
        <v>32</v>
      </c>
      <c r="W6" s="2" t="s">
        <v>26</v>
      </c>
      <c r="X6" s="2" t="s">
        <v>26</v>
      </c>
      <c r="Y6" s="2" t="s">
        <v>44</v>
      </c>
      <c r="Z6" s="2" t="s">
        <v>41</v>
      </c>
      <c r="AA6" s="2" t="s">
        <v>19</v>
      </c>
      <c r="AB6" s="2" t="s">
        <v>44</v>
      </c>
      <c r="AC6" s="2" t="s">
        <v>26</v>
      </c>
      <c r="AD6" s="2" t="s">
        <v>32</v>
      </c>
      <c r="AE6" s="2" t="s">
        <v>26</v>
      </c>
      <c r="AF6" s="2" t="s">
        <v>32</v>
      </c>
      <c r="AG6" s="2" t="s">
        <v>44</v>
      </c>
      <c r="AH6" s="2" t="s">
        <v>41</v>
      </c>
      <c r="AI6" s="2" t="s">
        <v>26</v>
      </c>
      <c r="AJ6" s="2" t="s">
        <v>32</v>
      </c>
      <c r="AK6" s="2" t="s">
        <v>41</v>
      </c>
      <c r="AL6" s="2" t="s">
        <v>19</v>
      </c>
      <c r="AM6" s="2" t="s">
        <v>32</v>
      </c>
      <c r="AN6" s="2" t="s">
        <v>44</v>
      </c>
      <c r="AO6" s="2" t="s">
        <v>19</v>
      </c>
      <c r="AP6" s="2" t="s">
        <v>19</v>
      </c>
      <c r="AQ6" s="2" t="s">
        <v>57</v>
      </c>
      <c r="AR6" s="2" t="s">
        <v>26</v>
      </c>
      <c r="AS6" s="2" t="s">
        <v>32</v>
      </c>
      <c r="AT6" s="2" t="s">
        <v>19</v>
      </c>
      <c r="AU6" s="2" t="s">
        <v>57</v>
      </c>
      <c r="AV6" s="2" t="s">
        <v>44</v>
      </c>
      <c r="AW6" s="2" t="s">
        <v>41</v>
      </c>
      <c r="AX6" s="2" t="s">
        <v>32</v>
      </c>
      <c r="AY6" s="2" t="s">
        <v>19</v>
      </c>
      <c r="AZ6" s="2" t="s">
        <v>57</v>
      </c>
      <c r="BA6" s="2" t="s">
        <v>19</v>
      </c>
      <c r="BB6" s="2" t="s">
        <v>26</v>
      </c>
      <c r="BC6" s="2" t="s">
        <v>19</v>
      </c>
      <c r="BD6" s="2" t="s">
        <v>32</v>
      </c>
      <c r="BE6" s="2" t="s">
        <v>32</v>
      </c>
      <c r="BF6" s="2" t="s">
        <v>44</v>
      </c>
      <c r="BG6" s="2" t="s">
        <v>44</v>
      </c>
      <c r="BH6" s="2" t="s">
        <v>57</v>
      </c>
      <c r="BI6" s="2" t="s">
        <v>26</v>
      </c>
      <c r="BJ6" s="2" t="s">
        <v>19</v>
      </c>
      <c r="BK6" s="2" t="s">
        <v>41</v>
      </c>
      <c r="BL6" s="2" t="s">
        <v>26</v>
      </c>
      <c r="BM6" s="2" t="s">
        <v>44</v>
      </c>
      <c r="BN6" s="2" t="s">
        <v>44</v>
      </c>
      <c r="BO6" s="2" t="s">
        <v>26</v>
      </c>
      <c r="BP6" s="2" t="s">
        <v>44</v>
      </c>
      <c r="BQ6" s="2" t="s">
        <v>32</v>
      </c>
      <c r="BR6" s="2" t="s">
        <v>57</v>
      </c>
      <c r="BS6" s="2" t="s">
        <v>19</v>
      </c>
      <c r="BT6" s="2" t="s">
        <v>57</v>
      </c>
      <c r="BU6" s="2" t="s">
        <v>19</v>
      </c>
      <c r="BV6" s="2" t="s">
        <v>19</v>
      </c>
      <c r="BW6" s="2" t="s">
        <v>57</v>
      </c>
      <c r="BX6" s="2" t="s">
        <v>19</v>
      </c>
      <c r="BY6" s="2" t="s">
        <v>57</v>
      </c>
      <c r="BZ6" s="2" t="s">
        <v>19</v>
      </c>
      <c r="CA6" s="2" t="s">
        <v>41</v>
      </c>
      <c r="CB6" s="2" t="s">
        <v>26</v>
      </c>
      <c r="CC6" s="2" t="s">
        <v>32</v>
      </c>
      <c r="CD6" s="2" t="s">
        <v>19</v>
      </c>
      <c r="CE6" s="2" t="s">
        <v>41</v>
      </c>
      <c r="CF6" s="2" t="s">
        <v>32</v>
      </c>
      <c r="CG6" s="2" t="s">
        <v>32</v>
      </c>
      <c r="CH6" s="2" t="s">
        <v>19</v>
      </c>
      <c r="CI6" s="2" t="s">
        <v>41</v>
      </c>
      <c r="CJ6" s="2" t="s">
        <v>32</v>
      </c>
      <c r="CK6" s="2" t="s">
        <v>19</v>
      </c>
      <c r="CL6" s="2" t="s">
        <v>57</v>
      </c>
      <c r="CM6" s="2" t="s">
        <v>19</v>
      </c>
      <c r="CN6" s="2" t="s">
        <v>26</v>
      </c>
      <c r="CO6" s="2" t="s">
        <v>57</v>
      </c>
      <c r="CP6" s="2" t="s">
        <v>41</v>
      </c>
      <c r="CQ6" s="2" t="s">
        <v>32</v>
      </c>
      <c r="CR6" s="2" t="s">
        <v>19</v>
      </c>
      <c r="CS6" s="2" t="s">
        <v>57</v>
      </c>
      <c r="CT6" s="2" t="s">
        <v>26</v>
      </c>
      <c r="CU6" s="2" t="s">
        <v>44</v>
      </c>
      <c r="CV6" s="2" t="s">
        <v>26</v>
      </c>
      <c r="CW6" s="2" t="s">
        <v>41</v>
      </c>
      <c r="CX6" s="2" t="s">
        <v>32</v>
      </c>
      <c r="CY6" s="2" t="s">
        <v>19</v>
      </c>
      <c r="CZ6" s="2" t="s">
        <v>57</v>
      </c>
      <c r="DA6" s="2" t="s">
        <v>44</v>
      </c>
      <c r="DB6" s="2" t="s">
        <v>26</v>
      </c>
      <c r="DC6" s="2" t="s">
        <v>26</v>
      </c>
      <c r="DD6" s="2" t="s">
        <v>57</v>
      </c>
      <c r="DE6" s="2" t="s">
        <v>44</v>
      </c>
      <c r="DF6" s="2" t="s">
        <v>57</v>
      </c>
      <c r="DG6" s="2" t="s">
        <v>19</v>
      </c>
      <c r="DH6" s="2" t="s">
        <v>41</v>
      </c>
      <c r="DI6" s="2" t="s">
        <v>26</v>
      </c>
      <c r="DJ6" s="2" t="s">
        <v>19</v>
      </c>
      <c r="DK6" s="2" t="s">
        <v>41</v>
      </c>
      <c r="DL6" s="2" t="s">
        <v>19</v>
      </c>
      <c r="DM6" s="2" t="s">
        <v>44</v>
      </c>
      <c r="DN6" s="2" t="s">
        <v>26</v>
      </c>
      <c r="DO6" s="2" t="s">
        <v>57</v>
      </c>
      <c r="DP6" s="2" t="s">
        <v>57</v>
      </c>
      <c r="DQ6" s="2" t="s">
        <v>41</v>
      </c>
      <c r="DR6" s="2" t="s">
        <v>32</v>
      </c>
      <c r="DS6" s="2" t="s">
        <v>44</v>
      </c>
      <c r="DT6" s="2" t="s">
        <v>41</v>
      </c>
      <c r="DU6" s="2" t="s">
        <v>32</v>
      </c>
      <c r="DV6" s="2" t="s">
        <v>19</v>
      </c>
      <c r="DW6" s="2" t="s">
        <v>19</v>
      </c>
      <c r="DX6" s="2" t="s">
        <v>26</v>
      </c>
      <c r="DY6" s="2" t="s">
        <v>32</v>
      </c>
      <c r="DZ6" s="2" t="s">
        <v>26</v>
      </c>
      <c r="EA6" s="2" t="s">
        <v>57</v>
      </c>
      <c r="EB6" s="2" t="s">
        <v>32</v>
      </c>
      <c r="EC6" s="2" t="s">
        <v>41</v>
      </c>
      <c r="ED6" s="2" t="s">
        <v>57</v>
      </c>
      <c r="EE6" s="2" t="s">
        <v>57</v>
      </c>
      <c r="EF6" s="2" t="s">
        <v>41</v>
      </c>
      <c r="EG6" s="2" t="s">
        <v>44</v>
      </c>
      <c r="EH6" s="2" t="s">
        <v>57</v>
      </c>
      <c r="EI6" s="2" t="s">
        <v>32</v>
      </c>
      <c r="EJ6" s="2" t="s">
        <v>26</v>
      </c>
      <c r="EK6" s="2" t="s">
        <v>57</v>
      </c>
      <c r="EL6" s="2" t="s">
        <v>32</v>
      </c>
      <c r="EM6" s="2" t="s">
        <v>19</v>
      </c>
      <c r="EN6" s="2" t="s">
        <v>26</v>
      </c>
      <c r="EO6" s="2" t="s">
        <v>32</v>
      </c>
      <c r="EP6" s="2" t="s">
        <v>41</v>
      </c>
      <c r="EQ6" s="2" t="s">
        <v>26</v>
      </c>
      <c r="ER6" s="2" t="s">
        <v>44</v>
      </c>
      <c r="ES6" s="2" t="s">
        <v>19</v>
      </c>
      <c r="ET6" s="2" t="s">
        <v>41</v>
      </c>
      <c r="EU6" s="2" t="s">
        <v>44</v>
      </c>
      <c r="EV6" s="2" t="s">
        <v>32</v>
      </c>
      <c r="EW6" s="2" t="s">
        <v>26</v>
      </c>
      <c r="EX6" s="2" t="s">
        <v>19</v>
      </c>
      <c r="EY6" s="2" t="s">
        <v>41</v>
      </c>
      <c r="EZ6" s="2" t="s">
        <v>44</v>
      </c>
      <c r="FA6" s="2" t="s">
        <v>44</v>
      </c>
      <c r="FB6" s="2" t="s">
        <v>19</v>
      </c>
      <c r="FC6" s="2" t="s">
        <v>19</v>
      </c>
      <c r="FD6" s="2" t="s">
        <v>44</v>
      </c>
      <c r="FE6" s="2" t="s">
        <v>57</v>
      </c>
      <c r="FF6" s="2" t="s">
        <v>41</v>
      </c>
      <c r="FG6" s="2" t="s">
        <v>19</v>
      </c>
      <c r="FH6" s="2" t="s">
        <v>44</v>
      </c>
      <c r="FI6" s="2" t="s">
        <v>32</v>
      </c>
      <c r="FJ6" s="2" t="s">
        <v>19</v>
      </c>
      <c r="FK6" s="2" t="s">
        <v>32</v>
      </c>
      <c r="FL6" s="2" t="s">
        <v>26</v>
      </c>
      <c r="FM6" s="2" t="s">
        <v>26</v>
      </c>
      <c r="FN6" s="2" t="s">
        <v>57</v>
      </c>
      <c r="FO6" s="2" t="s">
        <v>19</v>
      </c>
      <c r="FP6" s="2" t="s">
        <v>44</v>
      </c>
      <c r="FQ6" s="2" t="s">
        <v>44</v>
      </c>
      <c r="FR6" s="2" t="s">
        <v>57</v>
      </c>
      <c r="FS6" s="2" t="s">
        <v>57</v>
      </c>
      <c r="FT6" s="2" t="s">
        <v>32</v>
      </c>
      <c r="FU6" s="2" t="s">
        <v>32</v>
      </c>
      <c r="FV6" s="2" t="s">
        <v>41</v>
      </c>
      <c r="FW6" s="2" t="s">
        <v>44</v>
      </c>
      <c r="FX6" s="2" t="s">
        <v>26</v>
      </c>
      <c r="FY6" s="2" t="s">
        <v>32</v>
      </c>
      <c r="FZ6" s="2" t="s">
        <v>41</v>
      </c>
      <c r="GA6" s="2" t="s">
        <v>44</v>
      </c>
      <c r="GB6" s="2" t="s">
        <v>26</v>
      </c>
      <c r="GC6" s="2" t="s">
        <v>32</v>
      </c>
      <c r="GD6" s="2" t="s">
        <v>32</v>
      </c>
      <c r="GE6" s="2" t="s">
        <v>57</v>
      </c>
      <c r="GF6" s="2" t="s">
        <v>44</v>
      </c>
      <c r="GG6" s="2" t="s">
        <v>44</v>
      </c>
      <c r="GH6" s="2" t="s">
        <v>19</v>
      </c>
      <c r="GI6" s="2" t="s">
        <v>57</v>
      </c>
      <c r="GJ6" s="2" t="s">
        <v>26</v>
      </c>
      <c r="GK6" s="2" t="s">
        <v>32</v>
      </c>
      <c r="GL6" s="2" t="s">
        <v>32</v>
      </c>
      <c r="GM6" s="2" t="s">
        <v>19</v>
      </c>
      <c r="GN6" s="2" t="s">
        <v>26</v>
      </c>
      <c r="GO6" s="2" t="s">
        <v>44</v>
      </c>
      <c r="GP6" s="2" t="s">
        <v>32</v>
      </c>
      <c r="GQ6" s="2" t="s">
        <v>19</v>
      </c>
      <c r="GR6" s="2" t="s">
        <v>19</v>
      </c>
      <c r="GS6" s="2" t="s">
        <v>57</v>
      </c>
      <c r="GT6" s="2" t="s">
        <v>41</v>
      </c>
      <c r="GU6" s="2" t="s">
        <v>57</v>
      </c>
      <c r="GV6" s="2" t="s">
        <v>32</v>
      </c>
      <c r="GW6" s="2" t="s">
        <v>44</v>
      </c>
      <c r="GX6" s="2" t="s">
        <v>19</v>
      </c>
      <c r="GY6" s="2" t="s">
        <v>32</v>
      </c>
      <c r="GZ6" s="2" t="s">
        <v>41</v>
      </c>
      <c r="HA6" s="2" t="s">
        <v>44</v>
      </c>
      <c r="HB6" s="2" t="s">
        <v>41</v>
      </c>
      <c r="HC6" s="2" t="s">
        <v>44</v>
      </c>
      <c r="HD6" s="2" t="s">
        <v>26</v>
      </c>
      <c r="HE6" s="2" t="s">
        <v>32</v>
      </c>
      <c r="HF6" s="2" t="s">
        <v>19</v>
      </c>
      <c r="HG6" s="2" t="s">
        <v>32</v>
      </c>
      <c r="HH6" s="2" t="s">
        <v>57</v>
      </c>
      <c r="HI6" s="2" t="s">
        <v>19</v>
      </c>
      <c r="HJ6" s="2" t="s">
        <v>44</v>
      </c>
      <c r="HK6" s="2" t="s">
        <v>26</v>
      </c>
      <c r="HL6" s="2" t="s">
        <v>41</v>
      </c>
      <c r="HM6" s="2" t="s">
        <v>44</v>
      </c>
      <c r="HN6" s="2" t="s">
        <v>19</v>
      </c>
      <c r="HO6" s="2" t="s">
        <v>44</v>
      </c>
      <c r="HP6" s="2" t="s">
        <v>44</v>
      </c>
      <c r="HQ6" s="2" t="s">
        <v>57</v>
      </c>
      <c r="HR6" s="2" t="s">
        <v>26</v>
      </c>
      <c r="HS6" s="2" t="s">
        <v>41</v>
      </c>
      <c r="HT6" s="2" t="s">
        <v>19</v>
      </c>
      <c r="HU6" s="2" t="s">
        <v>19</v>
      </c>
      <c r="HV6" s="2" t="s">
        <v>41</v>
      </c>
      <c r="HW6" s="2" t="s">
        <v>19</v>
      </c>
      <c r="HX6" s="2" t="s">
        <v>44</v>
      </c>
      <c r="HY6" s="2" t="s">
        <v>32</v>
      </c>
      <c r="HZ6" s="2" t="s">
        <v>19</v>
      </c>
      <c r="IA6" s="2" t="s">
        <v>57</v>
      </c>
      <c r="IB6" s="2" t="s">
        <v>19</v>
      </c>
      <c r="IC6" s="2" t="s">
        <v>57</v>
      </c>
      <c r="ID6" s="2" t="s">
        <v>44</v>
      </c>
      <c r="IE6" s="2" t="s">
        <v>44</v>
      </c>
      <c r="IF6" s="2" t="s">
        <v>57</v>
      </c>
      <c r="IG6" s="2" t="s">
        <v>32</v>
      </c>
      <c r="IH6" s="2" t="s">
        <v>41</v>
      </c>
      <c r="II6" s="2" t="s">
        <v>57</v>
      </c>
      <c r="IJ6" s="2" t="s">
        <v>44</v>
      </c>
      <c r="IK6" s="2" t="s">
        <v>57</v>
      </c>
      <c r="IL6" s="2" t="s">
        <v>19</v>
      </c>
      <c r="IM6" s="2" t="s">
        <v>26</v>
      </c>
      <c r="IN6" s="2" t="s">
        <v>19</v>
      </c>
      <c r="IO6" s="2" t="s">
        <v>32</v>
      </c>
      <c r="IP6" s="2" t="s">
        <v>32</v>
      </c>
      <c r="IQ6" s="2" t="s">
        <v>26</v>
      </c>
      <c r="IR6" s="2" t="s">
        <v>44</v>
      </c>
      <c r="IS6" s="2" t="s">
        <v>32</v>
      </c>
      <c r="IT6" s="2" t="s">
        <v>19</v>
      </c>
      <c r="IU6" s="2" t="s">
        <v>26</v>
      </c>
      <c r="IV6" s="2" t="s">
        <v>32</v>
      </c>
      <c r="IW6" s="2" t="s">
        <v>26</v>
      </c>
      <c r="IX6" s="2" t="s">
        <v>41</v>
      </c>
      <c r="IY6" s="2" t="s">
        <v>44</v>
      </c>
      <c r="IZ6" s="2" t="s">
        <v>19</v>
      </c>
      <c r="JA6" s="2" t="s">
        <v>32</v>
      </c>
      <c r="JB6" s="2" t="s">
        <v>41</v>
      </c>
      <c r="JC6" s="2" t="s">
        <v>41</v>
      </c>
      <c r="JD6" s="2" t="s">
        <v>26</v>
      </c>
      <c r="JE6" s="2" t="s">
        <v>19</v>
      </c>
      <c r="JF6" s="2" t="s">
        <v>19</v>
      </c>
      <c r="JG6" s="2" t="s">
        <v>57</v>
      </c>
      <c r="JH6" s="2" t="s">
        <v>44</v>
      </c>
      <c r="JI6" s="2" t="s">
        <v>41</v>
      </c>
      <c r="JJ6" s="2" t="s">
        <v>19</v>
      </c>
      <c r="JK6" s="2" t="s">
        <v>26</v>
      </c>
      <c r="JL6" s="2" t="s">
        <v>57</v>
      </c>
      <c r="JM6" s="2" t="s">
        <v>41</v>
      </c>
      <c r="JN6" s="2" t="s">
        <v>57</v>
      </c>
      <c r="JO6" s="2" t="s">
        <v>26</v>
      </c>
      <c r="JP6" s="2" t="s">
        <v>44</v>
      </c>
      <c r="JQ6" s="2" t="s">
        <v>32</v>
      </c>
      <c r="JR6" s="2" t="s">
        <v>57</v>
      </c>
      <c r="JS6" s="2" t="s">
        <v>32</v>
      </c>
      <c r="JT6" s="2" t="s">
        <v>57</v>
      </c>
      <c r="JU6" s="2" t="s">
        <v>26</v>
      </c>
      <c r="JV6" s="2" t="s">
        <v>32</v>
      </c>
      <c r="JW6" s="2" t="s">
        <v>32</v>
      </c>
      <c r="JX6" s="2" t="s">
        <v>32</v>
      </c>
      <c r="JY6" s="2" t="s">
        <v>44</v>
      </c>
      <c r="JZ6" s="2" t="s">
        <v>19</v>
      </c>
      <c r="KA6" s="2" t="s">
        <v>26</v>
      </c>
      <c r="KB6" s="2" t="s">
        <v>26</v>
      </c>
      <c r="KC6" s="2" t="s">
        <v>41</v>
      </c>
      <c r="KD6" s="2" t="s">
        <v>41</v>
      </c>
      <c r="KE6" s="2" t="s">
        <v>32</v>
      </c>
      <c r="KF6" s="2" t="s">
        <v>44</v>
      </c>
      <c r="KG6" s="2" t="s">
        <v>44</v>
      </c>
      <c r="KH6" s="2" t="s">
        <v>26</v>
      </c>
      <c r="KI6" s="2" t="s">
        <v>44</v>
      </c>
      <c r="KJ6" s="2" t="s">
        <v>19</v>
      </c>
      <c r="KK6" s="2" t="s">
        <v>44</v>
      </c>
      <c r="KL6" s="2" t="s">
        <v>26</v>
      </c>
      <c r="KM6" s="2" t="s">
        <v>44</v>
      </c>
      <c r="KN6" s="2" t="s">
        <v>44</v>
      </c>
      <c r="KO6" s="2" t="s">
        <v>26</v>
      </c>
      <c r="KP6" s="2" t="s">
        <v>19</v>
      </c>
      <c r="KQ6" s="2" t="s">
        <v>19</v>
      </c>
      <c r="KR6" s="2" t="s">
        <v>57</v>
      </c>
      <c r="KS6" s="2" t="s">
        <v>19</v>
      </c>
      <c r="KT6" s="2" t="s">
        <v>26</v>
      </c>
      <c r="KU6" s="2" t="s">
        <v>26</v>
      </c>
      <c r="KV6" s="2" t="s">
        <v>19</v>
      </c>
      <c r="KW6" s="2" t="s">
        <v>26</v>
      </c>
      <c r="KX6" s="2" t="s">
        <v>26</v>
      </c>
      <c r="KY6" s="2" t="s">
        <v>32</v>
      </c>
      <c r="KZ6" s="2" t="s">
        <v>57</v>
      </c>
      <c r="LA6" s="2" t="s">
        <v>57</v>
      </c>
      <c r="LB6" s="2" t="s">
        <v>41</v>
      </c>
      <c r="LC6" s="2" t="s">
        <v>26</v>
      </c>
      <c r="LD6" s="2" t="s">
        <v>32</v>
      </c>
      <c r="LE6" s="2" t="s">
        <v>26</v>
      </c>
      <c r="LF6" s="2" t="s">
        <v>19</v>
      </c>
      <c r="LG6" s="2" t="s">
        <v>32</v>
      </c>
      <c r="LH6" s="2" t="s">
        <v>19</v>
      </c>
      <c r="LI6" s="2" t="s">
        <v>41</v>
      </c>
      <c r="LJ6" s="2" t="s">
        <v>26</v>
      </c>
      <c r="LK6" s="2" t="s">
        <v>32</v>
      </c>
      <c r="LL6" s="2" t="s">
        <v>26</v>
      </c>
      <c r="LM6" s="2" t="s">
        <v>19</v>
      </c>
      <c r="LN6" s="2" t="s">
        <v>19</v>
      </c>
      <c r="LO6" s="2" t="s">
        <v>57</v>
      </c>
      <c r="LP6" s="2" t="s">
        <v>57</v>
      </c>
      <c r="LQ6" s="2" t="s">
        <v>57</v>
      </c>
      <c r="LR6" s="2" t="s">
        <v>57</v>
      </c>
      <c r="LS6" s="2" t="s">
        <v>57</v>
      </c>
      <c r="LT6" s="2" t="s">
        <v>19</v>
      </c>
      <c r="LU6" s="2" t="s">
        <v>26</v>
      </c>
      <c r="LV6" s="2" t="s">
        <v>41</v>
      </c>
      <c r="LW6" s="2" t="s">
        <v>57</v>
      </c>
      <c r="LX6" s="2" t="s">
        <v>32</v>
      </c>
      <c r="LY6" s="2" t="s">
        <v>26</v>
      </c>
      <c r="LZ6" s="2" t="s">
        <v>26</v>
      </c>
      <c r="MA6" s="2" t="s">
        <v>32</v>
      </c>
      <c r="MB6" s="2" t="s">
        <v>57</v>
      </c>
      <c r="MC6" s="2" t="s">
        <v>26</v>
      </c>
      <c r="MD6" s="2" t="s">
        <v>26</v>
      </c>
      <c r="ME6" s="2" t="s">
        <v>41</v>
      </c>
      <c r="MF6" s="2" t="s">
        <v>41</v>
      </c>
      <c r="MG6" s="2" t="s">
        <v>41</v>
      </c>
      <c r="MH6" s="2" t="s">
        <v>26</v>
      </c>
      <c r="MI6" s="2" t="s">
        <v>44</v>
      </c>
      <c r="MJ6" s="2" t="s">
        <v>32</v>
      </c>
      <c r="MK6" s="2" t="s">
        <v>32</v>
      </c>
      <c r="ML6" s="2" t="s">
        <v>32</v>
      </c>
      <c r="MM6" s="2" t="s">
        <v>19</v>
      </c>
      <c r="MN6" s="2" t="s">
        <v>26</v>
      </c>
      <c r="MO6" s="2" t="s">
        <v>26</v>
      </c>
      <c r="MP6" s="2" t="s">
        <v>44</v>
      </c>
      <c r="MQ6" s="2" t="s">
        <v>19</v>
      </c>
      <c r="MR6" s="2" t="s">
        <v>32</v>
      </c>
      <c r="MS6" s="2" t="s">
        <v>57</v>
      </c>
      <c r="MT6" s="2" t="s">
        <v>32</v>
      </c>
      <c r="MU6" s="2" t="s">
        <v>44</v>
      </c>
      <c r="MV6" s="2" t="s">
        <v>57</v>
      </c>
      <c r="MW6" s="2" t="s">
        <v>19</v>
      </c>
      <c r="MX6" s="2" t="s">
        <v>44</v>
      </c>
      <c r="MY6" s="2" t="s">
        <v>19</v>
      </c>
      <c r="MZ6" s="2" t="s">
        <v>26</v>
      </c>
      <c r="NA6" s="2" t="s">
        <v>32</v>
      </c>
      <c r="NB6" s="2" t="s">
        <v>32</v>
      </c>
      <c r="NC6" s="2" t="s">
        <v>19</v>
      </c>
      <c r="ND6" s="2" t="s">
        <v>44</v>
      </c>
      <c r="NE6" s="2" t="s">
        <v>26</v>
      </c>
      <c r="NF6" s="2" t="s">
        <v>26</v>
      </c>
      <c r="NG6" s="2" t="s">
        <v>32</v>
      </c>
      <c r="NH6" s="2" t="s">
        <v>19</v>
      </c>
      <c r="NI6" s="2" t="s">
        <v>19</v>
      </c>
    </row>
    <row r="7" spans="1:373" x14ac:dyDescent="0.3">
      <c r="A7" s="1" t="s">
        <v>6</v>
      </c>
      <c r="B7" s="2" t="s">
        <v>20</v>
      </c>
      <c r="C7" s="2" t="s">
        <v>27</v>
      </c>
      <c r="D7" s="2" t="s">
        <v>33</v>
      </c>
      <c r="E7" s="2" t="s">
        <v>27</v>
      </c>
      <c r="F7" s="2" t="s">
        <v>33</v>
      </c>
      <c r="G7" s="2" t="s">
        <v>27</v>
      </c>
      <c r="H7" s="2" t="s">
        <v>20</v>
      </c>
      <c r="I7" s="2" t="s">
        <v>27</v>
      </c>
      <c r="J7" s="2" t="s">
        <v>27</v>
      </c>
      <c r="K7" s="2" t="s">
        <v>27</v>
      </c>
      <c r="L7" s="2" t="s">
        <v>20</v>
      </c>
      <c r="M7" s="2" t="s">
        <v>27</v>
      </c>
      <c r="N7" s="2" t="s">
        <v>20</v>
      </c>
      <c r="O7" s="2" t="s">
        <v>33</v>
      </c>
      <c r="P7" s="2" t="s">
        <v>27</v>
      </c>
      <c r="Q7" s="2" t="s">
        <v>20</v>
      </c>
      <c r="R7" s="2" t="s">
        <v>20</v>
      </c>
      <c r="S7" s="2" t="s">
        <v>27</v>
      </c>
      <c r="T7" s="2" t="s">
        <v>33</v>
      </c>
      <c r="U7" s="2" t="s">
        <v>20</v>
      </c>
      <c r="V7" s="2" t="s">
        <v>27</v>
      </c>
      <c r="W7" s="2" t="s">
        <v>33</v>
      </c>
      <c r="X7" s="2" t="s">
        <v>20</v>
      </c>
      <c r="Y7" s="2" t="s">
        <v>20</v>
      </c>
      <c r="Z7" s="2" t="s">
        <v>33</v>
      </c>
      <c r="AA7" s="2" t="s">
        <v>33</v>
      </c>
      <c r="AB7" s="2" t="s">
        <v>27</v>
      </c>
      <c r="AC7" s="2" t="s">
        <v>27</v>
      </c>
      <c r="AD7" s="2" t="s">
        <v>20</v>
      </c>
      <c r="AE7" s="2" t="s">
        <v>33</v>
      </c>
      <c r="AF7" s="2" t="s">
        <v>33</v>
      </c>
      <c r="AG7" s="2" t="s">
        <v>33</v>
      </c>
      <c r="AH7" s="2" t="s">
        <v>20</v>
      </c>
      <c r="AI7" s="2" t="s">
        <v>33</v>
      </c>
      <c r="AJ7" s="2" t="s">
        <v>33</v>
      </c>
      <c r="AK7" s="2" t="s">
        <v>20</v>
      </c>
      <c r="AL7" s="2" t="s">
        <v>27</v>
      </c>
      <c r="AM7" s="2" t="s">
        <v>27</v>
      </c>
      <c r="AN7" s="2" t="s">
        <v>20</v>
      </c>
      <c r="AO7" s="2" t="s">
        <v>33</v>
      </c>
      <c r="AP7" s="2" t="s">
        <v>20</v>
      </c>
      <c r="AQ7" s="2" t="s">
        <v>27</v>
      </c>
      <c r="AR7" s="2" t="s">
        <v>27</v>
      </c>
      <c r="AS7" s="2" t="s">
        <v>20</v>
      </c>
      <c r="AT7" s="2" t="s">
        <v>20</v>
      </c>
      <c r="AU7" s="2" t="s">
        <v>27</v>
      </c>
      <c r="AV7" s="2" t="s">
        <v>20</v>
      </c>
      <c r="AW7" s="2" t="s">
        <v>27</v>
      </c>
      <c r="AX7" s="2" t="s">
        <v>20</v>
      </c>
      <c r="AY7" s="2" t="s">
        <v>20</v>
      </c>
      <c r="AZ7" s="2" t="s">
        <v>27</v>
      </c>
      <c r="BA7" s="2" t="s">
        <v>20</v>
      </c>
      <c r="BB7" s="2" t="s">
        <v>27</v>
      </c>
      <c r="BC7" s="2" t="s">
        <v>27</v>
      </c>
      <c r="BD7" s="2" t="s">
        <v>20</v>
      </c>
      <c r="BE7" s="2" t="s">
        <v>20</v>
      </c>
      <c r="BF7" s="2" t="s">
        <v>27</v>
      </c>
      <c r="BG7" s="2" t="s">
        <v>33</v>
      </c>
      <c r="BH7" s="2" t="s">
        <v>27</v>
      </c>
      <c r="BI7" s="2" t="s">
        <v>33</v>
      </c>
      <c r="BJ7" s="2" t="s">
        <v>33</v>
      </c>
      <c r="BK7" s="2" t="s">
        <v>20</v>
      </c>
      <c r="BL7" s="2" t="s">
        <v>20</v>
      </c>
      <c r="BM7" s="2" t="s">
        <v>27</v>
      </c>
      <c r="BN7" s="2" t="s">
        <v>33</v>
      </c>
      <c r="BO7" s="2" t="s">
        <v>20</v>
      </c>
      <c r="BP7" s="2" t="s">
        <v>20</v>
      </c>
      <c r="BQ7" s="2" t="s">
        <v>20</v>
      </c>
      <c r="BR7" s="2" t="s">
        <v>20</v>
      </c>
      <c r="BS7" s="2" t="s">
        <v>20</v>
      </c>
      <c r="BT7" s="2" t="s">
        <v>33</v>
      </c>
      <c r="BU7" s="2" t="s">
        <v>33</v>
      </c>
      <c r="BV7" s="2" t="s">
        <v>33</v>
      </c>
      <c r="BW7" s="2" t="s">
        <v>33</v>
      </c>
      <c r="BX7" s="2" t="s">
        <v>33</v>
      </c>
      <c r="BY7" s="2" t="s">
        <v>20</v>
      </c>
      <c r="BZ7" s="2" t="s">
        <v>33</v>
      </c>
      <c r="CA7" s="2" t="s">
        <v>27</v>
      </c>
      <c r="CB7" s="2" t="s">
        <v>20</v>
      </c>
      <c r="CC7" s="2" t="s">
        <v>33</v>
      </c>
      <c r="CD7" s="2" t="s">
        <v>33</v>
      </c>
      <c r="CE7" s="2" t="s">
        <v>33</v>
      </c>
      <c r="CF7" s="2" t="s">
        <v>20</v>
      </c>
      <c r="CG7" s="2" t="s">
        <v>20</v>
      </c>
      <c r="CH7" s="2" t="s">
        <v>20</v>
      </c>
      <c r="CI7" s="2" t="s">
        <v>33</v>
      </c>
      <c r="CJ7" s="2" t="s">
        <v>20</v>
      </c>
      <c r="CK7" s="2" t="s">
        <v>33</v>
      </c>
      <c r="CL7" s="2" t="s">
        <v>33</v>
      </c>
      <c r="CM7" s="2" t="s">
        <v>20</v>
      </c>
      <c r="CN7" s="2" t="s">
        <v>27</v>
      </c>
      <c r="CO7" s="2" t="s">
        <v>27</v>
      </c>
      <c r="CP7" s="2" t="s">
        <v>20</v>
      </c>
      <c r="CQ7" s="2" t="s">
        <v>27</v>
      </c>
      <c r="CR7" s="2" t="s">
        <v>33</v>
      </c>
      <c r="CS7" s="2" t="s">
        <v>33</v>
      </c>
      <c r="CT7" s="2" t="s">
        <v>20</v>
      </c>
      <c r="CU7" s="2" t="s">
        <v>27</v>
      </c>
      <c r="CV7" s="2" t="s">
        <v>33</v>
      </c>
      <c r="CW7" s="2" t="s">
        <v>20</v>
      </c>
      <c r="CX7" s="2" t="s">
        <v>27</v>
      </c>
      <c r="CY7" s="2" t="s">
        <v>27</v>
      </c>
      <c r="CZ7" s="2" t="s">
        <v>33</v>
      </c>
      <c r="DA7" s="2" t="s">
        <v>33</v>
      </c>
      <c r="DB7" s="2" t="s">
        <v>20</v>
      </c>
      <c r="DC7" s="2" t="s">
        <v>33</v>
      </c>
      <c r="DD7" s="2" t="s">
        <v>27</v>
      </c>
      <c r="DE7" s="2" t="s">
        <v>33</v>
      </c>
      <c r="DF7" s="2" t="s">
        <v>20</v>
      </c>
      <c r="DG7" s="2" t="s">
        <v>20</v>
      </c>
      <c r="DH7" s="2" t="s">
        <v>20</v>
      </c>
      <c r="DI7" s="2" t="s">
        <v>27</v>
      </c>
      <c r="DJ7" s="2" t="s">
        <v>27</v>
      </c>
      <c r="DK7" s="2" t="s">
        <v>27</v>
      </c>
      <c r="DL7" s="2" t="s">
        <v>27</v>
      </c>
      <c r="DM7" s="2" t="s">
        <v>27</v>
      </c>
      <c r="DN7" s="2" t="s">
        <v>33</v>
      </c>
      <c r="DO7" s="2" t="s">
        <v>27</v>
      </c>
      <c r="DP7" s="2" t="s">
        <v>27</v>
      </c>
      <c r="DQ7" s="2" t="s">
        <v>33</v>
      </c>
      <c r="DR7" s="2" t="s">
        <v>27</v>
      </c>
      <c r="DS7" s="2" t="s">
        <v>20</v>
      </c>
      <c r="DT7" s="2" t="s">
        <v>27</v>
      </c>
      <c r="DU7" s="2" t="s">
        <v>27</v>
      </c>
      <c r="DV7" s="2" t="s">
        <v>20</v>
      </c>
      <c r="DW7" s="2" t="s">
        <v>20</v>
      </c>
      <c r="DX7" s="2" t="s">
        <v>20</v>
      </c>
      <c r="DY7" s="2" t="s">
        <v>20</v>
      </c>
      <c r="DZ7" s="2" t="s">
        <v>20</v>
      </c>
      <c r="EA7" s="2" t="s">
        <v>33</v>
      </c>
      <c r="EB7" s="2" t="s">
        <v>20</v>
      </c>
      <c r="EC7" s="2" t="s">
        <v>20</v>
      </c>
      <c r="ED7" s="2" t="s">
        <v>33</v>
      </c>
      <c r="EE7" s="2" t="s">
        <v>33</v>
      </c>
      <c r="EF7" s="2" t="s">
        <v>27</v>
      </c>
      <c r="EG7" s="2" t="s">
        <v>33</v>
      </c>
      <c r="EH7" s="2" t="s">
        <v>27</v>
      </c>
      <c r="EI7" s="2" t="s">
        <v>33</v>
      </c>
      <c r="EJ7" s="2" t="s">
        <v>33</v>
      </c>
      <c r="EK7" s="2" t="s">
        <v>27</v>
      </c>
      <c r="EL7" s="2" t="s">
        <v>33</v>
      </c>
      <c r="EM7" s="2" t="s">
        <v>27</v>
      </c>
      <c r="EN7" s="2" t="s">
        <v>20</v>
      </c>
      <c r="EO7" s="2" t="s">
        <v>33</v>
      </c>
      <c r="EP7" s="2" t="s">
        <v>27</v>
      </c>
      <c r="EQ7" s="2" t="s">
        <v>33</v>
      </c>
      <c r="ER7" s="2" t="s">
        <v>27</v>
      </c>
      <c r="ES7" s="2" t="s">
        <v>27</v>
      </c>
      <c r="ET7" s="2" t="s">
        <v>20</v>
      </c>
      <c r="EU7" s="2" t="s">
        <v>20</v>
      </c>
      <c r="EV7" s="2" t="s">
        <v>27</v>
      </c>
      <c r="EW7" s="2" t="s">
        <v>33</v>
      </c>
      <c r="EX7" s="2" t="s">
        <v>27</v>
      </c>
      <c r="EY7" s="2" t="s">
        <v>27</v>
      </c>
      <c r="EZ7" s="2" t="s">
        <v>33</v>
      </c>
      <c r="FA7" s="2" t="s">
        <v>33</v>
      </c>
      <c r="FB7" s="2" t="s">
        <v>33</v>
      </c>
      <c r="FC7" s="2" t="s">
        <v>27</v>
      </c>
      <c r="FD7" s="2" t="s">
        <v>27</v>
      </c>
      <c r="FE7" s="2" t="s">
        <v>20</v>
      </c>
      <c r="FF7" s="2" t="s">
        <v>27</v>
      </c>
      <c r="FG7" s="2" t="s">
        <v>33</v>
      </c>
      <c r="FH7" s="2" t="s">
        <v>20</v>
      </c>
      <c r="FI7" s="2" t="s">
        <v>20</v>
      </c>
      <c r="FJ7" s="2" t="s">
        <v>33</v>
      </c>
      <c r="FK7" s="2" t="s">
        <v>20</v>
      </c>
      <c r="FL7" s="2" t="s">
        <v>20</v>
      </c>
      <c r="FM7" s="2" t="s">
        <v>33</v>
      </c>
      <c r="FN7" s="2" t="s">
        <v>20</v>
      </c>
      <c r="FO7" s="2" t="s">
        <v>20</v>
      </c>
      <c r="FP7" s="2" t="s">
        <v>33</v>
      </c>
      <c r="FQ7" s="2" t="s">
        <v>20</v>
      </c>
      <c r="FR7" s="2" t="s">
        <v>20</v>
      </c>
      <c r="FS7" s="2" t="s">
        <v>33</v>
      </c>
      <c r="FT7" s="2" t="s">
        <v>33</v>
      </c>
      <c r="FU7" s="2" t="s">
        <v>33</v>
      </c>
      <c r="FV7" s="2" t="s">
        <v>33</v>
      </c>
      <c r="FW7" s="2" t="s">
        <v>27</v>
      </c>
      <c r="FX7" s="2" t="s">
        <v>20</v>
      </c>
      <c r="FY7" s="2" t="s">
        <v>33</v>
      </c>
      <c r="FZ7" s="2" t="s">
        <v>20</v>
      </c>
      <c r="GA7" s="2" t="s">
        <v>20</v>
      </c>
      <c r="GB7" s="2" t="s">
        <v>27</v>
      </c>
      <c r="GC7" s="2" t="s">
        <v>33</v>
      </c>
      <c r="GD7" s="2" t="s">
        <v>33</v>
      </c>
      <c r="GE7" s="2" t="s">
        <v>20</v>
      </c>
      <c r="GF7" s="2" t="s">
        <v>27</v>
      </c>
      <c r="GG7" s="2" t="s">
        <v>27</v>
      </c>
      <c r="GH7" s="2" t="s">
        <v>20</v>
      </c>
      <c r="GI7" s="2" t="s">
        <v>33</v>
      </c>
      <c r="GJ7" s="2" t="s">
        <v>27</v>
      </c>
      <c r="GK7" s="2" t="s">
        <v>33</v>
      </c>
      <c r="GL7" s="2" t="s">
        <v>27</v>
      </c>
      <c r="GM7" s="2" t="s">
        <v>20</v>
      </c>
      <c r="GN7" s="2" t="s">
        <v>27</v>
      </c>
      <c r="GO7" s="2" t="s">
        <v>27</v>
      </c>
      <c r="GP7" s="2" t="s">
        <v>20</v>
      </c>
      <c r="GQ7" s="2" t="s">
        <v>27</v>
      </c>
      <c r="GR7" s="2" t="s">
        <v>27</v>
      </c>
      <c r="GS7" s="2" t="s">
        <v>20</v>
      </c>
      <c r="GT7" s="2" t="s">
        <v>20</v>
      </c>
      <c r="GU7" s="2" t="s">
        <v>33</v>
      </c>
      <c r="GV7" s="2" t="s">
        <v>20</v>
      </c>
      <c r="GW7" s="2" t="s">
        <v>20</v>
      </c>
      <c r="GX7" s="2" t="s">
        <v>33</v>
      </c>
      <c r="GY7" s="2" t="s">
        <v>20</v>
      </c>
      <c r="GZ7" s="2" t="s">
        <v>27</v>
      </c>
      <c r="HA7" s="2" t="s">
        <v>27</v>
      </c>
      <c r="HB7" s="2" t="s">
        <v>20</v>
      </c>
      <c r="HC7" s="2" t="s">
        <v>33</v>
      </c>
      <c r="HD7" s="2" t="s">
        <v>33</v>
      </c>
      <c r="HE7" s="2" t="s">
        <v>20</v>
      </c>
      <c r="HF7" s="2" t="s">
        <v>33</v>
      </c>
      <c r="HG7" s="2" t="s">
        <v>27</v>
      </c>
      <c r="HH7" s="2" t="s">
        <v>33</v>
      </c>
      <c r="HI7" s="2" t="s">
        <v>33</v>
      </c>
      <c r="HJ7" s="2" t="s">
        <v>20</v>
      </c>
      <c r="HK7" s="2" t="s">
        <v>20</v>
      </c>
      <c r="HL7" s="2" t="s">
        <v>27</v>
      </c>
      <c r="HM7" s="2" t="s">
        <v>27</v>
      </c>
      <c r="HN7" s="2" t="s">
        <v>20</v>
      </c>
      <c r="HO7" s="2" t="s">
        <v>27</v>
      </c>
      <c r="HP7" s="2" t="s">
        <v>20</v>
      </c>
      <c r="HQ7" s="2" t="s">
        <v>27</v>
      </c>
      <c r="HR7" s="2" t="s">
        <v>20</v>
      </c>
      <c r="HS7" s="2" t="s">
        <v>33</v>
      </c>
      <c r="HT7" s="2" t="s">
        <v>33</v>
      </c>
      <c r="HU7" s="2" t="s">
        <v>33</v>
      </c>
      <c r="HV7" s="2" t="s">
        <v>33</v>
      </c>
      <c r="HW7" s="2" t="s">
        <v>33</v>
      </c>
      <c r="HX7" s="2" t="s">
        <v>27</v>
      </c>
      <c r="HY7" s="2" t="s">
        <v>27</v>
      </c>
      <c r="HZ7" s="2" t="s">
        <v>33</v>
      </c>
      <c r="IA7" s="2" t="s">
        <v>33</v>
      </c>
      <c r="IB7" s="2" t="s">
        <v>27</v>
      </c>
      <c r="IC7" s="2" t="s">
        <v>27</v>
      </c>
      <c r="ID7" s="2" t="s">
        <v>33</v>
      </c>
      <c r="IE7" s="2" t="s">
        <v>27</v>
      </c>
      <c r="IF7" s="2" t="s">
        <v>33</v>
      </c>
      <c r="IG7" s="2" t="s">
        <v>20</v>
      </c>
      <c r="IH7" s="2" t="s">
        <v>27</v>
      </c>
      <c r="II7" s="2" t="s">
        <v>20</v>
      </c>
      <c r="IJ7" s="2" t="s">
        <v>33</v>
      </c>
      <c r="IK7" s="2" t="s">
        <v>27</v>
      </c>
      <c r="IL7" s="2" t="s">
        <v>27</v>
      </c>
      <c r="IM7" s="2" t="s">
        <v>27</v>
      </c>
      <c r="IN7" s="2" t="s">
        <v>20</v>
      </c>
      <c r="IO7" s="2" t="s">
        <v>27</v>
      </c>
      <c r="IP7" s="2" t="s">
        <v>20</v>
      </c>
      <c r="IQ7" s="2" t="s">
        <v>27</v>
      </c>
      <c r="IR7" s="2" t="s">
        <v>20</v>
      </c>
      <c r="IS7" s="2" t="s">
        <v>33</v>
      </c>
      <c r="IT7" s="2" t="s">
        <v>27</v>
      </c>
      <c r="IU7" s="2" t="s">
        <v>33</v>
      </c>
      <c r="IV7" s="2" t="s">
        <v>33</v>
      </c>
      <c r="IW7" s="2" t="s">
        <v>27</v>
      </c>
      <c r="IX7" s="2" t="s">
        <v>33</v>
      </c>
      <c r="IY7" s="2" t="s">
        <v>20</v>
      </c>
      <c r="IZ7" s="2" t="s">
        <v>27</v>
      </c>
      <c r="JA7" s="2" t="s">
        <v>27</v>
      </c>
      <c r="JB7" s="2" t="s">
        <v>33</v>
      </c>
      <c r="JC7" s="2" t="s">
        <v>27</v>
      </c>
      <c r="JD7" s="2" t="s">
        <v>33</v>
      </c>
      <c r="JE7" s="2" t="s">
        <v>20</v>
      </c>
      <c r="JF7" s="2" t="s">
        <v>33</v>
      </c>
      <c r="JG7" s="2" t="s">
        <v>33</v>
      </c>
      <c r="JH7" s="2" t="s">
        <v>27</v>
      </c>
      <c r="JI7" s="2" t="s">
        <v>33</v>
      </c>
      <c r="JJ7" s="2" t="s">
        <v>27</v>
      </c>
      <c r="JK7" s="2" t="s">
        <v>20</v>
      </c>
      <c r="JL7" s="2" t="s">
        <v>27</v>
      </c>
      <c r="JM7" s="2" t="s">
        <v>20</v>
      </c>
      <c r="JN7" s="2" t="s">
        <v>20</v>
      </c>
      <c r="JO7" s="2" t="s">
        <v>20</v>
      </c>
      <c r="JP7" s="2" t="s">
        <v>27</v>
      </c>
      <c r="JQ7" s="2" t="s">
        <v>33</v>
      </c>
      <c r="JR7" s="2" t="s">
        <v>20</v>
      </c>
      <c r="JS7" s="2" t="s">
        <v>20</v>
      </c>
      <c r="JT7" s="2" t="s">
        <v>20</v>
      </c>
      <c r="JU7" s="2" t="s">
        <v>20</v>
      </c>
      <c r="JV7" s="2" t="s">
        <v>33</v>
      </c>
      <c r="JW7" s="2" t="s">
        <v>33</v>
      </c>
      <c r="JX7" s="2" t="s">
        <v>27</v>
      </c>
      <c r="JY7" s="2" t="s">
        <v>20</v>
      </c>
      <c r="JZ7" s="2" t="s">
        <v>33</v>
      </c>
      <c r="KA7" s="2" t="s">
        <v>33</v>
      </c>
      <c r="KB7" s="2" t="s">
        <v>33</v>
      </c>
      <c r="KC7" s="2" t="s">
        <v>33</v>
      </c>
      <c r="KD7" s="2" t="s">
        <v>20</v>
      </c>
      <c r="KE7" s="2" t="s">
        <v>33</v>
      </c>
      <c r="KF7" s="2" t="s">
        <v>20</v>
      </c>
      <c r="KG7" s="2" t="s">
        <v>33</v>
      </c>
      <c r="KH7" s="2" t="s">
        <v>27</v>
      </c>
      <c r="KI7" s="2" t="s">
        <v>20</v>
      </c>
      <c r="KJ7" s="2" t="s">
        <v>27</v>
      </c>
      <c r="KK7" s="2" t="s">
        <v>33</v>
      </c>
      <c r="KL7" s="2" t="s">
        <v>20</v>
      </c>
      <c r="KM7" s="2" t="s">
        <v>33</v>
      </c>
      <c r="KN7" s="2" t="s">
        <v>20</v>
      </c>
      <c r="KO7" s="2" t="s">
        <v>27</v>
      </c>
      <c r="KP7" s="2" t="s">
        <v>27</v>
      </c>
      <c r="KQ7" s="2" t="s">
        <v>20</v>
      </c>
      <c r="KR7" s="2" t="s">
        <v>33</v>
      </c>
      <c r="KS7" s="2" t="s">
        <v>27</v>
      </c>
      <c r="KT7" s="2" t="s">
        <v>27</v>
      </c>
      <c r="KU7" s="2" t="s">
        <v>27</v>
      </c>
      <c r="KV7" s="2" t="s">
        <v>27</v>
      </c>
      <c r="KW7" s="2" t="s">
        <v>27</v>
      </c>
      <c r="KX7" s="2" t="s">
        <v>27</v>
      </c>
      <c r="KY7" s="2" t="s">
        <v>27</v>
      </c>
      <c r="KZ7" s="2" t="s">
        <v>33</v>
      </c>
      <c r="LA7" s="2" t="s">
        <v>27</v>
      </c>
      <c r="LB7" s="2" t="s">
        <v>27</v>
      </c>
      <c r="LC7" s="2" t="s">
        <v>27</v>
      </c>
      <c r="LD7" s="2" t="s">
        <v>20</v>
      </c>
      <c r="LE7" s="2" t="s">
        <v>27</v>
      </c>
      <c r="LF7" s="2" t="s">
        <v>33</v>
      </c>
      <c r="LG7" s="2" t="s">
        <v>20</v>
      </c>
      <c r="LH7" s="2" t="s">
        <v>27</v>
      </c>
      <c r="LI7" s="2" t="s">
        <v>27</v>
      </c>
      <c r="LJ7" s="2" t="s">
        <v>27</v>
      </c>
      <c r="LK7" s="2" t="s">
        <v>33</v>
      </c>
      <c r="LL7" s="2" t="s">
        <v>27</v>
      </c>
      <c r="LM7" s="2" t="s">
        <v>27</v>
      </c>
      <c r="LN7" s="2" t="s">
        <v>33</v>
      </c>
      <c r="LO7" s="2" t="s">
        <v>27</v>
      </c>
      <c r="LP7" s="2" t="s">
        <v>33</v>
      </c>
      <c r="LQ7" s="2" t="s">
        <v>20</v>
      </c>
      <c r="LR7" s="2" t="s">
        <v>27</v>
      </c>
      <c r="LS7" s="2" t="s">
        <v>20</v>
      </c>
      <c r="LT7" s="2" t="s">
        <v>27</v>
      </c>
      <c r="LU7" s="2" t="s">
        <v>27</v>
      </c>
      <c r="LV7" s="2" t="s">
        <v>33</v>
      </c>
      <c r="LW7" s="2" t="s">
        <v>27</v>
      </c>
      <c r="LX7" s="2" t="s">
        <v>27</v>
      </c>
      <c r="LY7" s="2" t="s">
        <v>33</v>
      </c>
      <c r="LZ7" s="2" t="s">
        <v>33</v>
      </c>
      <c r="MA7" s="2" t="s">
        <v>27</v>
      </c>
      <c r="MB7" s="2" t="s">
        <v>20</v>
      </c>
      <c r="MC7" s="2" t="s">
        <v>20</v>
      </c>
      <c r="MD7" s="2" t="s">
        <v>27</v>
      </c>
      <c r="ME7" s="2" t="s">
        <v>33</v>
      </c>
      <c r="MF7" s="2" t="s">
        <v>20</v>
      </c>
      <c r="MG7" s="2" t="s">
        <v>33</v>
      </c>
      <c r="MH7" s="2" t="s">
        <v>27</v>
      </c>
      <c r="MI7" s="2" t="s">
        <v>20</v>
      </c>
      <c r="MJ7" s="2" t="s">
        <v>20</v>
      </c>
      <c r="MK7" s="2" t="s">
        <v>27</v>
      </c>
      <c r="ML7" s="2" t="s">
        <v>27</v>
      </c>
      <c r="MM7" s="2" t="s">
        <v>27</v>
      </c>
      <c r="MN7" s="2" t="s">
        <v>33</v>
      </c>
      <c r="MO7" s="2" t="s">
        <v>33</v>
      </c>
      <c r="MP7" s="2" t="s">
        <v>33</v>
      </c>
      <c r="MQ7" s="2" t="s">
        <v>20</v>
      </c>
      <c r="MR7" s="2" t="s">
        <v>33</v>
      </c>
      <c r="MS7" s="2" t="s">
        <v>33</v>
      </c>
      <c r="MT7" s="2" t="s">
        <v>20</v>
      </c>
      <c r="MU7" s="2" t="s">
        <v>20</v>
      </c>
      <c r="MV7" s="2" t="s">
        <v>27</v>
      </c>
      <c r="MW7" s="2" t="s">
        <v>20</v>
      </c>
      <c r="MX7" s="2" t="s">
        <v>27</v>
      </c>
      <c r="MY7" s="2" t="s">
        <v>33</v>
      </c>
      <c r="MZ7" s="2" t="s">
        <v>27</v>
      </c>
      <c r="NA7" s="2" t="s">
        <v>20</v>
      </c>
      <c r="NB7" s="2" t="s">
        <v>20</v>
      </c>
      <c r="NC7" s="2" t="s">
        <v>27</v>
      </c>
      <c r="ND7" s="2" t="s">
        <v>20</v>
      </c>
      <c r="NE7" s="2" t="s">
        <v>33</v>
      </c>
      <c r="NF7" s="2" t="s">
        <v>20</v>
      </c>
      <c r="NG7" s="2" t="s">
        <v>27</v>
      </c>
      <c r="NH7" s="2" t="s">
        <v>33</v>
      </c>
      <c r="NI7" s="2" t="s">
        <v>33</v>
      </c>
    </row>
    <row r="8" spans="1:373" x14ac:dyDescent="0.3">
      <c r="A8" s="1" t="s">
        <v>7</v>
      </c>
      <c r="B8" s="2" t="s">
        <v>21</v>
      </c>
      <c r="C8" s="2" t="s">
        <v>28</v>
      </c>
      <c r="D8" s="2" t="s">
        <v>28</v>
      </c>
      <c r="E8" s="2" t="s">
        <v>38</v>
      </c>
      <c r="F8" s="2" t="s">
        <v>21</v>
      </c>
      <c r="G8" s="2" t="s">
        <v>45</v>
      </c>
      <c r="H8" s="2" t="s">
        <v>47</v>
      </c>
      <c r="I8" s="2" t="s">
        <v>21</v>
      </c>
      <c r="J8" s="2" t="s">
        <v>28</v>
      </c>
      <c r="K8" s="2" t="s">
        <v>38</v>
      </c>
      <c r="L8" s="2" t="s">
        <v>38</v>
      </c>
      <c r="M8" s="2" t="s">
        <v>47</v>
      </c>
      <c r="N8" s="2" t="s">
        <v>38</v>
      </c>
      <c r="O8" s="2" t="s">
        <v>38</v>
      </c>
      <c r="P8" s="2" t="s">
        <v>21</v>
      </c>
      <c r="Q8" s="2" t="s">
        <v>45</v>
      </c>
      <c r="R8" s="2" t="s">
        <v>47</v>
      </c>
      <c r="S8" s="2" t="s">
        <v>21</v>
      </c>
      <c r="T8" s="2" t="s">
        <v>45</v>
      </c>
      <c r="U8" s="2" t="s">
        <v>21</v>
      </c>
      <c r="V8" s="2" t="s">
        <v>21</v>
      </c>
      <c r="W8" s="2" t="s">
        <v>38</v>
      </c>
      <c r="X8" s="2" t="s">
        <v>45</v>
      </c>
      <c r="Y8" s="2" t="s">
        <v>47</v>
      </c>
      <c r="Z8" s="2" t="s">
        <v>47</v>
      </c>
      <c r="AA8" s="2" t="s">
        <v>45</v>
      </c>
      <c r="AB8" s="2" t="s">
        <v>38</v>
      </c>
      <c r="AC8" s="2" t="s">
        <v>28</v>
      </c>
      <c r="AD8" s="2" t="s">
        <v>21</v>
      </c>
      <c r="AE8" s="2" t="s">
        <v>38</v>
      </c>
      <c r="AF8" s="2" t="s">
        <v>45</v>
      </c>
      <c r="AG8" s="2" t="s">
        <v>21</v>
      </c>
      <c r="AH8" s="2" t="s">
        <v>47</v>
      </c>
      <c r="AI8" s="2" t="s">
        <v>28</v>
      </c>
      <c r="AJ8" s="2" t="s">
        <v>47</v>
      </c>
      <c r="AK8" s="2" t="s">
        <v>45</v>
      </c>
      <c r="AL8" s="2" t="s">
        <v>21</v>
      </c>
      <c r="AM8" s="2" t="s">
        <v>45</v>
      </c>
      <c r="AN8" s="2" t="s">
        <v>21</v>
      </c>
      <c r="AO8" s="2" t="s">
        <v>38</v>
      </c>
      <c r="AP8" s="2" t="s">
        <v>28</v>
      </c>
      <c r="AQ8" s="2" t="s">
        <v>38</v>
      </c>
      <c r="AR8" s="2" t="s">
        <v>38</v>
      </c>
      <c r="AS8" s="2" t="s">
        <v>45</v>
      </c>
      <c r="AT8" s="2" t="s">
        <v>28</v>
      </c>
      <c r="AU8" s="2" t="s">
        <v>21</v>
      </c>
      <c r="AV8" s="2" t="s">
        <v>21</v>
      </c>
      <c r="AW8" s="2" t="s">
        <v>47</v>
      </c>
      <c r="AX8" s="2" t="s">
        <v>21</v>
      </c>
      <c r="AY8" s="2" t="s">
        <v>45</v>
      </c>
      <c r="AZ8" s="2" t="s">
        <v>38</v>
      </c>
      <c r="BA8" s="2" t="s">
        <v>38</v>
      </c>
      <c r="BB8" s="2" t="s">
        <v>28</v>
      </c>
      <c r="BC8" s="2" t="s">
        <v>21</v>
      </c>
      <c r="BD8" s="2" t="s">
        <v>45</v>
      </c>
      <c r="BE8" s="2" t="s">
        <v>28</v>
      </c>
      <c r="BF8" s="2" t="s">
        <v>45</v>
      </c>
      <c r="BG8" s="2" t="s">
        <v>45</v>
      </c>
      <c r="BH8" s="2" t="s">
        <v>45</v>
      </c>
      <c r="BI8" s="2" t="s">
        <v>45</v>
      </c>
      <c r="BJ8" s="2" t="s">
        <v>21</v>
      </c>
      <c r="BK8" s="2" t="s">
        <v>45</v>
      </c>
      <c r="BL8" s="2" t="s">
        <v>38</v>
      </c>
      <c r="BM8" s="2" t="s">
        <v>45</v>
      </c>
      <c r="BN8" s="2" t="s">
        <v>47</v>
      </c>
      <c r="BO8" s="2" t="s">
        <v>47</v>
      </c>
      <c r="BP8" s="2" t="s">
        <v>38</v>
      </c>
      <c r="BQ8" s="2" t="s">
        <v>21</v>
      </c>
      <c r="BR8" s="2" t="s">
        <v>21</v>
      </c>
      <c r="BS8" s="2" t="s">
        <v>28</v>
      </c>
      <c r="BT8" s="2" t="s">
        <v>38</v>
      </c>
      <c r="BU8" s="2" t="s">
        <v>45</v>
      </c>
      <c r="BV8" s="2" t="s">
        <v>38</v>
      </c>
      <c r="BW8" s="2" t="s">
        <v>28</v>
      </c>
      <c r="BX8" s="2" t="s">
        <v>38</v>
      </c>
      <c r="BY8" s="2" t="s">
        <v>28</v>
      </c>
      <c r="BZ8" s="2" t="s">
        <v>21</v>
      </c>
      <c r="CA8" s="2" t="s">
        <v>45</v>
      </c>
      <c r="CB8" s="2" t="s">
        <v>28</v>
      </c>
      <c r="CC8" s="2" t="s">
        <v>47</v>
      </c>
      <c r="CD8" s="2" t="s">
        <v>21</v>
      </c>
      <c r="CE8" s="2" t="s">
        <v>47</v>
      </c>
      <c r="CF8" s="2" t="s">
        <v>21</v>
      </c>
      <c r="CG8" s="2" t="s">
        <v>45</v>
      </c>
      <c r="CH8" s="2" t="s">
        <v>47</v>
      </c>
      <c r="CI8" s="2" t="s">
        <v>21</v>
      </c>
      <c r="CJ8" s="2" t="s">
        <v>45</v>
      </c>
      <c r="CK8" s="2" t="s">
        <v>28</v>
      </c>
      <c r="CL8" s="2" t="s">
        <v>45</v>
      </c>
      <c r="CM8" s="2" t="s">
        <v>28</v>
      </c>
      <c r="CN8" s="2" t="s">
        <v>21</v>
      </c>
      <c r="CO8" s="2" t="s">
        <v>45</v>
      </c>
      <c r="CP8" s="2" t="s">
        <v>45</v>
      </c>
      <c r="CQ8" s="2" t="s">
        <v>21</v>
      </c>
      <c r="CR8" s="2" t="s">
        <v>45</v>
      </c>
      <c r="CS8" s="2" t="s">
        <v>28</v>
      </c>
      <c r="CT8" s="2" t="s">
        <v>45</v>
      </c>
      <c r="CU8" s="2" t="s">
        <v>38</v>
      </c>
      <c r="CV8" s="2" t="s">
        <v>28</v>
      </c>
      <c r="CW8" s="2" t="s">
        <v>47</v>
      </c>
      <c r="CX8" s="2" t="s">
        <v>21</v>
      </c>
      <c r="CY8" s="2" t="s">
        <v>38</v>
      </c>
      <c r="CZ8" s="2" t="s">
        <v>38</v>
      </c>
      <c r="DA8" s="2" t="s">
        <v>21</v>
      </c>
      <c r="DB8" s="2" t="s">
        <v>21</v>
      </c>
      <c r="DC8" s="2" t="s">
        <v>28</v>
      </c>
      <c r="DD8" s="2" t="s">
        <v>45</v>
      </c>
      <c r="DE8" s="2" t="s">
        <v>21</v>
      </c>
      <c r="DF8" s="2" t="s">
        <v>45</v>
      </c>
      <c r="DG8" s="2" t="s">
        <v>47</v>
      </c>
      <c r="DH8" s="2" t="s">
        <v>38</v>
      </c>
      <c r="DI8" s="2" t="s">
        <v>45</v>
      </c>
      <c r="DJ8" s="2" t="s">
        <v>38</v>
      </c>
      <c r="DK8" s="2" t="s">
        <v>45</v>
      </c>
      <c r="DL8" s="2" t="s">
        <v>47</v>
      </c>
      <c r="DM8" s="2" t="s">
        <v>21</v>
      </c>
      <c r="DN8" s="2" t="s">
        <v>47</v>
      </c>
      <c r="DO8" s="2" t="s">
        <v>21</v>
      </c>
      <c r="DP8" s="2" t="s">
        <v>21</v>
      </c>
      <c r="DQ8" s="2" t="s">
        <v>38</v>
      </c>
      <c r="DR8" s="2" t="s">
        <v>47</v>
      </c>
      <c r="DS8" s="2" t="s">
        <v>45</v>
      </c>
      <c r="DT8" s="2" t="s">
        <v>47</v>
      </c>
      <c r="DU8" s="2" t="s">
        <v>38</v>
      </c>
      <c r="DV8" s="2" t="s">
        <v>21</v>
      </c>
      <c r="DW8" s="2" t="s">
        <v>28</v>
      </c>
      <c r="DX8" s="2" t="s">
        <v>28</v>
      </c>
      <c r="DY8" s="2" t="s">
        <v>38</v>
      </c>
      <c r="DZ8" s="2" t="s">
        <v>45</v>
      </c>
      <c r="EA8" s="2" t="s">
        <v>45</v>
      </c>
      <c r="EB8" s="2" t="s">
        <v>28</v>
      </c>
      <c r="EC8" s="2" t="s">
        <v>45</v>
      </c>
      <c r="ED8" s="2" t="s">
        <v>28</v>
      </c>
      <c r="EE8" s="2" t="s">
        <v>21</v>
      </c>
      <c r="EF8" s="2" t="s">
        <v>38</v>
      </c>
      <c r="EG8" s="2" t="s">
        <v>45</v>
      </c>
      <c r="EH8" s="2" t="s">
        <v>28</v>
      </c>
      <c r="EI8" s="2" t="s">
        <v>47</v>
      </c>
      <c r="EJ8" s="2" t="s">
        <v>45</v>
      </c>
      <c r="EK8" s="2" t="s">
        <v>21</v>
      </c>
      <c r="EL8" s="2" t="s">
        <v>21</v>
      </c>
      <c r="EM8" s="2" t="s">
        <v>47</v>
      </c>
      <c r="EN8" s="2" t="s">
        <v>45</v>
      </c>
      <c r="EO8" s="2" t="s">
        <v>28</v>
      </c>
      <c r="EP8" s="2" t="s">
        <v>21</v>
      </c>
      <c r="EQ8" s="2" t="s">
        <v>28</v>
      </c>
      <c r="ER8" s="2" t="s">
        <v>21</v>
      </c>
      <c r="ES8" s="2" t="s">
        <v>28</v>
      </c>
      <c r="ET8" s="2" t="s">
        <v>47</v>
      </c>
      <c r="EU8" s="2" t="s">
        <v>38</v>
      </c>
      <c r="EV8" s="2" t="s">
        <v>47</v>
      </c>
      <c r="EW8" s="2" t="s">
        <v>47</v>
      </c>
      <c r="EX8" s="2" t="s">
        <v>38</v>
      </c>
      <c r="EY8" s="2" t="s">
        <v>38</v>
      </c>
      <c r="EZ8" s="2" t="s">
        <v>45</v>
      </c>
      <c r="FA8" s="2" t="s">
        <v>45</v>
      </c>
      <c r="FB8" s="2" t="s">
        <v>47</v>
      </c>
      <c r="FC8" s="2" t="s">
        <v>21</v>
      </c>
      <c r="FD8" s="2" t="s">
        <v>21</v>
      </c>
      <c r="FE8" s="2" t="s">
        <v>45</v>
      </c>
      <c r="FF8" s="2" t="s">
        <v>45</v>
      </c>
      <c r="FG8" s="2" t="s">
        <v>21</v>
      </c>
      <c r="FH8" s="2" t="s">
        <v>21</v>
      </c>
      <c r="FI8" s="2" t="s">
        <v>21</v>
      </c>
      <c r="FJ8" s="2" t="s">
        <v>28</v>
      </c>
      <c r="FK8" s="2" t="s">
        <v>38</v>
      </c>
      <c r="FL8" s="2" t="s">
        <v>45</v>
      </c>
      <c r="FM8" s="2" t="s">
        <v>21</v>
      </c>
      <c r="FN8" s="2" t="s">
        <v>47</v>
      </c>
      <c r="FO8" s="2" t="s">
        <v>21</v>
      </c>
      <c r="FP8" s="2" t="s">
        <v>28</v>
      </c>
      <c r="FQ8" s="2" t="s">
        <v>47</v>
      </c>
      <c r="FR8" s="2" t="s">
        <v>28</v>
      </c>
      <c r="FS8" s="2" t="s">
        <v>28</v>
      </c>
      <c r="FT8" s="2" t="s">
        <v>38</v>
      </c>
      <c r="FU8" s="2" t="s">
        <v>38</v>
      </c>
      <c r="FV8" s="2" t="s">
        <v>28</v>
      </c>
      <c r="FW8" s="2" t="s">
        <v>28</v>
      </c>
      <c r="FX8" s="2" t="s">
        <v>38</v>
      </c>
      <c r="FY8" s="2" t="s">
        <v>47</v>
      </c>
      <c r="FZ8" s="2" t="s">
        <v>38</v>
      </c>
      <c r="GA8" s="2" t="s">
        <v>45</v>
      </c>
      <c r="GB8" s="2" t="s">
        <v>38</v>
      </c>
      <c r="GC8" s="2" t="s">
        <v>47</v>
      </c>
      <c r="GD8" s="2" t="s">
        <v>45</v>
      </c>
      <c r="GE8" s="2" t="s">
        <v>21</v>
      </c>
      <c r="GF8" s="2" t="s">
        <v>47</v>
      </c>
      <c r="GG8" s="2" t="s">
        <v>45</v>
      </c>
      <c r="GH8" s="2" t="s">
        <v>45</v>
      </c>
      <c r="GI8" s="2" t="s">
        <v>21</v>
      </c>
      <c r="GJ8" s="2" t="s">
        <v>45</v>
      </c>
      <c r="GK8" s="2" t="s">
        <v>47</v>
      </c>
      <c r="GL8" s="2" t="s">
        <v>47</v>
      </c>
      <c r="GM8" s="2" t="s">
        <v>28</v>
      </c>
      <c r="GN8" s="2" t="s">
        <v>21</v>
      </c>
      <c r="GO8" s="2" t="s">
        <v>45</v>
      </c>
      <c r="GP8" s="2" t="s">
        <v>47</v>
      </c>
      <c r="GQ8" s="2" t="s">
        <v>21</v>
      </c>
      <c r="GR8" s="2" t="s">
        <v>47</v>
      </c>
      <c r="GS8" s="2" t="s">
        <v>28</v>
      </c>
      <c r="GT8" s="2" t="s">
        <v>45</v>
      </c>
      <c r="GU8" s="2" t="s">
        <v>47</v>
      </c>
      <c r="GV8" s="2" t="s">
        <v>21</v>
      </c>
      <c r="GW8" s="2" t="s">
        <v>47</v>
      </c>
      <c r="GX8" s="2" t="s">
        <v>47</v>
      </c>
      <c r="GY8" s="2" t="s">
        <v>38</v>
      </c>
      <c r="GZ8" s="2" t="s">
        <v>38</v>
      </c>
      <c r="HA8" s="2" t="s">
        <v>28</v>
      </c>
      <c r="HB8" s="2" t="s">
        <v>45</v>
      </c>
      <c r="HC8" s="2" t="s">
        <v>21</v>
      </c>
      <c r="HD8" s="2" t="s">
        <v>21</v>
      </c>
      <c r="HE8" s="2" t="s">
        <v>47</v>
      </c>
      <c r="HF8" s="2" t="s">
        <v>45</v>
      </c>
      <c r="HG8" s="2" t="s">
        <v>28</v>
      </c>
      <c r="HH8" s="2" t="s">
        <v>38</v>
      </c>
      <c r="HI8" s="2" t="s">
        <v>45</v>
      </c>
      <c r="HJ8" s="2" t="s">
        <v>21</v>
      </c>
      <c r="HK8" s="2" t="s">
        <v>28</v>
      </c>
      <c r="HL8" s="2" t="s">
        <v>45</v>
      </c>
      <c r="HM8" s="2" t="s">
        <v>38</v>
      </c>
      <c r="HN8" s="2" t="s">
        <v>45</v>
      </c>
      <c r="HO8" s="2" t="s">
        <v>47</v>
      </c>
      <c r="HP8" s="2" t="s">
        <v>45</v>
      </c>
      <c r="HQ8" s="2" t="s">
        <v>28</v>
      </c>
      <c r="HR8" s="2" t="s">
        <v>47</v>
      </c>
      <c r="HS8" s="2" t="s">
        <v>38</v>
      </c>
      <c r="HT8" s="2" t="s">
        <v>47</v>
      </c>
      <c r="HU8" s="2" t="s">
        <v>38</v>
      </c>
      <c r="HV8" s="2" t="s">
        <v>47</v>
      </c>
      <c r="HW8" s="2" t="s">
        <v>45</v>
      </c>
      <c r="HX8" s="2" t="s">
        <v>38</v>
      </c>
      <c r="HY8" s="2" t="s">
        <v>38</v>
      </c>
      <c r="HZ8" s="2" t="s">
        <v>28</v>
      </c>
      <c r="IA8" s="2" t="s">
        <v>21</v>
      </c>
      <c r="IB8" s="2" t="s">
        <v>47</v>
      </c>
      <c r="IC8" s="2" t="s">
        <v>28</v>
      </c>
      <c r="ID8" s="2" t="s">
        <v>21</v>
      </c>
      <c r="IE8" s="2" t="s">
        <v>21</v>
      </c>
      <c r="IF8" s="2" t="s">
        <v>47</v>
      </c>
      <c r="IG8" s="2" t="s">
        <v>47</v>
      </c>
      <c r="IH8" s="2" t="s">
        <v>21</v>
      </c>
      <c r="II8" s="2" t="s">
        <v>28</v>
      </c>
      <c r="IJ8" s="2" t="s">
        <v>21</v>
      </c>
      <c r="IK8" s="2" t="s">
        <v>28</v>
      </c>
      <c r="IL8" s="2" t="s">
        <v>38</v>
      </c>
      <c r="IM8" s="2" t="s">
        <v>45</v>
      </c>
      <c r="IN8" s="2" t="s">
        <v>38</v>
      </c>
      <c r="IO8" s="2" t="s">
        <v>21</v>
      </c>
      <c r="IP8" s="2" t="s">
        <v>28</v>
      </c>
      <c r="IQ8" s="2" t="s">
        <v>28</v>
      </c>
      <c r="IR8" s="2" t="s">
        <v>38</v>
      </c>
      <c r="IS8" s="2" t="s">
        <v>45</v>
      </c>
      <c r="IT8" s="2" t="s">
        <v>45</v>
      </c>
      <c r="IU8" s="2" t="s">
        <v>28</v>
      </c>
      <c r="IV8" s="2" t="s">
        <v>47</v>
      </c>
      <c r="IW8" s="2" t="s">
        <v>21</v>
      </c>
      <c r="IX8" s="2" t="s">
        <v>21</v>
      </c>
      <c r="IY8" s="2" t="s">
        <v>38</v>
      </c>
      <c r="IZ8" s="2" t="s">
        <v>28</v>
      </c>
      <c r="JA8" s="2" t="s">
        <v>21</v>
      </c>
      <c r="JB8" s="2" t="s">
        <v>21</v>
      </c>
      <c r="JC8" s="2" t="s">
        <v>28</v>
      </c>
      <c r="JD8" s="2" t="s">
        <v>38</v>
      </c>
      <c r="JE8" s="2" t="s">
        <v>38</v>
      </c>
      <c r="JF8" s="2" t="s">
        <v>45</v>
      </c>
      <c r="JG8" s="2" t="s">
        <v>38</v>
      </c>
      <c r="JH8" s="2" t="s">
        <v>47</v>
      </c>
      <c r="JI8" s="2" t="s">
        <v>38</v>
      </c>
      <c r="JJ8" s="2" t="s">
        <v>47</v>
      </c>
      <c r="JK8" s="2" t="s">
        <v>45</v>
      </c>
      <c r="JL8" s="2" t="s">
        <v>28</v>
      </c>
      <c r="JM8" s="2" t="s">
        <v>47</v>
      </c>
      <c r="JN8" s="2" t="s">
        <v>47</v>
      </c>
      <c r="JO8" s="2" t="s">
        <v>45</v>
      </c>
      <c r="JP8" s="2" t="s">
        <v>45</v>
      </c>
      <c r="JQ8" s="2" t="s">
        <v>45</v>
      </c>
      <c r="JR8" s="2" t="s">
        <v>28</v>
      </c>
      <c r="JS8" s="2" t="s">
        <v>38</v>
      </c>
      <c r="JT8" s="2" t="s">
        <v>38</v>
      </c>
      <c r="JU8" s="2" t="s">
        <v>21</v>
      </c>
      <c r="JV8" s="2" t="s">
        <v>47</v>
      </c>
      <c r="JW8" s="2" t="s">
        <v>45</v>
      </c>
      <c r="JX8" s="2" t="s">
        <v>47</v>
      </c>
      <c r="JY8" s="2" t="s">
        <v>47</v>
      </c>
      <c r="JZ8" s="2" t="s">
        <v>38</v>
      </c>
      <c r="KA8" s="2" t="s">
        <v>21</v>
      </c>
      <c r="KB8" s="2" t="s">
        <v>38</v>
      </c>
      <c r="KC8" s="2" t="s">
        <v>45</v>
      </c>
      <c r="KD8" s="2" t="s">
        <v>28</v>
      </c>
      <c r="KE8" s="2" t="s">
        <v>38</v>
      </c>
      <c r="KF8" s="2" t="s">
        <v>28</v>
      </c>
      <c r="KG8" s="2" t="s">
        <v>45</v>
      </c>
      <c r="KH8" s="2" t="s">
        <v>47</v>
      </c>
      <c r="KI8" s="2" t="s">
        <v>38</v>
      </c>
      <c r="KJ8" s="2" t="s">
        <v>45</v>
      </c>
      <c r="KK8" s="2" t="s">
        <v>38</v>
      </c>
      <c r="KL8" s="2" t="s">
        <v>38</v>
      </c>
      <c r="KM8" s="2" t="s">
        <v>21</v>
      </c>
      <c r="KN8" s="2" t="s">
        <v>21</v>
      </c>
      <c r="KO8" s="2" t="s">
        <v>38</v>
      </c>
      <c r="KP8" s="2" t="s">
        <v>21</v>
      </c>
      <c r="KQ8" s="2" t="s">
        <v>45</v>
      </c>
      <c r="KR8" s="2" t="s">
        <v>21</v>
      </c>
      <c r="KS8" s="2" t="s">
        <v>38</v>
      </c>
      <c r="KT8" s="2" t="s">
        <v>47</v>
      </c>
      <c r="KU8" s="2" t="s">
        <v>45</v>
      </c>
      <c r="KV8" s="2" t="s">
        <v>45</v>
      </c>
      <c r="KW8" s="2" t="s">
        <v>45</v>
      </c>
      <c r="KX8" s="2" t="s">
        <v>47</v>
      </c>
      <c r="KY8" s="2" t="s">
        <v>45</v>
      </c>
      <c r="KZ8" s="2" t="s">
        <v>21</v>
      </c>
      <c r="LA8" s="2" t="s">
        <v>38</v>
      </c>
      <c r="LB8" s="2" t="s">
        <v>28</v>
      </c>
      <c r="LC8" s="2" t="s">
        <v>38</v>
      </c>
      <c r="LD8" s="2" t="s">
        <v>21</v>
      </c>
      <c r="LE8" s="2" t="s">
        <v>47</v>
      </c>
      <c r="LF8" s="2" t="s">
        <v>47</v>
      </c>
      <c r="LG8" s="2" t="s">
        <v>47</v>
      </c>
      <c r="LH8" s="2" t="s">
        <v>45</v>
      </c>
      <c r="LI8" s="2" t="s">
        <v>47</v>
      </c>
      <c r="LJ8" s="2" t="s">
        <v>28</v>
      </c>
      <c r="LK8" s="2" t="s">
        <v>47</v>
      </c>
      <c r="LL8" s="2" t="s">
        <v>28</v>
      </c>
      <c r="LM8" s="2" t="s">
        <v>21</v>
      </c>
      <c r="LN8" s="2" t="s">
        <v>28</v>
      </c>
      <c r="LO8" s="2" t="s">
        <v>21</v>
      </c>
      <c r="LP8" s="2" t="s">
        <v>45</v>
      </c>
      <c r="LQ8" s="2" t="s">
        <v>47</v>
      </c>
      <c r="LR8" s="2" t="s">
        <v>38</v>
      </c>
      <c r="LS8" s="2" t="s">
        <v>21</v>
      </c>
      <c r="LT8" s="2" t="s">
        <v>47</v>
      </c>
      <c r="LU8" s="2" t="s">
        <v>28</v>
      </c>
      <c r="LV8" s="2" t="s">
        <v>38</v>
      </c>
      <c r="LW8" s="2" t="s">
        <v>28</v>
      </c>
      <c r="LX8" s="2" t="s">
        <v>47</v>
      </c>
      <c r="LY8" s="2" t="s">
        <v>21</v>
      </c>
      <c r="LZ8" s="2" t="s">
        <v>21</v>
      </c>
      <c r="MA8" s="2" t="s">
        <v>38</v>
      </c>
      <c r="MB8" s="2" t="s">
        <v>45</v>
      </c>
      <c r="MC8" s="2" t="s">
        <v>45</v>
      </c>
      <c r="MD8" s="2" t="s">
        <v>38</v>
      </c>
      <c r="ME8" s="2" t="s">
        <v>21</v>
      </c>
      <c r="MF8" s="2" t="s">
        <v>38</v>
      </c>
      <c r="MG8" s="2" t="s">
        <v>21</v>
      </c>
      <c r="MH8" s="2" t="s">
        <v>45</v>
      </c>
      <c r="MI8" s="2" t="s">
        <v>28</v>
      </c>
      <c r="MJ8" s="2" t="s">
        <v>21</v>
      </c>
      <c r="MK8" s="2" t="s">
        <v>47</v>
      </c>
      <c r="ML8" s="2" t="s">
        <v>28</v>
      </c>
      <c r="MM8" s="2" t="s">
        <v>38</v>
      </c>
      <c r="MN8" s="2" t="s">
        <v>45</v>
      </c>
      <c r="MO8" s="2" t="s">
        <v>47</v>
      </c>
      <c r="MP8" s="2" t="s">
        <v>38</v>
      </c>
      <c r="MQ8" s="2" t="s">
        <v>21</v>
      </c>
      <c r="MR8" s="2" t="s">
        <v>21</v>
      </c>
      <c r="MS8" s="2" t="s">
        <v>38</v>
      </c>
      <c r="MT8" s="2" t="s">
        <v>47</v>
      </c>
      <c r="MU8" s="2" t="s">
        <v>47</v>
      </c>
      <c r="MV8" s="2" t="s">
        <v>28</v>
      </c>
      <c r="MW8" s="2" t="s">
        <v>45</v>
      </c>
      <c r="MX8" s="2" t="s">
        <v>45</v>
      </c>
      <c r="MY8" s="2" t="s">
        <v>28</v>
      </c>
      <c r="MZ8" s="2" t="s">
        <v>21</v>
      </c>
      <c r="NA8" s="2" t="s">
        <v>38</v>
      </c>
      <c r="NB8" s="2" t="s">
        <v>47</v>
      </c>
      <c r="NC8" s="2" t="s">
        <v>47</v>
      </c>
      <c r="ND8" s="2" t="s">
        <v>47</v>
      </c>
      <c r="NE8" s="2" t="s">
        <v>28</v>
      </c>
      <c r="NF8" s="2" t="s">
        <v>45</v>
      </c>
      <c r="NG8" s="2" t="s">
        <v>45</v>
      </c>
      <c r="NH8" s="2" t="s">
        <v>21</v>
      </c>
      <c r="NI8" s="2" t="s">
        <v>45</v>
      </c>
    </row>
    <row r="9" spans="1:373" x14ac:dyDescent="0.3">
      <c r="A9" s="1" t="s">
        <v>8</v>
      </c>
      <c r="B9" s="2" t="s">
        <v>22</v>
      </c>
      <c r="C9" s="2" t="s">
        <v>29</v>
      </c>
      <c r="D9" s="2" t="s">
        <v>34</v>
      </c>
      <c r="E9" s="2" t="s">
        <v>29</v>
      </c>
      <c r="F9" s="2" t="s">
        <v>34</v>
      </c>
      <c r="G9" s="2" t="s">
        <v>22</v>
      </c>
      <c r="H9" s="2" t="s">
        <v>34</v>
      </c>
      <c r="I9" s="2" t="s">
        <v>34</v>
      </c>
      <c r="J9" s="2" t="s">
        <v>34</v>
      </c>
      <c r="K9" s="2" t="s">
        <v>52</v>
      </c>
      <c r="L9" s="2" t="s">
        <v>52</v>
      </c>
      <c r="M9" s="2" t="s">
        <v>52</v>
      </c>
      <c r="N9" s="2" t="s">
        <v>22</v>
      </c>
      <c r="O9" s="2" t="s">
        <v>29</v>
      </c>
      <c r="P9" s="2" t="s">
        <v>55</v>
      </c>
      <c r="Q9" s="2" t="s">
        <v>34</v>
      </c>
      <c r="R9" s="2" t="s">
        <v>34</v>
      </c>
      <c r="S9" s="2" t="s">
        <v>22</v>
      </c>
      <c r="T9" s="2" t="s">
        <v>34</v>
      </c>
      <c r="U9" s="2" t="s">
        <v>52</v>
      </c>
      <c r="V9" s="2" t="s">
        <v>55</v>
      </c>
      <c r="W9" s="2" t="s">
        <v>60</v>
      </c>
      <c r="X9" s="2" t="s">
        <v>34</v>
      </c>
      <c r="Y9" s="2" t="s">
        <v>52</v>
      </c>
      <c r="Z9" s="2" t="s">
        <v>60</v>
      </c>
      <c r="AA9" s="2" t="s">
        <v>55</v>
      </c>
      <c r="AB9" s="2" t="s">
        <v>60</v>
      </c>
      <c r="AC9" s="2" t="s">
        <v>52</v>
      </c>
      <c r="AD9" s="2" t="s">
        <v>29</v>
      </c>
      <c r="AE9" s="2" t="s">
        <v>29</v>
      </c>
      <c r="AF9" s="2" t="s">
        <v>60</v>
      </c>
      <c r="AG9" s="2" t="s">
        <v>22</v>
      </c>
      <c r="AH9" s="2" t="s">
        <v>60</v>
      </c>
      <c r="AI9" s="2" t="s">
        <v>34</v>
      </c>
      <c r="AJ9" s="2" t="s">
        <v>34</v>
      </c>
      <c r="AK9" s="2" t="s">
        <v>29</v>
      </c>
      <c r="AL9" s="2" t="s">
        <v>22</v>
      </c>
      <c r="AM9" s="2" t="s">
        <v>52</v>
      </c>
      <c r="AN9" s="2" t="s">
        <v>34</v>
      </c>
      <c r="AO9" s="2" t="s">
        <v>29</v>
      </c>
      <c r="AP9" s="2" t="s">
        <v>55</v>
      </c>
      <c r="AQ9" s="2" t="s">
        <v>29</v>
      </c>
      <c r="AR9" s="2" t="s">
        <v>34</v>
      </c>
      <c r="AS9" s="2" t="s">
        <v>34</v>
      </c>
      <c r="AT9" s="2" t="s">
        <v>29</v>
      </c>
      <c r="AU9" s="2" t="s">
        <v>52</v>
      </c>
      <c r="AV9" s="2" t="s">
        <v>60</v>
      </c>
      <c r="AW9" s="2" t="s">
        <v>34</v>
      </c>
      <c r="AX9" s="2" t="s">
        <v>29</v>
      </c>
      <c r="AY9" s="2" t="s">
        <v>29</v>
      </c>
      <c r="AZ9" s="2" t="s">
        <v>60</v>
      </c>
      <c r="BA9" s="2" t="s">
        <v>55</v>
      </c>
      <c r="BB9" s="2" t="s">
        <v>52</v>
      </c>
      <c r="BC9" s="2" t="s">
        <v>55</v>
      </c>
      <c r="BD9" s="2" t="s">
        <v>60</v>
      </c>
      <c r="BE9" s="2" t="s">
        <v>60</v>
      </c>
      <c r="BF9" s="2" t="s">
        <v>55</v>
      </c>
      <c r="BG9" s="2" t="s">
        <v>60</v>
      </c>
      <c r="BH9" s="2" t="s">
        <v>29</v>
      </c>
      <c r="BI9" s="2" t="s">
        <v>60</v>
      </c>
      <c r="BJ9" s="2" t="s">
        <v>29</v>
      </c>
      <c r="BK9" s="2" t="s">
        <v>22</v>
      </c>
      <c r="BL9" s="2" t="s">
        <v>60</v>
      </c>
      <c r="BM9" s="2" t="s">
        <v>55</v>
      </c>
      <c r="BN9" s="2" t="s">
        <v>34</v>
      </c>
      <c r="BO9" s="2" t="s">
        <v>60</v>
      </c>
      <c r="BP9" s="2" t="s">
        <v>34</v>
      </c>
      <c r="BQ9" s="2" t="s">
        <v>29</v>
      </c>
      <c r="BR9" s="2" t="s">
        <v>22</v>
      </c>
      <c r="BS9" s="2" t="s">
        <v>52</v>
      </c>
      <c r="BT9" s="2" t="s">
        <v>22</v>
      </c>
      <c r="BU9" s="2" t="s">
        <v>60</v>
      </c>
      <c r="BV9" s="2" t="s">
        <v>34</v>
      </c>
      <c r="BW9" s="2" t="s">
        <v>34</v>
      </c>
      <c r="BX9" s="2" t="s">
        <v>34</v>
      </c>
      <c r="BY9" s="2" t="s">
        <v>55</v>
      </c>
      <c r="BZ9" s="2" t="s">
        <v>29</v>
      </c>
      <c r="CA9" s="2" t="s">
        <v>52</v>
      </c>
      <c r="CB9" s="2" t="s">
        <v>60</v>
      </c>
      <c r="CC9" s="2" t="s">
        <v>55</v>
      </c>
      <c r="CD9" s="2" t="s">
        <v>52</v>
      </c>
      <c r="CE9" s="2" t="s">
        <v>34</v>
      </c>
      <c r="CF9" s="2" t="s">
        <v>34</v>
      </c>
      <c r="CG9" s="2" t="s">
        <v>52</v>
      </c>
      <c r="CH9" s="2" t="s">
        <v>29</v>
      </c>
      <c r="CI9" s="2" t="s">
        <v>52</v>
      </c>
      <c r="CJ9" s="2" t="s">
        <v>55</v>
      </c>
      <c r="CK9" s="2" t="s">
        <v>55</v>
      </c>
      <c r="CL9" s="2" t="s">
        <v>52</v>
      </c>
      <c r="CM9" s="2" t="s">
        <v>55</v>
      </c>
      <c r="CN9" s="2" t="s">
        <v>55</v>
      </c>
      <c r="CO9" s="2" t="s">
        <v>29</v>
      </c>
      <c r="CP9" s="2" t="s">
        <v>55</v>
      </c>
      <c r="CQ9" s="2" t="s">
        <v>22</v>
      </c>
      <c r="CR9" s="2" t="s">
        <v>60</v>
      </c>
      <c r="CS9" s="2" t="s">
        <v>34</v>
      </c>
      <c r="CT9" s="2" t="s">
        <v>22</v>
      </c>
      <c r="CU9" s="2" t="s">
        <v>29</v>
      </c>
      <c r="CV9" s="2" t="s">
        <v>52</v>
      </c>
      <c r="CW9" s="2" t="s">
        <v>55</v>
      </c>
      <c r="CX9" s="2" t="s">
        <v>29</v>
      </c>
      <c r="CY9" s="2" t="s">
        <v>55</v>
      </c>
      <c r="CZ9" s="2" t="s">
        <v>52</v>
      </c>
      <c r="DA9" s="2" t="s">
        <v>29</v>
      </c>
      <c r="DB9" s="2" t="s">
        <v>29</v>
      </c>
      <c r="DC9" s="2" t="s">
        <v>29</v>
      </c>
      <c r="DD9" s="2" t="s">
        <v>60</v>
      </c>
      <c r="DE9" s="2" t="s">
        <v>55</v>
      </c>
      <c r="DF9" s="2" t="s">
        <v>60</v>
      </c>
      <c r="DG9" s="2" t="s">
        <v>34</v>
      </c>
      <c r="DH9" s="2" t="s">
        <v>34</v>
      </c>
      <c r="DI9" s="2" t="s">
        <v>55</v>
      </c>
      <c r="DJ9" s="2" t="s">
        <v>60</v>
      </c>
      <c r="DK9" s="2" t="s">
        <v>52</v>
      </c>
      <c r="DL9" s="2" t="s">
        <v>29</v>
      </c>
      <c r="DM9" s="2" t="s">
        <v>29</v>
      </c>
      <c r="DN9" s="2" t="s">
        <v>55</v>
      </c>
      <c r="DO9" s="2" t="s">
        <v>34</v>
      </c>
      <c r="DP9" s="2" t="s">
        <v>34</v>
      </c>
      <c r="DQ9" s="2" t="s">
        <v>29</v>
      </c>
      <c r="DR9" s="2" t="s">
        <v>55</v>
      </c>
      <c r="DS9" s="2" t="s">
        <v>60</v>
      </c>
      <c r="DT9" s="2" t="s">
        <v>34</v>
      </c>
      <c r="DU9" s="2" t="s">
        <v>60</v>
      </c>
      <c r="DV9" s="2" t="s">
        <v>34</v>
      </c>
      <c r="DW9" s="2" t="s">
        <v>22</v>
      </c>
      <c r="DX9" s="2" t="s">
        <v>34</v>
      </c>
      <c r="DY9" s="2" t="s">
        <v>55</v>
      </c>
      <c r="DZ9" s="2" t="s">
        <v>55</v>
      </c>
      <c r="EA9" s="2" t="s">
        <v>60</v>
      </c>
      <c r="EB9" s="2" t="s">
        <v>34</v>
      </c>
      <c r="EC9" s="2" t="s">
        <v>52</v>
      </c>
      <c r="ED9" s="2" t="s">
        <v>60</v>
      </c>
      <c r="EE9" s="2" t="s">
        <v>22</v>
      </c>
      <c r="EF9" s="2" t="s">
        <v>60</v>
      </c>
      <c r="EG9" s="2" t="s">
        <v>60</v>
      </c>
      <c r="EH9" s="2" t="s">
        <v>34</v>
      </c>
      <c r="EI9" s="2" t="s">
        <v>22</v>
      </c>
      <c r="EJ9" s="2" t="s">
        <v>60</v>
      </c>
      <c r="EK9" s="2" t="s">
        <v>52</v>
      </c>
      <c r="EL9" s="2" t="s">
        <v>52</v>
      </c>
      <c r="EM9" s="2" t="s">
        <v>55</v>
      </c>
      <c r="EN9" s="2" t="s">
        <v>22</v>
      </c>
      <c r="EO9" s="2" t="s">
        <v>55</v>
      </c>
      <c r="EP9" s="2" t="s">
        <v>60</v>
      </c>
      <c r="EQ9" s="2" t="s">
        <v>22</v>
      </c>
      <c r="ER9" s="2" t="s">
        <v>52</v>
      </c>
      <c r="ES9" s="2" t="s">
        <v>52</v>
      </c>
      <c r="ET9" s="2" t="s">
        <v>34</v>
      </c>
      <c r="EU9" s="2" t="s">
        <v>22</v>
      </c>
      <c r="EV9" s="2" t="s">
        <v>60</v>
      </c>
      <c r="EW9" s="2" t="s">
        <v>55</v>
      </c>
      <c r="EX9" s="2" t="s">
        <v>55</v>
      </c>
      <c r="EY9" s="2" t="s">
        <v>60</v>
      </c>
      <c r="EZ9" s="2" t="s">
        <v>29</v>
      </c>
      <c r="FA9" s="2" t="s">
        <v>34</v>
      </c>
      <c r="FB9" s="2" t="s">
        <v>55</v>
      </c>
      <c r="FC9" s="2" t="s">
        <v>34</v>
      </c>
      <c r="FD9" s="2" t="s">
        <v>22</v>
      </c>
      <c r="FE9" s="2" t="s">
        <v>52</v>
      </c>
      <c r="FF9" s="2" t="s">
        <v>34</v>
      </c>
      <c r="FG9" s="2" t="s">
        <v>55</v>
      </c>
      <c r="FH9" s="2" t="s">
        <v>34</v>
      </c>
      <c r="FI9" s="2" t="s">
        <v>29</v>
      </c>
      <c r="FJ9" s="2" t="s">
        <v>34</v>
      </c>
      <c r="FK9" s="2" t="s">
        <v>22</v>
      </c>
      <c r="FL9" s="2" t="s">
        <v>52</v>
      </c>
      <c r="FM9" s="2" t="s">
        <v>34</v>
      </c>
      <c r="FN9" s="2" t="s">
        <v>55</v>
      </c>
      <c r="FO9" s="2" t="s">
        <v>34</v>
      </c>
      <c r="FP9" s="2" t="s">
        <v>55</v>
      </c>
      <c r="FQ9" s="2" t="s">
        <v>22</v>
      </c>
      <c r="FR9" s="2" t="s">
        <v>55</v>
      </c>
      <c r="FS9" s="2" t="s">
        <v>52</v>
      </c>
      <c r="FT9" s="2" t="s">
        <v>55</v>
      </c>
      <c r="FU9" s="2" t="s">
        <v>55</v>
      </c>
      <c r="FV9" s="2" t="s">
        <v>52</v>
      </c>
      <c r="FW9" s="2" t="s">
        <v>60</v>
      </c>
      <c r="FX9" s="2" t="s">
        <v>34</v>
      </c>
      <c r="FY9" s="2" t="s">
        <v>55</v>
      </c>
      <c r="FZ9" s="2" t="s">
        <v>52</v>
      </c>
      <c r="GA9" s="2" t="s">
        <v>22</v>
      </c>
      <c r="GB9" s="2" t="s">
        <v>52</v>
      </c>
      <c r="GC9" s="2" t="s">
        <v>22</v>
      </c>
      <c r="GD9" s="2" t="s">
        <v>60</v>
      </c>
      <c r="GE9" s="2" t="s">
        <v>34</v>
      </c>
      <c r="GF9" s="2" t="s">
        <v>52</v>
      </c>
      <c r="GG9" s="2" t="s">
        <v>55</v>
      </c>
      <c r="GH9" s="2" t="s">
        <v>52</v>
      </c>
      <c r="GI9" s="2" t="s">
        <v>22</v>
      </c>
      <c r="GJ9" s="2" t="s">
        <v>52</v>
      </c>
      <c r="GK9" s="2" t="s">
        <v>29</v>
      </c>
      <c r="GL9" s="2" t="s">
        <v>52</v>
      </c>
      <c r="GM9" s="2" t="s">
        <v>29</v>
      </c>
      <c r="GN9" s="2" t="s">
        <v>60</v>
      </c>
      <c r="GO9" s="2" t="s">
        <v>52</v>
      </c>
      <c r="GP9" s="2" t="s">
        <v>29</v>
      </c>
      <c r="GQ9" s="2" t="s">
        <v>22</v>
      </c>
      <c r="GR9" s="2" t="s">
        <v>52</v>
      </c>
      <c r="GS9" s="2" t="s">
        <v>60</v>
      </c>
      <c r="GT9" s="2" t="s">
        <v>52</v>
      </c>
      <c r="GU9" s="2" t="s">
        <v>52</v>
      </c>
      <c r="GV9" s="2" t="s">
        <v>60</v>
      </c>
      <c r="GW9" s="2" t="s">
        <v>22</v>
      </c>
      <c r="GX9" s="2" t="s">
        <v>34</v>
      </c>
      <c r="GY9" s="2" t="s">
        <v>55</v>
      </c>
      <c r="GZ9" s="2" t="s">
        <v>60</v>
      </c>
      <c r="HA9" s="2" t="s">
        <v>52</v>
      </c>
      <c r="HB9" s="2" t="s">
        <v>60</v>
      </c>
      <c r="HC9" s="2" t="s">
        <v>22</v>
      </c>
      <c r="HD9" s="2" t="s">
        <v>60</v>
      </c>
      <c r="HE9" s="2" t="s">
        <v>55</v>
      </c>
      <c r="HF9" s="2" t="s">
        <v>52</v>
      </c>
      <c r="HG9" s="2" t="s">
        <v>55</v>
      </c>
      <c r="HH9" s="2" t="s">
        <v>55</v>
      </c>
      <c r="HI9" s="2" t="s">
        <v>34</v>
      </c>
      <c r="HJ9" s="2" t="s">
        <v>34</v>
      </c>
      <c r="HK9" s="2" t="s">
        <v>34</v>
      </c>
      <c r="HL9" s="2" t="s">
        <v>55</v>
      </c>
      <c r="HM9" s="2" t="s">
        <v>22</v>
      </c>
      <c r="HN9" s="2" t="s">
        <v>55</v>
      </c>
      <c r="HO9" s="2" t="s">
        <v>34</v>
      </c>
      <c r="HP9" s="2" t="s">
        <v>34</v>
      </c>
      <c r="HQ9" s="2" t="s">
        <v>34</v>
      </c>
      <c r="HR9" s="2" t="s">
        <v>60</v>
      </c>
      <c r="HS9" s="2" t="s">
        <v>52</v>
      </c>
      <c r="HT9" s="2" t="s">
        <v>55</v>
      </c>
      <c r="HU9" s="2" t="s">
        <v>29</v>
      </c>
      <c r="HV9" s="2" t="s">
        <v>55</v>
      </c>
      <c r="HW9" s="2" t="s">
        <v>34</v>
      </c>
      <c r="HX9" s="2" t="s">
        <v>52</v>
      </c>
      <c r="HY9" s="2" t="s">
        <v>34</v>
      </c>
      <c r="HZ9" s="2" t="s">
        <v>22</v>
      </c>
      <c r="IA9" s="2" t="s">
        <v>34</v>
      </c>
      <c r="IB9" s="2" t="s">
        <v>55</v>
      </c>
      <c r="IC9" s="2" t="s">
        <v>55</v>
      </c>
      <c r="ID9" s="2" t="s">
        <v>29</v>
      </c>
      <c r="IE9" s="2" t="s">
        <v>52</v>
      </c>
      <c r="IF9" s="2" t="s">
        <v>29</v>
      </c>
      <c r="IG9" s="2" t="s">
        <v>60</v>
      </c>
      <c r="IH9" s="2" t="s">
        <v>60</v>
      </c>
      <c r="II9" s="2" t="s">
        <v>60</v>
      </c>
      <c r="IJ9" s="2" t="s">
        <v>22</v>
      </c>
      <c r="IK9" s="2" t="s">
        <v>55</v>
      </c>
      <c r="IL9" s="2" t="s">
        <v>22</v>
      </c>
      <c r="IM9" s="2" t="s">
        <v>34</v>
      </c>
      <c r="IN9" s="2" t="s">
        <v>34</v>
      </c>
      <c r="IO9" s="2" t="s">
        <v>34</v>
      </c>
      <c r="IP9" s="2" t="s">
        <v>60</v>
      </c>
      <c r="IQ9" s="2" t="s">
        <v>29</v>
      </c>
      <c r="IR9" s="2" t="s">
        <v>34</v>
      </c>
      <c r="IS9" s="2" t="s">
        <v>60</v>
      </c>
      <c r="IT9" s="2" t="s">
        <v>60</v>
      </c>
      <c r="IU9" s="2" t="s">
        <v>55</v>
      </c>
      <c r="IV9" s="2" t="s">
        <v>52</v>
      </c>
      <c r="IW9" s="2" t="s">
        <v>22</v>
      </c>
      <c r="IX9" s="2" t="s">
        <v>55</v>
      </c>
      <c r="IY9" s="2" t="s">
        <v>60</v>
      </c>
      <c r="IZ9" s="2" t="s">
        <v>29</v>
      </c>
      <c r="JA9" s="2" t="s">
        <v>52</v>
      </c>
      <c r="JB9" s="2" t="s">
        <v>60</v>
      </c>
      <c r="JC9" s="2" t="s">
        <v>52</v>
      </c>
      <c r="JD9" s="2" t="s">
        <v>52</v>
      </c>
      <c r="JE9" s="2" t="s">
        <v>29</v>
      </c>
      <c r="JF9" s="2" t="s">
        <v>55</v>
      </c>
      <c r="JG9" s="2" t="s">
        <v>29</v>
      </c>
      <c r="JH9" s="2" t="s">
        <v>60</v>
      </c>
      <c r="JI9" s="2" t="s">
        <v>55</v>
      </c>
      <c r="JJ9" s="2" t="s">
        <v>55</v>
      </c>
      <c r="JK9" s="2" t="s">
        <v>55</v>
      </c>
      <c r="JL9" s="2" t="s">
        <v>55</v>
      </c>
      <c r="JM9" s="2" t="s">
        <v>29</v>
      </c>
      <c r="JN9" s="2" t="s">
        <v>55</v>
      </c>
      <c r="JO9" s="2" t="s">
        <v>60</v>
      </c>
      <c r="JP9" s="2" t="s">
        <v>22</v>
      </c>
      <c r="JQ9" s="2" t="s">
        <v>52</v>
      </c>
      <c r="JR9" s="2" t="s">
        <v>34</v>
      </c>
      <c r="JS9" s="2" t="s">
        <v>52</v>
      </c>
      <c r="JT9" s="2" t="s">
        <v>29</v>
      </c>
      <c r="JU9" s="2" t="s">
        <v>52</v>
      </c>
      <c r="JV9" s="2" t="s">
        <v>55</v>
      </c>
      <c r="JW9" s="2" t="s">
        <v>29</v>
      </c>
      <c r="JX9" s="2" t="s">
        <v>22</v>
      </c>
      <c r="JY9" s="2" t="s">
        <v>60</v>
      </c>
      <c r="JZ9" s="2" t="s">
        <v>34</v>
      </c>
      <c r="KA9" s="2" t="s">
        <v>29</v>
      </c>
      <c r="KB9" s="2" t="s">
        <v>55</v>
      </c>
      <c r="KC9" s="2" t="s">
        <v>34</v>
      </c>
      <c r="KD9" s="2" t="s">
        <v>60</v>
      </c>
      <c r="KE9" s="2" t="s">
        <v>60</v>
      </c>
      <c r="KF9" s="2" t="s">
        <v>34</v>
      </c>
      <c r="KG9" s="2" t="s">
        <v>34</v>
      </c>
      <c r="KH9" s="2" t="s">
        <v>60</v>
      </c>
      <c r="KI9" s="2" t="s">
        <v>55</v>
      </c>
      <c r="KJ9" s="2" t="s">
        <v>52</v>
      </c>
      <c r="KK9" s="2" t="s">
        <v>60</v>
      </c>
      <c r="KL9" s="2" t="s">
        <v>29</v>
      </c>
      <c r="KM9" s="2" t="s">
        <v>52</v>
      </c>
      <c r="KN9" s="2" t="s">
        <v>52</v>
      </c>
      <c r="KO9" s="2" t="s">
        <v>52</v>
      </c>
      <c r="KP9" s="2" t="s">
        <v>55</v>
      </c>
      <c r="KQ9" s="2" t="s">
        <v>60</v>
      </c>
      <c r="KR9" s="2" t="s">
        <v>60</v>
      </c>
      <c r="KS9" s="2" t="s">
        <v>29</v>
      </c>
      <c r="KT9" s="2" t="s">
        <v>55</v>
      </c>
      <c r="KU9" s="2" t="s">
        <v>34</v>
      </c>
      <c r="KV9" s="2" t="s">
        <v>22</v>
      </c>
      <c r="KW9" s="2" t="s">
        <v>55</v>
      </c>
      <c r="KX9" s="2" t="s">
        <v>52</v>
      </c>
      <c r="KY9" s="2" t="s">
        <v>34</v>
      </c>
      <c r="KZ9" s="2" t="s">
        <v>34</v>
      </c>
      <c r="LA9" s="2" t="s">
        <v>34</v>
      </c>
      <c r="LB9" s="2" t="s">
        <v>55</v>
      </c>
      <c r="LC9" s="2" t="s">
        <v>55</v>
      </c>
      <c r="LD9" s="2" t="s">
        <v>52</v>
      </c>
      <c r="LE9" s="2" t="s">
        <v>29</v>
      </c>
      <c r="LF9" s="2" t="s">
        <v>52</v>
      </c>
      <c r="LG9" s="2" t="s">
        <v>52</v>
      </c>
      <c r="LH9" s="2" t="s">
        <v>22</v>
      </c>
      <c r="LI9" s="2" t="s">
        <v>29</v>
      </c>
      <c r="LJ9" s="2" t="s">
        <v>22</v>
      </c>
      <c r="LK9" s="2" t="s">
        <v>52</v>
      </c>
      <c r="LL9" s="2" t="s">
        <v>55</v>
      </c>
      <c r="LM9" s="2" t="s">
        <v>34</v>
      </c>
      <c r="LN9" s="2" t="s">
        <v>22</v>
      </c>
      <c r="LO9" s="2" t="s">
        <v>55</v>
      </c>
      <c r="LP9" s="2" t="s">
        <v>29</v>
      </c>
      <c r="LQ9" s="2" t="s">
        <v>55</v>
      </c>
      <c r="LR9" s="2" t="s">
        <v>55</v>
      </c>
      <c r="LS9" s="2" t="s">
        <v>55</v>
      </c>
      <c r="LT9" s="2" t="s">
        <v>55</v>
      </c>
      <c r="LU9" s="2" t="s">
        <v>22</v>
      </c>
      <c r="LV9" s="2" t="s">
        <v>52</v>
      </c>
      <c r="LW9" s="2" t="s">
        <v>22</v>
      </c>
      <c r="LX9" s="2" t="s">
        <v>55</v>
      </c>
      <c r="LY9" s="2" t="s">
        <v>55</v>
      </c>
      <c r="LZ9" s="2" t="s">
        <v>29</v>
      </c>
      <c r="MA9" s="2" t="s">
        <v>52</v>
      </c>
      <c r="MB9" s="2" t="s">
        <v>52</v>
      </c>
      <c r="MC9" s="2" t="s">
        <v>34</v>
      </c>
      <c r="MD9" s="2" t="s">
        <v>60</v>
      </c>
      <c r="ME9" s="2" t="s">
        <v>34</v>
      </c>
      <c r="MF9" s="2" t="s">
        <v>29</v>
      </c>
      <c r="MG9" s="2" t="s">
        <v>22</v>
      </c>
      <c r="MH9" s="2" t="s">
        <v>52</v>
      </c>
      <c r="MI9" s="2" t="s">
        <v>60</v>
      </c>
      <c r="MJ9" s="2" t="s">
        <v>55</v>
      </c>
      <c r="MK9" s="2" t="s">
        <v>29</v>
      </c>
      <c r="ML9" s="2" t="s">
        <v>52</v>
      </c>
      <c r="MM9" s="2" t="s">
        <v>29</v>
      </c>
      <c r="MN9" s="2" t="s">
        <v>34</v>
      </c>
      <c r="MO9" s="2" t="s">
        <v>22</v>
      </c>
      <c r="MP9" s="2" t="s">
        <v>22</v>
      </c>
      <c r="MQ9" s="2" t="s">
        <v>60</v>
      </c>
      <c r="MR9" s="2" t="s">
        <v>29</v>
      </c>
      <c r="MS9" s="2" t="s">
        <v>34</v>
      </c>
      <c r="MT9" s="2" t="s">
        <v>29</v>
      </c>
      <c r="MU9" s="2" t="s">
        <v>52</v>
      </c>
      <c r="MV9" s="2" t="s">
        <v>60</v>
      </c>
      <c r="MW9" s="2" t="s">
        <v>22</v>
      </c>
      <c r="MX9" s="2" t="s">
        <v>52</v>
      </c>
      <c r="MY9" s="2" t="s">
        <v>55</v>
      </c>
      <c r="MZ9" s="2" t="s">
        <v>60</v>
      </c>
      <c r="NA9" s="2" t="s">
        <v>34</v>
      </c>
      <c r="NB9" s="2" t="s">
        <v>52</v>
      </c>
      <c r="NC9" s="2" t="s">
        <v>52</v>
      </c>
      <c r="ND9" s="2" t="s">
        <v>60</v>
      </c>
      <c r="NE9" s="2" t="s">
        <v>60</v>
      </c>
      <c r="NF9" s="2" t="s">
        <v>55</v>
      </c>
      <c r="NG9" s="2" t="s">
        <v>34</v>
      </c>
      <c r="NH9" s="2" t="s">
        <v>29</v>
      </c>
      <c r="NI9" s="2" t="s">
        <v>34</v>
      </c>
    </row>
    <row r="10" spans="1:373" x14ac:dyDescent="0.3">
      <c r="A10" s="1" t="s">
        <v>9</v>
      </c>
      <c r="B10" s="2" t="s">
        <v>23</v>
      </c>
      <c r="C10" s="2" t="s">
        <v>30</v>
      </c>
      <c r="D10" s="2" t="s">
        <v>35</v>
      </c>
      <c r="E10" s="2" t="s">
        <v>39</v>
      </c>
      <c r="F10" s="2" t="s">
        <v>42</v>
      </c>
      <c r="G10" s="2" t="s">
        <v>46</v>
      </c>
      <c r="H10" s="2" t="s">
        <v>35</v>
      </c>
      <c r="I10" s="2" t="s">
        <v>35</v>
      </c>
      <c r="J10" s="2" t="s">
        <v>51</v>
      </c>
      <c r="K10" s="2" t="s">
        <v>53</v>
      </c>
      <c r="L10" s="2" t="s">
        <v>53</v>
      </c>
      <c r="M10" s="2" t="s">
        <v>54</v>
      </c>
      <c r="N10" s="2" t="s">
        <v>46</v>
      </c>
      <c r="O10" s="2" t="s">
        <v>39</v>
      </c>
      <c r="P10" s="2" t="s">
        <v>56</v>
      </c>
      <c r="Q10" s="2" t="s">
        <v>42</v>
      </c>
      <c r="R10" s="2" t="s">
        <v>42</v>
      </c>
      <c r="S10" s="2" t="s">
        <v>58</v>
      </c>
      <c r="T10" s="2" t="s">
        <v>42</v>
      </c>
      <c r="U10" s="2" t="s">
        <v>54</v>
      </c>
      <c r="V10" s="2" t="s">
        <v>59</v>
      </c>
      <c r="W10" s="2" t="s">
        <v>61</v>
      </c>
      <c r="X10" s="2" t="s">
        <v>35</v>
      </c>
      <c r="Y10" s="2" t="s">
        <v>54</v>
      </c>
      <c r="Z10" s="2" t="s">
        <v>62</v>
      </c>
      <c r="AA10" s="2" t="s">
        <v>63</v>
      </c>
      <c r="AB10" s="2" t="s">
        <v>61</v>
      </c>
      <c r="AC10" s="2" t="s">
        <v>54</v>
      </c>
      <c r="AD10" s="2" t="s">
        <v>30</v>
      </c>
      <c r="AE10" s="2" t="s">
        <v>64</v>
      </c>
      <c r="AF10" s="2" t="s">
        <v>65</v>
      </c>
      <c r="AG10" s="2" t="s">
        <v>46</v>
      </c>
      <c r="AH10" s="2" t="s">
        <v>62</v>
      </c>
      <c r="AI10" s="2" t="s">
        <v>51</v>
      </c>
      <c r="AJ10" s="2" t="s">
        <v>51</v>
      </c>
      <c r="AK10" s="2" t="s">
        <v>30</v>
      </c>
      <c r="AL10" s="2" t="s">
        <v>58</v>
      </c>
      <c r="AM10" s="2" t="s">
        <v>66</v>
      </c>
      <c r="AN10" s="2" t="s">
        <v>51</v>
      </c>
      <c r="AO10" s="2" t="s">
        <v>30</v>
      </c>
      <c r="AP10" s="2" t="s">
        <v>67</v>
      </c>
      <c r="AQ10" s="2" t="s">
        <v>30</v>
      </c>
      <c r="AR10" s="2" t="s">
        <v>51</v>
      </c>
      <c r="AS10" s="2" t="s">
        <v>51</v>
      </c>
      <c r="AT10" s="2" t="s">
        <v>64</v>
      </c>
      <c r="AU10" s="2" t="s">
        <v>54</v>
      </c>
      <c r="AV10" s="2" t="s">
        <v>65</v>
      </c>
      <c r="AW10" s="2" t="s">
        <v>68</v>
      </c>
      <c r="AX10" s="2" t="s">
        <v>30</v>
      </c>
      <c r="AY10" s="2" t="s">
        <v>64</v>
      </c>
      <c r="AZ10" s="2" t="s">
        <v>65</v>
      </c>
      <c r="BA10" s="2" t="s">
        <v>67</v>
      </c>
      <c r="BB10" s="2" t="s">
        <v>53</v>
      </c>
      <c r="BC10" s="2" t="s">
        <v>67</v>
      </c>
      <c r="BD10" s="2" t="s">
        <v>65</v>
      </c>
      <c r="BE10" s="2" t="s">
        <v>61</v>
      </c>
      <c r="BF10" s="2" t="s">
        <v>67</v>
      </c>
      <c r="BG10" s="2" t="s">
        <v>65</v>
      </c>
      <c r="BH10" s="2" t="s">
        <v>39</v>
      </c>
      <c r="BI10" s="2" t="s">
        <v>65</v>
      </c>
      <c r="BJ10" s="2" t="s">
        <v>39</v>
      </c>
      <c r="BK10" s="2" t="s">
        <v>46</v>
      </c>
      <c r="BL10" s="2" t="s">
        <v>69</v>
      </c>
      <c r="BM10" s="2" t="s">
        <v>67</v>
      </c>
      <c r="BN10" s="2" t="s">
        <v>51</v>
      </c>
      <c r="BO10" s="2" t="s">
        <v>65</v>
      </c>
      <c r="BP10" s="2" t="s">
        <v>42</v>
      </c>
      <c r="BQ10" s="2" t="s">
        <v>64</v>
      </c>
      <c r="BR10" s="2" t="s">
        <v>58</v>
      </c>
      <c r="BS10" s="2" t="s">
        <v>70</v>
      </c>
      <c r="BT10" s="2" t="s">
        <v>46</v>
      </c>
      <c r="BU10" s="2" t="s">
        <v>61</v>
      </c>
      <c r="BV10" s="2" t="s">
        <v>42</v>
      </c>
      <c r="BW10" s="2" t="s">
        <v>35</v>
      </c>
      <c r="BX10" s="2" t="s">
        <v>35</v>
      </c>
      <c r="BY10" s="2" t="s">
        <v>59</v>
      </c>
      <c r="BZ10" s="2" t="s">
        <v>30</v>
      </c>
      <c r="CA10" s="2" t="s">
        <v>66</v>
      </c>
      <c r="CB10" s="2" t="s">
        <v>65</v>
      </c>
      <c r="CC10" s="2" t="s">
        <v>59</v>
      </c>
      <c r="CD10" s="2" t="s">
        <v>53</v>
      </c>
      <c r="CE10" s="2" t="s">
        <v>68</v>
      </c>
      <c r="CF10" s="2" t="s">
        <v>42</v>
      </c>
      <c r="CG10" s="2" t="s">
        <v>66</v>
      </c>
      <c r="CH10" s="2" t="s">
        <v>30</v>
      </c>
      <c r="CI10" s="2" t="s">
        <v>53</v>
      </c>
      <c r="CJ10" s="2" t="s">
        <v>59</v>
      </c>
      <c r="CK10" s="2" t="s">
        <v>63</v>
      </c>
      <c r="CL10" s="2" t="s">
        <v>53</v>
      </c>
      <c r="CM10" s="2" t="s">
        <v>63</v>
      </c>
      <c r="CN10" s="2" t="s">
        <v>63</v>
      </c>
      <c r="CO10" s="2" t="s">
        <v>39</v>
      </c>
      <c r="CP10" s="2" t="s">
        <v>56</v>
      </c>
      <c r="CQ10" s="2" t="s">
        <v>46</v>
      </c>
      <c r="CR10" s="2" t="s">
        <v>62</v>
      </c>
      <c r="CS10" s="2" t="s">
        <v>42</v>
      </c>
      <c r="CT10" s="2" t="s">
        <v>23</v>
      </c>
      <c r="CU10" s="2" t="s">
        <v>30</v>
      </c>
      <c r="CV10" s="2" t="s">
        <v>66</v>
      </c>
      <c r="CW10" s="2" t="s">
        <v>63</v>
      </c>
      <c r="CX10" s="2" t="s">
        <v>39</v>
      </c>
      <c r="CY10" s="2" t="s">
        <v>59</v>
      </c>
      <c r="CZ10" s="2" t="s">
        <v>70</v>
      </c>
      <c r="DA10" s="2" t="s">
        <v>39</v>
      </c>
      <c r="DB10" s="2" t="s">
        <v>64</v>
      </c>
      <c r="DC10" s="2" t="s">
        <v>71</v>
      </c>
      <c r="DD10" s="2" t="s">
        <v>65</v>
      </c>
      <c r="DE10" s="2" t="s">
        <v>63</v>
      </c>
      <c r="DF10" s="2" t="s">
        <v>61</v>
      </c>
      <c r="DG10" s="2" t="s">
        <v>51</v>
      </c>
      <c r="DH10" s="2" t="s">
        <v>35</v>
      </c>
      <c r="DI10" s="2" t="s">
        <v>56</v>
      </c>
      <c r="DJ10" s="2" t="s">
        <v>65</v>
      </c>
      <c r="DK10" s="2" t="s">
        <v>66</v>
      </c>
      <c r="DL10" s="2" t="s">
        <v>71</v>
      </c>
      <c r="DM10" s="2" t="s">
        <v>64</v>
      </c>
      <c r="DN10" s="2" t="s">
        <v>67</v>
      </c>
      <c r="DO10" s="2" t="s">
        <v>51</v>
      </c>
      <c r="DP10" s="2" t="s">
        <v>42</v>
      </c>
      <c r="DQ10" s="2" t="s">
        <v>64</v>
      </c>
      <c r="DR10" s="2" t="s">
        <v>59</v>
      </c>
      <c r="DS10" s="2" t="s">
        <v>65</v>
      </c>
      <c r="DT10" s="2" t="s">
        <v>35</v>
      </c>
      <c r="DU10" s="2" t="s">
        <v>61</v>
      </c>
      <c r="DV10" s="2" t="s">
        <v>51</v>
      </c>
      <c r="DW10" s="2" t="s">
        <v>46</v>
      </c>
      <c r="DX10" s="2" t="s">
        <v>42</v>
      </c>
      <c r="DY10" s="2" t="s">
        <v>56</v>
      </c>
      <c r="DZ10" s="2" t="s">
        <v>56</v>
      </c>
      <c r="EA10" s="2" t="s">
        <v>62</v>
      </c>
      <c r="EB10" s="2" t="s">
        <v>42</v>
      </c>
      <c r="EC10" s="2" t="s">
        <v>54</v>
      </c>
      <c r="ED10" s="2" t="s">
        <v>61</v>
      </c>
      <c r="EE10" s="2" t="s">
        <v>58</v>
      </c>
      <c r="EF10" s="2" t="s">
        <v>62</v>
      </c>
      <c r="EG10" s="2" t="s">
        <v>65</v>
      </c>
      <c r="EH10" s="2" t="s">
        <v>51</v>
      </c>
      <c r="EI10" s="2" t="s">
        <v>23</v>
      </c>
      <c r="EJ10" s="2" t="s">
        <v>65</v>
      </c>
      <c r="EK10" s="2" t="s">
        <v>54</v>
      </c>
      <c r="EL10" s="2" t="s">
        <v>66</v>
      </c>
      <c r="EM10" s="2" t="s">
        <v>59</v>
      </c>
      <c r="EN10" s="2" t="s">
        <v>46</v>
      </c>
      <c r="EO10" s="2" t="s">
        <v>59</v>
      </c>
      <c r="EP10" s="2" t="s">
        <v>62</v>
      </c>
      <c r="EQ10" s="2" t="s">
        <v>23</v>
      </c>
      <c r="ER10" s="2" t="s">
        <v>66</v>
      </c>
      <c r="ES10" s="2" t="s">
        <v>70</v>
      </c>
      <c r="ET10" s="2" t="s">
        <v>51</v>
      </c>
      <c r="EU10" s="2" t="s">
        <v>23</v>
      </c>
      <c r="EV10" s="2" t="s">
        <v>61</v>
      </c>
      <c r="EW10" s="2" t="s">
        <v>56</v>
      </c>
      <c r="EX10" s="2" t="s">
        <v>67</v>
      </c>
      <c r="EY10" s="2" t="s">
        <v>65</v>
      </c>
      <c r="EZ10" s="2" t="s">
        <v>30</v>
      </c>
      <c r="FA10" s="2" t="s">
        <v>35</v>
      </c>
      <c r="FB10" s="2" t="s">
        <v>59</v>
      </c>
      <c r="FC10" s="2" t="s">
        <v>68</v>
      </c>
      <c r="FD10" s="2" t="s">
        <v>46</v>
      </c>
      <c r="FE10" s="2" t="s">
        <v>66</v>
      </c>
      <c r="FF10" s="2" t="s">
        <v>68</v>
      </c>
      <c r="FG10" s="2" t="s">
        <v>56</v>
      </c>
      <c r="FH10" s="2" t="s">
        <v>35</v>
      </c>
      <c r="FI10" s="2" t="s">
        <v>64</v>
      </c>
      <c r="FJ10" s="2" t="s">
        <v>35</v>
      </c>
      <c r="FK10" s="2" t="s">
        <v>46</v>
      </c>
      <c r="FL10" s="2" t="s">
        <v>53</v>
      </c>
      <c r="FM10" s="2" t="s">
        <v>42</v>
      </c>
      <c r="FN10" s="2" t="s">
        <v>67</v>
      </c>
      <c r="FO10" s="2" t="s">
        <v>42</v>
      </c>
      <c r="FP10" s="2" t="s">
        <v>59</v>
      </c>
      <c r="FQ10" s="2" t="s">
        <v>46</v>
      </c>
      <c r="FR10" s="2" t="s">
        <v>56</v>
      </c>
      <c r="FS10" s="2" t="s">
        <v>54</v>
      </c>
      <c r="FT10" s="2" t="s">
        <v>59</v>
      </c>
      <c r="FU10" s="2" t="s">
        <v>63</v>
      </c>
      <c r="FV10" s="2" t="s">
        <v>54</v>
      </c>
      <c r="FW10" s="2" t="s">
        <v>62</v>
      </c>
      <c r="FX10" s="2" t="s">
        <v>68</v>
      </c>
      <c r="FY10" s="2" t="s">
        <v>56</v>
      </c>
      <c r="FZ10" s="2" t="s">
        <v>70</v>
      </c>
      <c r="GA10" s="2" t="s">
        <v>72</v>
      </c>
      <c r="GB10" s="2" t="s">
        <v>54</v>
      </c>
      <c r="GC10" s="2" t="s">
        <v>72</v>
      </c>
      <c r="GD10" s="2" t="s">
        <v>62</v>
      </c>
      <c r="GE10" s="2" t="s">
        <v>68</v>
      </c>
      <c r="GF10" s="2" t="s">
        <v>54</v>
      </c>
      <c r="GG10" s="2" t="s">
        <v>56</v>
      </c>
      <c r="GH10" s="2" t="s">
        <v>53</v>
      </c>
      <c r="GI10" s="2" t="s">
        <v>23</v>
      </c>
      <c r="GJ10" s="2" t="s">
        <v>54</v>
      </c>
      <c r="GK10" s="2" t="s">
        <v>64</v>
      </c>
      <c r="GL10" s="2" t="s">
        <v>66</v>
      </c>
      <c r="GM10" s="2" t="s">
        <v>30</v>
      </c>
      <c r="GN10" s="2" t="s">
        <v>69</v>
      </c>
      <c r="GO10" s="2" t="s">
        <v>53</v>
      </c>
      <c r="GP10" s="2" t="s">
        <v>71</v>
      </c>
      <c r="GQ10" s="2" t="s">
        <v>58</v>
      </c>
      <c r="GR10" s="2" t="s">
        <v>54</v>
      </c>
      <c r="GS10" s="2" t="s">
        <v>62</v>
      </c>
      <c r="GT10" s="2" t="s">
        <v>66</v>
      </c>
      <c r="GU10" s="2" t="s">
        <v>70</v>
      </c>
      <c r="GV10" s="2" t="s">
        <v>62</v>
      </c>
      <c r="GW10" s="2" t="s">
        <v>58</v>
      </c>
      <c r="GX10" s="2" t="s">
        <v>51</v>
      </c>
      <c r="GY10" s="2" t="s">
        <v>63</v>
      </c>
      <c r="GZ10" s="2" t="s">
        <v>65</v>
      </c>
      <c r="HA10" s="2" t="s">
        <v>66</v>
      </c>
      <c r="HB10" s="2" t="s">
        <v>69</v>
      </c>
      <c r="HC10" s="2" t="s">
        <v>72</v>
      </c>
      <c r="HD10" s="2" t="s">
        <v>62</v>
      </c>
      <c r="HE10" s="2" t="s">
        <v>56</v>
      </c>
      <c r="HF10" s="2" t="s">
        <v>54</v>
      </c>
      <c r="HG10" s="2" t="s">
        <v>56</v>
      </c>
      <c r="HH10" s="2" t="s">
        <v>67</v>
      </c>
      <c r="HI10" s="2" t="s">
        <v>42</v>
      </c>
      <c r="HJ10" s="2" t="s">
        <v>68</v>
      </c>
      <c r="HK10" s="2" t="s">
        <v>51</v>
      </c>
      <c r="HL10" s="2" t="s">
        <v>63</v>
      </c>
      <c r="HM10" s="2" t="s">
        <v>23</v>
      </c>
      <c r="HN10" s="2" t="s">
        <v>67</v>
      </c>
      <c r="HO10" s="2" t="s">
        <v>35</v>
      </c>
      <c r="HP10" s="2" t="s">
        <v>68</v>
      </c>
      <c r="HQ10" s="2" t="s">
        <v>35</v>
      </c>
      <c r="HR10" s="2" t="s">
        <v>62</v>
      </c>
      <c r="HS10" s="2" t="s">
        <v>66</v>
      </c>
      <c r="HT10" s="2" t="s">
        <v>63</v>
      </c>
      <c r="HU10" s="2" t="s">
        <v>64</v>
      </c>
      <c r="HV10" s="2" t="s">
        <v>56</v>
      </c>
      <c r="HW10" s="2" t="s">
        <v>42</v>
      </c>
      <c r="HX10" s="2" t="s">
        <v>54</v>
      </c>
      <c r="HY10" s="2" t="s">
        <v>68</v>
      </c>
      <c r="HZ10" s="2" t="s">
        <v>72</v>
      </c>
      <c r="IA10" s="2" t="s">
        <v>42</v>
      </c>
      <c r="IB10" s="2" t="s">
        <v>63</v>
      </c>
      <c r="IC10" s="2" t="s">
        <v>67</v>
      </c>
      <c r="ID10" s="2" t="s">
        <v>71</v>
      </c>
      <c r="IE10" s="2" t="s">
        <v>70</v>
      </c>
      <c r="IF10" s="2" t="s">
        <v>71</v>
      </c>
      <c r="IG10" s="2" t="s">
        <v>61</v>
      </c>
      <c r="IH10" s="2" t="s">
        <v>69</v>
      </c>
      <c r="II10" s="2" t="s">
        <v>61</v>
      </c>
      <c r="IJ10" s="2" t="s">
        <v>23</v>
      </c>
      <c r="IK10" s="2" t="s">
        <v>56</v>
      </c>
      <c r="IL10" s="2" t="s">
        <v>46</v>
      </c>
      <c r="IM10" s="2" t="s">
        <v>51</v>
      </c>
      <c r="IN10" s="2" t="s">
        <v>51</v>
      </c>
      <c r="IO10" s="2" t="s">
        <v>68</v>
      </c>
      <c r="IP10" s="2" t="s">
        <v>69</v>
      </c>
      <c r="IQ10" s="2" t="s">
        <v>64</v>
      </c>
      <c r="IR10" s="2" t="s">
        <v>51</v>
      </c>
      <c r="IS10" s="2" t="s">
        <v>65</v>
      </c>
      <c r="IT10" s="2" t="s">
        <v>61</v>
      </c>
      <c r="IU10" s="2" t="s">
        <v>56</v>
      </c>
      <c r="IV10" s="2" t="s">
        <v>54</v>
      </c>
      <c r="IW10" s="2" t="s">
        <v>46</v>
      </c>
      <c r="IX10" s="2" t="s">
        <v>59</v>
      </c>
      <c r="IY10" s="2" t="s">
        <v>65</v>
      </c>
      <c r="IZ10" s="2" t="s">
        <v>71</v>
      </c>
      <c r="JA10" s="2" t="s">
        <v>53</v>
      </c>
      <c r="JB10" s="2" t="s">
        <v>61</v>
      </c>
      <c r="JC10" s="2" t="s">
        <v>66</v>
      </c>
      <c r="JD10" s="2" t="s">
        <v>70</v>
      </c>
      <c r="JE10" s="2" t="s">
        <v>39</v>
      </c>
      <c r="JF10" s="2" t="s">
        <v>63</v>
      </c>
      <c r="JG10" s="2" t="s">
        <v>64</v>
      </c>
      <c r="JH10" s="2" t="s">
        <v>61</v>
      </c>
      <c r="JI10" s="2" t="s">
        <v>67</v>
      </c>
      <c r="JJ10" s="2" t="s">
        <v>63</v>
      </c>
      <c r="JK10" s="2" t="s">
        <v>63</v>
      </c>
      <c r="JL10" s="2" t="s">
        <v>56</v>
      </c>
      <c r="JM10" s="2" t="s">
        <v>30</v>
      </c>
      <c r="JN10" s="2" t="s">
        <v>67</v>
      </c>
      <c r="JO10" s="2" t="s">
        <v>69</v>
      </c>
      <c r="JP10" s="2" t="s">
        <v>72</v>
      </c>
      <c r="JQ10" s="2" t="s">
        <v>53</v>
      </c>
      <c r="JR10" s="2" t="s">
        <v>35</v>
      </c>
      <c r="JS10" s="2" t="s">
        <v>54</v>
      </c>
      <c r="JT10" s="2" t="s">
        <v>30</v>
      </c>
      <c r="JU10" s="2" t="s">
        <v>54</v>
      </c>
      <c r="JV10" s="2" t="s">
        <v>59</v>
      </c>
      <c r="JW10" s="2" t="s">
        <v>39</v>
      </c>
      <c r="JX10" s="2" t="s">
        <v>23</v>
      </c>
      <c r="JY10" s="2" t="s">
        <v>65</v>
      </c>
      <c r="JZ10" s="2" t="s">
        <v>35</v>
      </c>
      <c r="KA10" s="2" t="s">
        <v>39</v>
      </c>
      <c r="KB10" s="2" t="s">
        <v>56</v>
      </c>
      <c r="KC10" s="2" t="s">
        <v>51</v>
      </c>
      <c r="KD10" s="2" t="s">
        <v>61</v>
      </c>
      <c r="KE10" s="2" t="s">
        <v>61</v>
      </c>
      <c r="KF10" s="2" t="s">
        <v>51</v>
      </c>
      <c r="KG10" s="2" t="s">
        <v>35</v>
      </c>
      <c r="KH10" s="2" t="s">
        <v>62</v>
      </c>
      <c r="KI10" s="2" t="s">
        <v>56</v>
      </c>
      <c r="KJ10" s="2" t="s">
        <v>66</v>
      </c>
      <c r="KK10" s="2" t="s">
        <v>65</v>
      </c>
      <c r="KL10" s="2" t="s">
        <v>39</v>
      </c>
      <c r="KM10" s="2" t="s">
        <v>66</v>
      </c>
      <c r="KN10" s="2" t="s">
        <v>70</v>
      </c>
      <c r="KO10" s="2" t="s">
        <v>66</v>
      </c>
      <c r="KP10" s="2" t="s">
        <v>56</v>
      </c>
      <c r="KQ10" s="2" t="s">
        <v>61</v>
      </c>
      <c r="KR10" s="2" t="s">
        <v>62</v>
      </c>
      <c r="KS10" s="2" t="s">
        <v>71</v>
      </c>
      <c r="KT10" s="2" t="s">
        <v>59</v>
      </c>
      <c r="KU10" s="2" t="s">
        <v>51</v>
      </c>
      <c r="KV10" s="2" t="s">
        <v>58</v>
      </c>
      <c r="KW10" s="2" t="s">
        <v>67</v>
      </c>
      <c r="KX10" s="2" t="s">
        <v>70</v>
      </c>
      <c r="KY10" s="2" t="s">
        <v>35</v>
      </c>
      <c r="KZ10" s="2" t="s">
        <v>42</v>
      </c>
      <c r="LA10" s="2" t="s">
        <v>51</v>
      </c>
      <c r="LB10" s="2" t="s">
        <v>63</v>
      </c>
      <c r="LC10" s="2" t="s">
        <v>63</v>
      </c>
      <c r="LD10" s="2" t="s">
        <v>53</v>
      </c>
      <c r="LE10" s="2" t="s">
        <v>39</v>
      </c>
      <c r="LF10" s="2" t="s">
        <v>54</v>
      </c>
      <c r="LG10" s="2" t="s">
        <v>66</v>
      </c>
      <c r="LH10" s="2" t="s">
        <v>46</v>
      </c>
      <c r="LI10" s="2" t="s">
        <v>39</v>
      </c>
      <c r="LJ10" s="2" t="s">
        <v>72</v>
      </c>
      <c r="LK10" s="2" t="s">
        <v>54</v>
      </c>
      <c r="LL10" s="2" t="s">
        <v>56</v>
      </c>
      <c r="LM10" s="2" t="s">
        <v>42</v>
      </c>
      <c r="LN10" s="2" t="s">
        <v>46</v>
      </c>
      <c r="LO10" s="2" t="s">
        <v>56</v>
      </c>
      <c r="LP10" s="2" t="s">
        <v>39</v>
      </c>
      <c r="LQ10" s="2" t="s">
        <v>67</v>
      </c>
      <c r="LR10" s="2" t="s">
        <v>59</v>
      </c>
      <c r="LS10" s="2" t="s">
        <v>67</v>
      </c>
      <c r="LT10" s="2" t="s">
        <v>63</v>
      </c>
      <c r="LU10" s="2" t="s">
        <v>58</v>
      </c>
      <c r="LV10" s="2" t="s">
        <v>54</v>
      </c>
      <c r="LW10" s="2" t="s">
        <v>23</v>
      </c>
      <c r="LX10" s="2" t="s">
        <v>59</v>
      </c>
      <c r="LY10" s="2" t="s">
        <v>63</v>
      </c>
      <c r="LZ10" s="2" t="s">
        <v>64</v>
      </c>
      <c r="MA10" s="2" t="s">
        <v>54</v>
      </c>
      <c r="MB10" s="2" t="s">
        <v>53</v>
      </c>
      <c r="MC10" s="2" t="s">
        <v>68</v>
      </c>
      <c r="MD10" s="2" t="s">
        <v>61</v>
      </c>
      <c r="ME10" s="2" t="s">
        <v>35</v>
      </c>
      <c r="MF10" s="2" t="s">
        <v>71</v>
      </c>
      <c r="MG10" s="2" t="s">
        <v>23</v>
      </c>
      <c r="MH10" s="2" t="s">
        <v>70</v>
      </c>
      <c r="MI10" s="2" t="s">
        <v>61</v>
      </c>
      <c r="MJ10" s="2" t="s">
        <v>67</v>
      </c>
      <c r="MK10" s="2" t="s">
        <v>30</v>
      </c>
      <c r="ML10" s="2" t="s">
        <v>53</v>
      </c>
      <c r="MM10" s="2" t="s">
        <v>39</v>
      </c>
      <c r="MN10" s="2" t="s">
        <v>68</v>
      </c>
      <c r="MO10" s="2" t="s">
        <v>46</v>
      </c>
      <c r="MP10" s="2" t="s">
        <v>46</v>
      </c>
      <c r="MQ10" s="2" t="s">
        <v>62</v>
      </c>
      <c r="MR10" s="2" t="s">
        <v>39</v>
      </c>
      <c r="MS10" s="2" t="s">
        <v>51</v>
      </c>
      <c r="MT10" s="2" t="s">
        <v>39</v>
      </c>
      <c r="MU10" s="2" t="s">
        <v>53</v>
      </c>
      <c r="MV10" s="2" t="s">
        <v>69</v>
      </c>
      <c r="MW10" s="2" t="s">
        <v>46</v>
      </c>
      <c r="MX10" s="2" t="s">
        <v>66</v>
      </c>
      <c r="MY10" s="2" t="s">
        <v>56</v>
      </c>
      <c r="MZ10" s="2" t="s">
        <v>65</v>
      </c>
      <c r="NA10" s="2" t="s">
        <v>35</v>
      </c>
      <c r="NB10" s="2" t="s">
        <v>66</v>
      </c>
      <c r="NC10" s="2" t="s">
        <v>70</v>
      </c>
      <c r="ND10" s="2" t="s">
        <v>69</v>
      </c>
      <c r="NE10" s="2" t="s">
        <v>62</v>
      </c>
      <c r="NF10" s="2" t="s">
        <v>63</v>
      </c>
      <c r="NG10" s="2" t="s">
        <v>42</v>
      </c>
      <c r="NH10" s="2" t="s">
        <v>39</v>
      </c>
      <c r="NI10" s="2" t="s">
        <v>68</v>
      </c>
    </row>
    <row r="11" spans="1:373" x14ac:dyDescent="0.3">
      <c r="A11" s="1" t="s">
        <v>10</v>
      </c>
      <c r="B11" s="2" t="s">
        <v>24</v>
      </c>
      <c r="C11" s="2" t="s">
        <v>31</v>
      </c>
      <c r="D11" s="2" t="s">
        <v>36</v>
      </c>
      <c r="E11" s="2" t="s">
        <v>24</v>
      </c>
      <c r="F11" s="2" t="s">
        <v>24</v>
      </c>
      <c r="G11" s="2" t="s">
        <v>36</v>
      </c>
      <c r="H11" s="2" t="s">
        <v>48</v>
      </c>
      <c r="I11" s="2" t="s">
        <v>50</v>
      </c>
      <c r="J11" s="2" t="s">
        <v>31</v>
      </c>
      <c r="K11" s="2" t="s">
        <v>50</v>
      </c>
      <c r="L11" s="2" t="s">
        <v>36</v>
      </c>
      <c r="M11" s="2" t="s">
        <v>24</v>
      </c>
      <c r="N11" s="2" t="s">
        <v>24</v>
      </c>
      <c r="O11" s="2" t="s">
        <v>31</v>
      </c>
      <c r="P11" s="2" t="s">
        <v>24</v>
      </c>
      <c r="Q11" s="2" t="s">
        <v>24</v>
      </c>
      <c r="R11" s="2" t="s">
        <v>31</v>
      </c>
      <c r="S11" s="2" t="s">
        <v>31</v>
      </c>
      <c r="T11" s="2" t="s">
        <v>36</v>
      </c>
      <c r="U11" s="2" t="s">
        <v>24</v>
      </c>
      <c r="V11" s="2" t="s">
        <v>24</v>
      </c>
      <c r="W11" s="2" t="s">
        <v>36</v>
      </c>
      <c r="X11" s="2" t="s">
        <v>48</v>
      </c>
      <c r="Y11" s="2" t="s">
        <v>48</v>
      </c>
      <c r="Z11" s="2" t="s">
        <v>48</v>
      </c>
      <c r="AA11" s="2" t="s">
        <v>36</v>
      </c>
      <c r="AB11" s="2" t="s">
        <v>24</v>
      </c>
      <c r="AC11" s="2" t="s">
        <v>36</v>
      </c>
      <c r="AD11" s="2" t="s">
        <v>36</v>
      </c>
      <c r="AE11" s="2" t="s">
        <v>48</v>
      </c>
      <c r="AF11" s="2" t="s">
        <v>50</v>
      </c>
      <c r="AG11" s="2" t="s">
        <v>24</v>
      </c>
      <c r="AH11" s="2" t="s">
        <v>48</v>
      </c>
      <c r="AI11" s="2" t="s">
        <v>50</v>
      </c>
      <c r="AJ11" s="2" t="s">
        <v>50</v>
      </c>
      <c r="AK11" s="2" t="s">
        <v>31</v>
      </c>
      <c r="AL11" s="2" t="s">
        <v>24</v>
      </c>
      <c r="AM11" s="2" t="s">
        <v>50</v>
      </c>
      <c r="AN11" s="2" t="s">
        <v>48</v>
      </c>
      <c r="AO11" s="2" t="s">
        <v>31</v>
      </c>
      <c r="AP11" s="2" t="s">
        <v>24</v>
      </c>
      <c r="AQ11" s="2" t="s">
        <v>36</v>
      </c>
      <c r="AR11" s="2" t="s">
        <v>48</v>
      </c>
      <c r="AS11" s="2" t="s">
        <v>50</v>
      </c>
      <c r="AT11" s="2" t="s">
        <v>50</v>
      </c>
      <c r="AU11" s="2" t="s">
        <v>48</v>
      </c>
      <c r="AV11" s="2" t="s">
        <v>50</v>
      </c>
      <c r="AW11" s="2" t="s">
        <v>31</v>
      </c>
      <c r="AX11" s="2" t="s">
        <v>24</v>
      </c>
      <c r="AY11" s="2" t="s">
        <v>31</v>
      </c>
      <c r="AZ11" s="2" t="s">
        <v>36</v>
      </c>
      <c r="BA11" s="2" t="s">
        <v>24</v>
      </c>
      <c r="BB11" s="2" t="s">
        <v>24</v>
      </c>
      <c r="BC11" s="2" t="s">
        <v>48</v>
      </c>
      <c r="BD11" s="2" t="s">
        <v>48</v>
      </c>
      <c r="BE11" s="2" t="s">
        <v>36</v>
      </c>
      <c r="BF11" s="2" t="s">
        <v>36</v>
      </c>
      <c r="BG11" s="2" t="s">
        <v>48</v>
      </c>
      <c r="BH11" s="2" t="s">
        <v>48</v>
      </c>
      <c r="BI11" s="2" t="s">
        <v>31</v>
      </c>
      <c r="BJ11" s="2" t="s">
        <v>50</v>
      </c>
      <c r="BK11" s="2" t="s">
        <v>48</v>
      </c>
      <c r="BL11" s="2" t="s">
        <v>48</v>
      </c>
      <c r="BM11" s="2" t="s">
        <v>31</v>
      </c>
      <c r="BN11" s="2" t="s">
        <v>31</v>
      </c>
      <c r="BO11" s="2" t="s">
        <v>36</v>
      </c>
      <c r="BP11" s="2" t="s">
        <v>36</v>
      </c>
      <c r="BQ11" s="2" t="s">
        <v>50</v>
      </c>
      <c r="BR11" s="2" t="s">
        <v>50</v>
      </c>
      <c r="BS11" s="2" t="s">
        <v>24</v>
      </c>
      <c r="BT11" s="2" t="s">
        <v>36</v>
      </c>
      <c r="BU11" s="2" t="s">
        <v>48</v>
      </c>
      <c r="BV11" s="2" t="s">
        <v>36</v>
      </c>
      <c r="BW11" s="2" t="s">
        <v>48</v>
      </c>
      <c r="BX11" s="2" t="s">
        <v>36</v>
      </c>
      <c r="BY11" s="2" t="s">
        <v>31</v>
      </c>
      <c r="BZ11" s="2" t="s">
        <v>50</v>
      </c>
      <c r="CA11" s="2" t="s">
        <v>50</v>
      </c>
      <c r="CB11" s="2" t="s">
        <v>24</v>
      </c>
      <c r="CC11" s="2" t="s">
        <v>36</v>
      </c>
      <c r="CD11" s="2" t="s">
        <v>31</v>
      </c>
      <c r="CE11" s="2" t="s">
        <v>48</v>
      </c>
      <c r="CF11" s="2" t="s">
        <v>50</v>
      </c>
      <c r="CG11" s="2" t="s">
        <v>50</v>
      </c>
      <c r="CH11" s="2" t="s">
        <v>31</v>
      </c>
      <c r="CI11" s="2" t="s">
        <v>36</v>
      </c>
      <c r="CJ11" s="2" t="s">
        <v>36</v>
      </c>
      <c r="CK11" s="2" t="s">
        <v>24</v>
      </c>
      <c r="CL11" s="2" t="s">
        <v>50</v>
      </c>
      <c r="CM11" s="2" t="s">
        <v>36</v>
      </c>
      <c r="CN11" s="2" t="s">
        <v>31</v>
      </c>
      <c r="CO11" s="2" t="s">
        <v>48</v>
      </c>
      <c r="CP11" s="2" t="s">
        <v>31</v>
      </c>
      <c r="CQ11" s="2" t="s">
        <v>50</v>
      </c>
      <c r="CR11" s="2" t="s">
        <v>31</v>
      </c>
      <c r="CS11" s="2" t="s">
        <v>24</v>
      </c>
      <c r="CT11" s="2" t="s">
        <v>50</v>
      </c>
      <c r="CU11" s="2" t="s">
        <v>24</v>
      </c>
      <c r="CV11" s="2" t="s">
        <v>50</v>
      </c>
      <c r="CW11" s="2" t="s">
        <v>48</v>
      </c>
      <c r="CX11" s="2" t="s">
        <v>24</v>
      </c>
      <c r="CY11" s="2" t="s">
        <v>50</v>
      </c>
      <c r="CZ11" s="2" t="s">
        <v>36</v>
      </c>
      <c r="DA11" s="2" t="s">
        <v>24</v>
      </c>
      <c r="DB11" s="2" t="s">
        <v>24</v>
      </c>
      <c r="DC11" s="2" t="s">
        <v>48</v>
      </c>
      <c r="DD11" s="2" t="s">
        <v>31</v>
      </c>
      <c r="DE11" s="2" t="s">
        <v>50</v>
      </c>
      <c r="DF11" s="2" t="s">
        <v>50</v>
      </c>
      <c r="DG11" s="2" t="s">
        <v>36</v>
      </c>
      <c r="DH11" s="2" t="s">
        <v>36</v>
      </c>
      <c r="DI11" s="2" t="s">
        <v>50</v>
      </c>
      <c r="DJ11" s="2" t="s">
        <v>36</v>
      </c>
      <c r="DK11" s="2" t="s">
        <v>48</v>
      </c>
      <c r="DL11" s="2" t="s">
        <v>50</v>
      </c>
      <c r="DM11" s="2" t="s">
        <v>36</v>
      </c>
      <c r="DN11" s="2" t="s">
        <v>50</v>
      </c>
      <c r="DO11" s="2" t="s">
        <v>31</v>
      </c>
      <c r="DP11" s="2" t="s">
        <v>24</v>
      </c>
      <c r="DQ11" s="2" t="s">
        <v>50</v>
      </c>
      <c r="DR11" s="2" t="s">
        <v>24</v>
      </c>
      <c r="DS11" s="2" t="s">
        <v>36</v>
      </c>
      <c r="DT11" s="2" t="s">
        <v>24</v>
      </c>
      <c r="DU11" s="2" t="s">
        <v>50</v>
      </c>
      <c r="DV11" s="2" t="s">
        <v>31</v>
      </c>
      <c r="DW11" s="2" t="s">
        <v>50</v>
      </c>
      <c r="DX11" s="2" t="s">
        <v>36</v>
      </c>
      <c r="DY11" s="2" t="s">
        <v>24</v>
      </c>
      <c r="DZ11" s="2" t="s">
        <v>48</v>
      </c>
      <c r="EA11" s="2" t="s">
        <v>50</v>
      </c>
      <c r="EB11" s="2" t="s">
        <v>31</v>
      </c>
      <c r="EC11" s="2" t="s">
        <v>36</v>
      </c>
      <c r="ED11" s="2" t="s">
        <v>24</v>
      </c>
      <c r="EE11" s="2" t="s">
        <v>36</v>
      </c>
      <c r="EF11" s="2" t="s">
        <v>50</v>
      </c>
      <c r="EG11" s="2" t="s">
        <v>36</v>
      </c>
      <c r="EH11" s="2" t="s">
        <v>24</v>
      </c>
      <c r="EI11" s="2" t="s">
        <v>50</v>
      </c>
      <c r="EJ11" s="2" t="s">
        <v>36</v>
      </c>
      <c r="EK11" s="2" t="s">
        <v>31</v>
      </c>
      <c r="EL11" s="2" t="s">
        <v>50</v>
      </c>
      <c r="EM11" s="2" t="s">
        <v>50</v>
      </c>
      <c r="EN11" s="2" t="s">
        <v>48</v>
      </c>
      <c r="EO11" s="2" t="s">
        <v>24</v>
      </c>
      <c r="EP11" s="2" t="s">
        <v>48</v>
      </c>
      <c r="EQ11" s="2" t="s">
        <v>36</v>
      </c>
      <c r="ER11" s="2" t="s">
        <v>31</v>
      </c>
      <c r="ES11" s="2" t="s">
        <v>48</v>
      </c>
      <c r="ET11" s="2" t="s">
        <v>50</v>
      </c>
      <c r="EU11" s="2" t="s">
        <v>36</v>
      </c>
      <c r="EV11" s="2" t="s">
        <v>36</v>
      </c>
      <c r="EW11" s="2" t="s">
        <v>48</v>
      </c>
      <c r="EX11" s="2" t="s">
        <v>48</v>
      </c>
      <c r="EY11" s="2" t="s">
        <v>31</v>
      </c>
      <c r="EZ11" s="2" t="s">
        <v>24</v>
      </c>
      <c r="FA11" s="2" t="s">
        <v>48</v>
      </c>
      <c r="FB11" s="2" t="s">
        <v>48</v>
      </c>
      <c r="FC11" s="2" t="s">
        <v>36</v>
      </c>
      <c r="FD11" s="2" t="s">
        <v>24</v>
      </c>
      <c r="FE11" s="2" t="s">
        <v>50</v>
      </c>
      <c r="FF11" s="2" t="s">
        <v>31</v>
      </c>
      <c r="FG11" s="2" t="s">
        <v>31</v>
      </c>
      <c r="FH11" s="2" t="s">
        <v>48</v>
      </c>
      <c r="FI11" s="2" t="s">
        <v>48</v>
      </c>
      <c r="FJ11" s="2" t="s">
        <v>24</v>
      </c>
      <c r="FK11" s="2" t="s">
        <v>48</v>
      </c>
      <c r="FL11" s="2" t="s">
        <v>36</v>
      </c>
      <c r="FM11" s="2" t="s">
        <v>50</v>
      </c>
      <c r="FN11" s="2" t="s">
        <v>24</v>
      </c>
      <c r="FO11" s="2" t="s">
        <v>50</v>
      </c>
      <c r="FP11" s="2" t="s">
        <v>50</v>
      </c>
      <c r="FQ11" s="2" t="s">
        <v>36</v>
      </c>
      <c r="FR11" s="2" t="s">
        <v>24</v>
      </c>
      <c r="FS11" s="2" t="s">
        <v>24</v>
      </c>
      <c r="FT11" s="2" t="s">
        <v>24</v>
      </c>
      <c r="FU11" s="2" t="s">
        <v>24</v>
      </c>
      <c r="FV11" s="2" t="s">
        <v>36</v>
      </c>
      <c r="FW11" s="2" t="s">
        <v>48</v>
      </c>
      <c r="FX11" s="2" t="s">
        <v>50</v>
      </c>
      <c r="FY11" s="2" t="s">
        <v>24</v>
      </c>
      <c r="FZ11" s="2" t="s">
        <v>48</v>
      </c>
      <c r="GA11" s="2" t="s">
        <v>48</v>
      </c>
      <c r="GB11" s="2" t="s">
        <v>50</v>
      </c>
      <c r="GC11" s="2" t="s">
        <v>36</v>
      </c>
      <c r="GD11" s="2" t="s">
        <v>31</v>
      </c>
      <c r="GE11" s="2" t="s">
        <v>31</v>
      </c>
      <c r="GF11" s="2" t="s">
        <v>36</v>
      </c>
      <c r="GG11" s="2" t="s">
        <v>31</v>
      </c>
      <c r="GH11" s="2" t="s">
        <v>48</v>
      </c>
      <c r="GI11" s="2" t="s">
        <v>48</v>
      </c>
      <c r="GJ11" s="2" t="s">
        <v>24</v>
      </c>
      <c r="GK11" s="2" t="s">
        <v>36</v>
      </c>
      <c r="GL11" s="2" t="s">
        <v>50</v>
      </c>
      <c r="GM11" s="2" t="s">
        <v>24</v>
      </c>
      <c r="GN11" s="2" t="s">
        <v>24</v>
      </c>
      <c r="GO11" s="2" t="s">
        <v>31</v>
      </c>
      <c r="GP11" s="2" t="s">
        <v>48</v>
      </c>
      <c r="GQ11" s="2" t="s">
        <v>24</v>
      </c>
      <c r="GR11" s="2" t="s">
        <v>24</v>
      </c>
      <c r="GS11" s="2" t="s">
        <v>50</v>
      </c>
      <c r="GT11" s="2" t="s">
        <v>48</v>
      </c>
      <c r="GU11" s="2" t="s">
        <v>36</v>
      </c>
      <c r="GV11" s="2" t="s">
        <v>24</v>
      </c>
      <c r="GW11" s="2" t="s">
        <v>50</v>
      </c>
      <c r="GX11" s="2" t="s">
        <v>36</v>
      </c>
      <c r="GY11" s="2" t="s">
        <v>50</v>
      </c>
      <c r="GZ11" s="2" t="s">
        <v>48</v>
      </c>
      <c r="HA11" s="2" t="s">
        <v>50</v>
      </c>
      <c r="HB11" s="2" t="s">
        <v>48</v>
      </c>
      <c r="HC11" s="2" t="s">
        <v>36</v>
      </c>
      <c r="HD11" s="2" t="s">
        <v>31</v>
      </c>
      <c r="HE11" s="2" t="s">
        <v>48</v>
      </c>
      <c r="HF11" s="2" t="s">
        <v>50</v>
      </c>
      <c r="HG11" s="2" t="s">
        <v>48</v>
      </c>
      <c r="HH11" s="2" t="s">
        <v>50</v>
      </c>
      <c r="HI11" s="2" t="s">
        <v>24</v>
      </c>
      <c r="HJ11" s="2" t="s">
        <v>48</v>
      </c>
      <c r="HK11" s="2" t="s">
        <v>31</v>
      </c>
      <c r="HL11" s="2" t="s">
        <v>36</v>
      </c>
      <c r="HM11" s="2" t="s">
        <v>50</v>
      </c>
      <c r="HN11" s="2" t="s">
        <v>48</v>
      </c>
      <c r="HO11" s="2" t="s">
        <v>50</v>
      </c>
      <c r="HP11" s="2" t="s">
        <v>31</v>
      </c>
      <c r="HQ11" s="2" t="s">
        <v>36</v>
      </c>
      <c r="HR11" s="2" t="s">
        <v>24</v>
      </c>
      <c r="HS11" s="2" t="s">
        <v>36</v>
      </c>
      <c r="HT11" s="2" t="s">
        <v>50</v>
      </c>
      <c r="HU11" s="2" t="s">
        <v>36</v>
      </c>
      <c r="HV11" s="2" t="s">
        <v>50</v>
      </c>
      <c r="HW11" s="2" t="s">
        <v>31</v>
      </c>
      <c r="HX11" s="2" t="s">
        <v>50</v>
      </c>
      <c r="HY11" s="2" t="s">
        <v>48</v>
      </c>
      <c r="HZ11" s="2" t="s">
        <v>50</v>
      </c>
      <c r="IA11" s="2" t="s">
        <v>48</v>
      </c>
      <c r="IB11" s="2" t="s">
        <v>36</v>
      </c>
      <c r="IC11" s="2" t="s">
        <v>36</v>
      </c>
      <c r="ID11" s="2" t="s">
        <v>48</v>
      </c>
      <c r="IE11" s="2" t="s">
        <v>36</v>
      </c>
      <c r="IF11" s="2" t="s">
        <v>24</v>
      </c>
      <c r="IG11" s="2" t="s">
        <v>31</v>
      </c>
      <c r="IH11" s="2" t="s">
        <v>24</v>
      </c>
      <c r="II11" s="2" t="s">
        <v>24</v>
      </c>
      <c r="IJ11" s="2" t="s">
        <v>31</v>
      </c>
      <c r="IK11" s="2" t="s">
        <v>36</v>
      </c>
      <c r="IL11" s="2" t="s">
        <v>48</v>
      </c>
      <c r="IM11" s="2" t="s">
        <v>36</v>
      </c>
      <c r="IN11" s="2" t="s">
        <v>50</v>
      </c>
      <c r="IO11" s="2" t="s">
        <v>36</v>
      </c>
      <c r="IP11" s="2" t="s">
        <v>24</v>
      </c>
      <c r="IQ11" s="2" t="s">
        <v>24</v>
      </c>
      <c r="IR11" s="2" t="s">
        <v>24</v>
      </c>
      <c r="IS11" s="2" t="s">
        <v>31</v>
      </c>
      <c r="IT11" s="2" t="s">
        <v>31</v>
      </c>
      <c r="IU11" s="2" t="s">
        <v>48</v>
      </c>
      <c r="IV11" s="2" t="s">
        <v>50</v>
      </c>
      <c r="IW11" s="2" t="s">
        <v>36</v>
      </c>
      <c r="IX11" s="2" t="s">
        <v>36</v>
      </c>
      <c r="IY11" s="2" t="s">
        <v>48</v>
      </c>
      <c r="IZ11" s="2" t="s">
        <v>31</v>
      </c>
      <c r="JA11" s="2" t="s">
        <v>48</v>
      </c>
      <c r="JB11" s="2" t="s">
        <v>36</v>
      </c>
      <c r="JC11" s="2" t="s">
        <v>50</v>
      </c>
      <c r="JD11" s="2" t="s">
        <v>24</v>
      </c>
      <c r="JE11" s="2" t="s">
        <v>31</v>
      </c>
      <c r="JF11" s="2" t="s">
        <v>48</v>
      </c>
      <c r="JG11" s="2" t="s">
        <v>31</v>
      </c>
      <c r="JH11" s="2" t="s">
        <v>36</v>
      </c>
      <c r="JI11" s="2" t="s">
        <v>48</v>
      </c>
      <c r="JJ11" s="2" t="s">
        <v>36</v>
      </c>
      <c r="JK11" s="2" t="s">
        <v>50</v>
      </c>
      <c r="JL11" s="2" t="s">
        <v>48</v>
      </c>
      <c r="JM11" s="2" t="s">
        <v>50</v>
      </c>
      <c r="JN11" s="2" t="s">
        <v>24</v>
      </c>
      <c r="JO11" s="2" t="s">
        <v>24</v>
      </c>
      <c r="JP11" s="2" t="s">
        <v>36</v>
      </c>
      <c r="JQ11" s="2" t="s">
        <v>24</v>
      </c>
      <c r="JR11" s="2" t="s">
        <v>24</v>
      </c>
      <c r="JS11" s="2" t="s">
        <v>31</v>
      </c>
      <c r="JT11" s="2" t="s">
        <v>50</v>
      </c>
      <c r="JU11" s="2" t="s">
        <v>24</v>
      </c>
      <c r="JV11" s="2" t="s">
        <v>36</v>
      </c>
      <c r="JW11" s="2" t="s">
        <v>48</v>
      </c>
      <c r="JX11" s="2" t="s">
        <v>48</v>
      </c>
      <c r="JY11" s="2" t="s">
        <v>24</v>
      </c>
      <c r="JZ11" s="2" t="s">
        <v>48</v>
      </c>
      <c r="KA11" s="2" t="s">
        <v>48</v>
      </c>
      <c r="KB11" s="2" t="s">
        <v>24</v>
      </c>
      <c r="KC11" s="2" t="s">
        <v>24</v>
      </c>
      <c r="KD11" s="2" t="s">
        <v>31</v>
      </c>
      <c r="KE11" s="2" t="s">
        <v>36</v>
      </c>
      <c r="KF11" s="2" t="s">
        <v>50</v>
      </c>
      <c r="KG11" s="2" t="s">
        <v>48</v>
      </c>
      <c r="KH11" s="2" t="s">
        <v>24</v>
      </c>
      <c r="KI11" s="2" t="s">
        <v>36</v>
      </c>
      <c r="KJ11" s="2" t="s">
        <v>24</v>
      </c>
      <c r="KK11" s="2" t="s">
        <v>48</v>
      </c>
      <c r="KL11" s="2" t="s">
        <v>50</v>
      </c>
      <c r="KM11" s="2" t="s">
        <v>31</v>
      </c>
      <c r="KN11" s="2" t="s">
        <v>50</v>
      </c>
      <c r="KO11" s="2" t="s">
        <v>24</v>
      </c>
      <c r="KP11" s="2" t="s">
        <v>24</v>
      </c>
      <c r="KQ11" s="2" t="s">
        <v>36</v>
      </c>
      <c r="KR11" s="2" t="s">
        <v>48</v>
      </c>
      <c r="KS11" s="2" t="s">
        <v>48</v>
      </c>
      <c r="KT11" s="2" t="s">
        <v>50</v>
      </c>
      <c r="KU11" s="2" t="s">
        <v>36</v>
      </c>
      <c r="KV11" s="2" t="s">
        <v>31</v>
      </c>
      <c r="KW11" s="2" t="s">
        <v>36</v>
      </c>
      <c r="KX11" s="2" t="s">
        <v>31</v>
      </c>
      <c r="KY11" s="2" t="s">
        <v>36</v>
      </c>
      <c r="KZ11" s="2" t="s">
        <v>36</v>
      </c>
      <c r="LA11" s="2" t="s">
        <v>50</v>
      </c>
      <c r="LB11" s="2" t="s">
        <v>36</v>
      </c>
      <c r="LC11" s="2" t="s">
        <v>48</v>
      </c>
      <c r="LD11" s="2" t="s">
        <v>50</v>
      </c>
      <c r="LE11" s="2" t="s">
        <v>48</v>
      </c>
      <c r="LF11" s="2" t="s">
        <v>50</v>
      </c>
      <c r="LG11" s="2" t="s">
        <v>36</v>
      </c>
      <c r="LH11" s="2" t="s">
        <v>36</v>
      </c>
      <c r="LI11" s="2" t="s">
        <v>24</v>
      </c>
      <c r="LJ11" s="2" t="s">
        <v>48</v>
      </c>
      <c r="LK11" s="2" t="s">
        <v>24</v>
      </c>
      <c r="LL11" s="2" t="s">
        <v>36</v>
      </c>
      <c r="LM11" s="2" t="s">
        <v>36</v>
      </c>
      <c r="LN11" s="2" t="s">
        <v>36</v>
      </c>
      <c r="LO11" s="2" t="s">
        <v>31</v>
      </c>
      <c r="LP11" s="2" t="s">
        <v>48</v>
      </c>
      <c r="LQ11" s="2" t="s">
        <v>48</v>
      </c>
      <c r="LR11" s="2" t="s">
        <v>36</v>
      </c>
      <c r="LS11" s="2" t="s">
        <v>50</v>
      </c>
      <c r="LT11" s="2" t="s">
        <v>50</v>
      </c>
      <c r="LU11" s="2" t="s">
        <v>31</v>
      </c>
      <c r="LV11" s="2" t="s">
        <v>31</v>
      </c>
      <c r="LW11" s="2" t="s">
        <v>48</v>
      </c>
      <c r="LX11" s="2" t="s">
        <v>24</v>
      </c>
      <c r="LY11" s="2" t="s">
        <v>24</v>
      </c>
      <c r="LZ11" s="2" t="s">
        <v>50</v>
      </c>
      <c r="MA11" s="2" t="s">
        <v>31</v>
      </c>
      <c r="MB11" s="2" t="s">
        <v>36</v>
      </c>
      <c r="MC11" s="2" t="s">
        <v>48</v>
      </c>
      <c r="MD11" s="2" t="s">
        <v>48</v>
      </c>
      <c r="ME11" s="2" t="s">
        <v>24</v>
      </c>
      <c r="MF11" s="2" t="s">
        <v>31</v>
      </c>
      <c r="MG11" s="2" t="s">
        <v>36</v>
      </c>
      <c r="MH11" s="2" t="s">
        <v>31</v>
      </c>
      <c r="MI11" s="2" t="s">
        <v>31</v>
      </c>
      <c r="MJ11" s="2" t="s">
        <v>48</v>
      </c>
      <c r="MK11" s="2" t="s">
        <v>31</v>
      </c>
      <c r="ML11" s="2" t="s">
        <v>24</v>
      </c>
      <c r="MM11" s="2" t="s">
        <v>50</v>
      </c>
      <c r="MN11" s="2" t="s">
        <v>50</v>
      </c>
      <c r="MO11" s="2" t="s">
        <v>36</v>
      </c>
      <c r="MP11" s="2" t="s">
        <v>31</v>
      </c>
      <c r="MQ11" s="2" t="s">
        <v>48</v>
      </c>
      <c r="MR11" s="2" t="s">
        <v>31</v>
      </c>
      <c r="MS11" s="2" t="s">
        <v>31</v>
      </c>
      <c r="MT11" s="2" t="s">
        <v>50</v>
      </c>
      <c r="MU11" s="2" t="s">
        <v>50</v>
      </c>
      <c r="MV11" s="2" t="s">
        <v>36</v>
      </c>
      <c r="MW11" s="2" t="s">
        <v>48</v>
      </c>
      <c r="MX11" s="2" t="s">
        <v>36</v>
      </c>
      <c r="MY11" s="2" t="s">
        <v>24</v>
      </c>
      <c r="MZ11" s="2" t="s">
        <v>36</v>
      </c>
      <c r="NA11" s="2" t="s">
        <v>48</v>
      </c>
      <c r="NB11" s="2" t="s">
        <v>31</v>
      </c>
      <c r="NC11" s="2" t="s">
        <v>31</v>
      </c>
      <c r="ND11" s="2" t="s">
        <v>48</v>
      </c>
      <c r="NE11" s="2" t="s">
        <v>48</v>
      </c>
      <c r="NF11" s="2" t="s">
        <v>48</v>
      </c>
      <c r="NG11" s="2" t="s">
        <v>24</v>
      </c>
      <c r="NH11" s="2" t="s">
        <v>31</v>
      </c>
      <c r="NI11" s="2" t="s">
        <v>36</v>
      </c>
    </row>
    <row r="12" spans="1:373" x14ac:dyDescent="0.3">
      <c r="A12" s="1" t="s">
        <v>11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3</v>
      </c>
      <c r="BA12" s="2">
        <v>5</v>
      </c>
      <c r="BB12" s="2">
        <v>8</v>
      </c>
      <c r="BC12" s="2">
        <v>2</v>
      </c>
      <c r="BD12" s="2">
        <v>6</v>
      </c>
      <c r="BE12" s="2">
        <v>9</v>
      </c>
      <c r="BF12" s="2">
        <v>8</v>
      </c>
      <c r="BG12" s="2">
        <v>8</v>
      </c>
      <c r="BH12" s="2">
        <v>7</v>
      </c>
      <c r="BI12" s="2">
        <v>6</v>
      </c>
      <c r="BJ12" s="2">
        <v>2</v>
      </c>
      <c r="BK12" s="2">
        <v>2</v>
      </c>
      <c r="BL12" s="2">
        <v>8</v>
      </c>
      <c r="BM12" s="2">
        <v>1</v>
      </c>
      <c r="BN12" s="2">
        <v>6</v>
      </c>
      <c r="BO12" s="2">
        <v>6</v>
      </c>
      <c r="BP12" s="2">
        <v>4</v>
      </c>
      <c r="BQ12" s="2">
        <v>3</v>
      </c>
      <c r="BR12" s="2">
        <v>3</v>
      </c>
      <c r="BS12" s="2">
        <v>1</v>
      </c>
      <c r="BT12" s="2">
        <v>3</v>
      </c>
      <c r="BU12" s="2">
        <v>4</v>
      </c>
      <c r="BV12" s="2">
        <v>5</v>
      </c>
      <c r="BW12" s="2">
        <v>3</v>
      </c>
      <c r="BX12" s="2">
        <v>5</v>
      </c>
      <c r="BY12" s="2">
        <v>3</v>
      </c>
      <c r="BZ12" s="2">
        <v>6</v>
      </c>
      <c r="CA12" s="2">
        <v>6</v>
      </c>
      <c r="CB12" s="2">
        <v>8</v>
      </c>
      <c r="CC12" s="2">
        <v>2</v>
      </c>
      <c r="CD12" s="2">
        <v>1</v>
      </c>
      <c r="CE12" s="2">
        <v>4</v>
      </c>
      <c r="CF12" s="2">
        <v>7</v>
      </c>
      <c r="CG12" s="2">
        <v>3</v>
      </c>
      <c r="CH12" s="2">
        <v>5</v>
      </c>
      <c r="CI12" s="2">
        <v>3</v>
      </c>
      <c r="CJ12" s="2">
        <v>9</v>
      </c>
      <c r="CK12" s="2">
        <v>4</v>
      </c>
      <c r="CL12" s="2">
        <v>3</v>
      </c>
      <c r="CM12" s="2">
        <v>2</v>
      </c>
      <c r="CN12" s="2">
        <v>9</v>
      </c>
      <c r="CO12" s="2">
        <v>4</v>
      </c>
      <c r="CP12" s="2">
        <v>3</v>
      </c>
      <c r="CQ12" s="2">
        <v>7</v>
      </c>
      <c r="CR12" s="2">
        <v>8</v>
      </c>
      <c r="CS12" s="2">
        <v>2</v>
      </c>
      <c r="CT12" s="2">
        <v>7</v>
      </c>
      <c r="CU12" s="2">
        <v>5</v>
      </c>
      <c r="CV12" s="2">
        <v>3</v>
      </c>
      <c r="CW12" s="2">
        <v>5</v>
      </c>
      <c r="CX12" s="2">
        <v>2</v>
      </c>
      <c r="CY12" s="2">
        <v>6</v>
      </c>
      <c r="CZ12" s="2">
        <v>1</v>
      </c>
      <c r="DA12" s="2">
        <v>4</v>
      </c>
      <c r="DB12" s="2">
        <v>6</v>
      </c>
      <c r="DC12" s="2">
        <v>9</v>
      </c>
      <c r="DD12" s="2">
        <v>2</v>
      </c>
      <c r="DE12" s="2">
        <v>7</v>
      </c>
      <c r="DF12" s="2">
        <v>6</v>
      </c>
      <c r="DG12" s="2">
        <v>2</v>
      </c>
      <c r="DH12" s="2">
        <v>8</v>
      </c>
      <c r="DI12" s="2">
        <v>7</v>
      </c>
      <c r="DJ12" s="2">
        <v>5</v>
      </c>
      <c r="DK12" s="2">
        <v>5</v>
      </c>
      <c r="DL12" s="2">
        <v>7</v>
      </c>
      <c r="DM12" s="2">
        <v>9</v>
      </c>
      <c r="DN12" s="2">
        <v>9</v>
      </c>
      <c r="DO12" s="2">
        <v>9</v>
      </c>
      <c r="DP12" s="2">
        <v>6</v>
      </c>
      <c r="DQ12" s="2">
        <v>6</v>
      </c>
      <c r="DR12" s="2">
        <v>3</v>
      </c>
      <c r="DS12" s="2">
        <v>1</v>
      </c>
      <c r="DT12" s="2">
        <v>7</v>
      </c>
      <c r="DU12" s="2">
        <v>4</v>
      </c>
      <c r="DV12" s="2">
        <v>1</v>
      </c>
      <c r="DW12" s="2">
        <v>6</v>
      </c>
      <c r="DX12" s="2">
        <v>6</v>
      </c>
      <c r="DY12" s="2">
        <v>1</v>
      </c>
      <c r="DZ12" s="2">
        <v>2</v>
      </c>
      <c r="EA12" s="2">
        <v>4</v>
      </c>
      <c r="EB12" s="2">
        <v>2</v>
      </c>
      <c r="EC12" s="2">
        <v>1</v>
      </c>
      <c r="ED12" s="2">
        <v>7</v>
      </c>
      <c r="EE12" s="2">
        <v>8</v>
      </c>
      <c r="EF12" s="2">
        <v>6</v>
      </c>
      <c r="EG12" s="2">
        <v>4</v>
      </c>
      <c r="EH12" s="2">
        <v>6</v>
      </c>
      <c r="EI12" s="2">
        <v>3</v>
      </c>
      <c r="EJ12" s="2">
        <v>8</v>
      </c>
      <c r="EK12" s="2">
        <v>2</v>
      </c>
      <c r="EL12" s="2">
        <v>5</v>
      </c>
      <c r="EM12" s="2">
        <v>1</v>
      </c>
      <c r="EN12" s="2">
        <v>2</v>
      </c>
      <c r="EO12" s="2">
        <v>4</v>
      </c>
      <c r="EP12" s="2">
        <v>6</v>
      </c>
      <c r="EQ12" s="2">
        <v>8</v>
      </c>
      <c r="ER12" s="2">
        <v>8</v>
      </c>
      <c r="ES12" s="2">
        <v>6</v>
      </c>
      <c r="ET12" s="2">
        <v>4</v>
      </c>
      <c r="EU12" s="2">
        <v>8</v>
      </c>
      <c r="EV12" s="2">
        <v>8</v>
      </c>
      <c r="EW12" s="2">
        <v>1</v>
      </c>
      <c r="EX12" s="2">
        <v>4</v>
      </c>
      <c r="EY12" s="2">
        <v>4</v>
      </c>
      <c r="EZ12" s="2">
        <v>7</v>
      </c>
      <c r="FA12" s="2">
        <v>7</v>
      </c>
      <c r="FB12" s="2">
        <v>8</v>
      </c>
      <c r="FC12" s="2">
        <v>7</v>
      </c>
      <c r="FD12" s="2">
        <v>8</v>
      </c>
      <c r="FE12" s="2">
        <v>9</v>
      </c>
      <c r="FF12" s="2">
        <v>3</v>
      </c>
      <c r="FG12" s="2">
        <v>3</v>
      </c>
      <c r="FH12" s="2">
        <v>4</v>
      </c>
      <c r="FI12" s="2">
        <v>7</v>
      </c>
      <c r="FJ12" s="2">
        <v>9</v>
      </c>
      <c r="FK12" s="2">
        <v>8</v>
      </c>
      <c r="FL12" s="2">
        <v>5</v>
      </c>
      <c r="FM12" s="2">
        <v>7</v>
      </c>
      <c r="FN12" s="2">
        <v>5</v>
      </c>
      <c r="FO12" s="2">
        <v>7</v>
      </c>
      <c r="FP12" s="2">
        <v>1</v>
      </c>
      <c r="FQ12" s="2">
        <v>1</v>
      </c>
      <c r="FR12" s="2">
        <v>3</v>
      </c>
      <c r="FS12" s="2">
        <v>2</v>
      </c>
      <c r="FT12" s="2">
        <v>7</v>
      </c>
      <c r="FU12" s="2">
        <v>2</v>
      </c>
      <c r="FV12" s="2">
        <v>4</v>
      </c>
      <c r="FW12" s="2">
        <v>2</v>
      </c>
      <c r="FX12" s="2">
        <v>6</v>
      </c>
      <c r="FY12" s="2">
        <v>8</v>
      </c>
      <c r="FZ12" s="2">
        <v>4</v>
      </c>
      <c r="GA12" s="2">
        <v>5</v>
      </c>
      <c r="GB12" s="2">
        <v>4</v>
      </c>
      <c r="GC12" s="2">
        <v>3</v>
      </c>
      <c r="GD12" s="2">
        <v>5</v>
      </c>
      <c r="GE12" s="2">
        <v>9</v>
      </c>
      <c r="GF12" s="2">
        <v>7</v>
      </c>
      <c r="GG12" s="2">
        <v>8</v>
      </c>
      <c r="GH12" s="2">
        <v>8</v>
      </c>
      <c r="GI12" s="2">
        <v>8</v>
      </c>
      <c r="GJ12" s="2">
        <v>7</v>
      </c>
      <c r="GK12" s="2">
        <v>1</v>
      </c>
      <c r="GL12" s="2">
        <v>4</v>
      </c>
      <c r="GM12" s="2">
        <v>5</v>
      </c>
      <c r="GN12" s="2">
        <v>6</v>
      </c>
      <c r="GO12" s="2">
        <v>4</v>
      </c>
      <c r="GP12" s="2">
        <v>2</v>
      </c>
      <c r="GQ12" s="2">
        <v>8</v>
      </c>
      <c r="GR12" s="2">
        <v>7</v>
      </c>
      <c r="GS12" s="2">
        <v>6</v>
      </c>
      <c r="GT12" s="2">
        <v>5</v>
      </c>
      <c r="GU12" s="2">
        <v>8</v>
      </c>
      <c r="GV12" s="2">
        <v>1</v>
      </c>
      <c r="GW12" s="2">
        <v>1</v>
      </c>
      <c r="GX12" s="2">
        <v>7</v>
      </c>
      <c r="GY12" s="2">
        <v>9</v>
      </c>
      <c r="GZ12" s="2">
        <v>8</v>
      </c>
      <c r="HA12" s="2">
        <v>2</v>
      </c>
      <c r="HB12" s="2">
        <v>9</v>
      </c>
      <c r="HC12" s="2">
        <v>6</v>
      </c>
      <c r="HD12" s="2">
        <v>2</v>
      </c>
      <c r="HE12" s="2">
        <v>3</v>
      </c>
      <c r="HF12" s="2">
        <v>8</v>
      </c>
      <c r="HG12" s="2">
        <v>1</v>
      </c>
      <c r="HH12" s="2">
        <v>7</v>
      </c>
      <c r="HI12" s="2">
        <v>7</v>
      </c>
      <c r="HJ12" s="2">
        <v>1</v>
      </c>
      <c r="HK12" s="2">
        <v>8</v>
      </c>
      <c r="HL12" s="2">
        <v>4</v>
      </c>
      <c r="HM12" s="2">
        <v>5</v>
      </c>
      <c r="HN12" s="2">
        <v>2</v>
      </c>
      <c r="HO12" s="2">
        <v>3</v>
      </c>
      <c r="HP12" s="2">
        <v>3</v>
      </c>
      <c r="HQ12" s="2">
        <v>2</v>
      </c>
      <c r="HR12" s="2">
        <v>7</v>
      </c>
      <c r="HS12" s="2">
        <v>7</v>
      </c>
      <c r="HT12" s="2">
        <v>4</v>
      </c>
      <c r="HU12" s="2">
        <v>8</v>
      </c>
      <c r="HV12" s="2">
        <v>1</v>
      </c>
      <c r="HW12" s="2">
        <v>1</v>
      </c>
      <c r="HX12" s="2">
        <v>5</v>
      </c>
      <c r="HY12" s="2">
        <v>6</v>
      </c>
      <c r="HZ12" s="2">
        <v>3</v>
      </c>
      <c r="IA12" s="2">
        <v>6</v>
      </c>
      <c r="IB12" s="2">
        <v>4</v>
      </c>
      <c r="IC12" s="2">
        <v>7</v>
      </c>
      <c r="ID12" s="2">
        <v>9</v>
      </c>
      <c r="IE12" s="2">
        <v>8</v>
      </c>
      <c r="IF12" s="2">
        <v>5</v>
      </c>
      <c r="IG12" s="2">
        <v>6</v>
      </c>
      <c r="IH12" s="2">
        <v>6</v>
      </c>
      <c r="II12" s="2">
        <v>7</v>
      </c>
      <c r="IJ12" s="2">
        <v>8</v>
      </c>
      <c r="IK12" s="2">
        <v>9</v>
      </c>
      <c r="IL12" s="2">
        <v>3</v>
      </c>
      <c r="IM12" s="2">
        <v>1</v>
      </c>
      <c r="IN12" s="2">
        <v>5</v>
      </c>
      <c r="IO12" s="2">
        <v>7</v>
      </c>
      <c r="IP12" s="2">
        <v>6</v>
      </c>
      <c r="IQ12" s="2">
        <v>4</v>
      </c>
      <c r="IR12" s="2">
        <v>2</v>
      </c>
      <c r="IS12" s="2">
        <v>1</v>
      </c>
      <c r="IT12" s="2">
        <v>4</v>
      </c>
      <c r="IU12" s="2">
        <v>4</v>
      </c>
      <c r="IV12" s="2">
        <v>1</v>
      </c>
      <c r="IW12" s="2">
        <v>4</v>
      </c>
      <c r="IX12" s="2">
        <v>1</v>
      </c>
      <c r="IY12" s="2">
        <v>1</v>
      </c>
      <c r="IZ12" s="2">
        <v>1</v>
      </c>
      <c r="JA12" s="2">
        <v>8</v>
      </c>
      <c r="JB12" s="2">
        <v>8</v>
      </c>
      <c r="JC12" s="2">
        <v>2</v>
      </c>
      <c r="JD12" s="2">
        <v>7</v>
      </c>
      <c r="JE12" s="2">
        <v>8</v>
      </c>
      <c r="JF12" s="2">
        <v>7</v>
      </c>
      <c r="JG12" s="2">
        <v>5</v>
      </c>
      <c r="JH12" s="2">
        <v>9</v>
      </c>
      <c r="JI12" s="2">
        <v>7</v>
      </c>
      <c r="JJ12" s="2">
        <v>2</v>
      </c>
      <c r="JK12" s="2">
        <v>6</v>
      </c>
      <c r="JL12" s="2">
        <v>2</v>
      </c>
      <c r="JM12" s="2">
        <v>1</v>
      </c>
      <c r="JN12" s="2">
        <v>7</v>
      </c>
      <c r="JO12" s="2">
        <v>2</v>
      </c>
      <c r="JP12" s="2">
        <v>1</v>
      </c>
      <c r="JQ12" s="2">
        <v>3</v>
      </c>
      <c r="JR12" s="2">
        <v>4</v>
      </c>
      <c r="JS12" s="2">
        <v>4</v>
      </c>
      <c r="JT12" s="2">
        <v>5</v>
      </c>
      <c r="JU12" s="2">
        <v>7</v>
      </c>
      <c r="JV12" s="2">
        <v>4</v>
      </c>
      <c r="JW12" s="2">
        <v>1</v>
      </c>
      <c r="JX12" s="2">
        <v>4</v>
      </c>
      <c r="JY12" s="2">
        <v>1</v>
      </c>
      <c r="JZ12" s="2">
        <v>3</v>
      </c>
      <c r="KA12" s="2">
        <v>2</v>
      </c>
      <c r="KB12" s="2">
        <v>9</v>
      </c>
      <c r="KC12" s="2">
        <v>9</v>
      </c>
      <c r="KD12" s="2">
        <v>8</v>
      </c>
      <c r="KE12" s="2">
        <v>8</v>
      </c>
      <c r="KF12" s="2">
        <v>1</v>
      </c>
      <c r="KG12" s="2">
        <v>8</v>
      </c>
      <c r="KH12" s="2">
        <v>3</v>
      </c>
      <c r="KI12" s="2">
        <v>5</v>
      </c>
      <c r="KJ12" s="2">
        <v>5</v>
      </c>
      <c r="KK12" s="2">
        <v>8</v>
      </c>
      <c r="KL12" s="2">
        <v>8</v>
      </c>
      <c r="KM12" s="2">
        <v>6</v>
      </c>
      <c r="KN12" s="2">
        <v>6</v>
      </c>
      <c r="KO12" s="2">
        <v>2</v>
      </c>
      <c r="KP12" s="2">
        <v>6</v>
      </c>
      <c r="KQ12" s="2">
        <v>5</v>
      </c>
      <c r="KR12" s="2">
        <v>6</v>
      </c>
      <c r="KS12" s="2">
        <v>1</v>
      </c>
      <c r="KT12" s="2">
        <v>3</v>
      </c>
      <c r="KU12" s="2">
        <v>1</v>
      </c>
      <c r="KV12" s="2">
        <v>5</v>
      </c>
      <c r="KW12" s="2">
        <v>3</v>
      </c>
      <c r="KX12" s="2">
        <v>2</v>
      </c>
      <c r="KY12" s="2">
        <v>8</v>
      </c>
      <c r="KZ12" s="2">
        <v>3</v>
      </c>
      <c r="LA12" s="2">
        <v>1</v>
      </c>
      <c r="LB12" s="2">
        <v>3</v>
      </c>
      <c r="LC12" s="2">
        <v>8</v>
      </c>
      <c r="LD12" s="2">
        <v>6</v>
      </c>
      <c r="LE12" s="2">
        <v>2</v>
      </c>
      <c r="LF12" s="2">
        <v>6</v>
      </c>
      <c r="LG12" s="2">
        <v>5</v>
      </c>
      <c r="LH12" s="2">
        <v>3</v>
      </c>
      <c r="LI12" s="2">
        <v>1</v>
      </c>
      <c r="LJ12" s="2">
        <v>4</v>
      </c>
      <c r="LK12" s="2">
        <v>1</v>
      </c>
      <c r="LL12" s="2">
        <v>9</v>
      </c>
      <c r="LM12" s="2">
        <v>7</v>
      </c>
      <c r="LN12" s="2">
        <v>3</v>
      </c>
      <c r="LO12" s="2">
        <v>8</v>
      </c>
      <c r="LP12" s="2">
        <v>1</v>
      </c>
      <c r="LQ12" s="2">
        <v>1</v>
      </c>
      <c r="LR12" s="2">
        <v>8</v>
      </c>
      <c r="LS12" s="2">
        <v>6</v>
      </c>
      <c r="LT12" s="2">
        <v>9</v>
      </c>
      <c r="LU12" s="2">
        <v>9</v>
      </c>
      <c r="LV12" s="2">
        <v>6</v>
      </c>
      <c r="LW12" s="2">
        <v>8</v>
      </c>
      <c r="LX12" s="2">
        <v>3</v>
      </c>
      <c r="LY12" s="2">
        <v>3</v>
      </c>
      <c r="LZ12" s="2">
        <v>5</v>
      </c>
      <c r="MA12" s="2">
        <v>3</v>
      </c>
      <c r="MB12" s="2">
        <v>1</v>
      </c>
      <c r="MC12" s="2">
        <v>3</v>
      </c>
      <c r="MD12" s="2">
        <v>9</v>
      </c>
      <c r="ME12" s="2">
        <v>2</v>
      </c>
      <c r="MF12" s="2">
        <v>4</v>
      </c>
      <c r="MG12" s="2">
        <v>7</v>
      </c>
      <c r="MH12" s="2">
        <v>1</v>
      </c>
      <c r="MI12" s="2">
        <v>9</v>
      </c>
      <c r="MJ12" s="2">
        <v>2</v>
      </c>
      <c r="MK12" s="2">
        <v>5</v>
      </c>
      <c r="ML12" s="2">
        <v>1</v>
      </c>
      <c r="MM12" s="2">
        <v>5</v>
      </c>
      <c r="MN12" s="2">
        <v>1</v>
      </c>
      <c r="MO12" s="2">
        <v>4</v>
      </c>
      <c r="MP12" s="2">
        <v>6</v>
      </c>
      <c r="MQ12" s="2">
        <v>9</v>
      </c>
      <c r="MR12" s="2">
        <v>8</v>
      </c>
      <c r="MS12" s="2">
        <v>5</v>
      </c>
      <c r="MT12" s="2">
        <v>6</v>
      </c>
      <c r="MU12" s="2">
        <v>8</v>
      </c>
      <c r="MV12" s="2">
        <v>7</v>
      </c>
      <c r="MW12" s="2">
        <v>2</v>
      </c>
      <c r="MX12" s="2">
        <v>9</v>
      </c>
      <c r="MY12" s="2">
        <v>4</v>
      </c>
      <c r="MZ12" s="2">
        <v>8</v>
      </c>
      <c r="NA12" s="2">
        <v>7</v>
      </c>
      <c r="NB12" s="2">
        <v>5</v>
      </c>
      <c r="NC12" s="2">
        <v>7</v>
      </c>
      <c r="ND12" s="2">
        <v>5</v>
      </c>
      <c r="NE12" s="2">
        <v>8</v>
      </c>
      <c r="NF12" s="2">
        <v>6</v>
      </c>
      <c r="NG12" s="2">
        <v>5</v>
      </c>
      <c r="NH12" s="2">
        <v>9</v>
      </c>
      <c r="NI12" s="2">
        <v>1</v>
      </c>
    </row>
    <row r="13" spans="1:373" x14ac:dyDescent="0.3">
      <c r="A13" s="1" t="s">
        <v>12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2668.52</v>
      </c>
      <c r="BA13" s="2">
        <v>2534.0700000000002</v>
      </c>
      <c r="BB13" s="2">
        <v>1428.62</v>
      </c>
      <c r="BC13" s="2">
        <v>3723.19</v>
      </c>
      <c r="BD13" s="2">
        <v>3402.72</v>
      </c>
      <c r="BE13" s="2">
        <v>1012.33</v>
      </c>
      <c r="BF13" s="2">
        <v>2122.36</v>
      </c>
      <c r="BG13" s="2">
        <v>3128.25</v>
      </c>
      <c r="BH13" s="2">
        <v>319.56</v>
      </c>
      <c r="BI13" s="2">
        <v>2645.71</v>
      </c>
      <c r="BJ13" s="2">
        <v>1041.2</v>
      </c>
      <c r="BK13" s="2">
        <v>2773.21</v>
      </c>
      <c r="BL13" s="2">
        <v>3769.71</v>
      </c>
      <c r="BM13" s="2">
        <v>330.13</v>
      </c>
      <c r="BN13" s="2">
        <v>1380.66</v>
      </c>
      <c r="BO13" s="2">
        <v>1836.98</v>
      </c>
      <c r="BP13" s="2">
        <v>3612.15</v>
      </c>
      <c r="BQ13" s="2">
        <v>3854.71</v>
      </c>
      <c r="BR13" s="2">
        <v>1859.84</v>
      </c>
      <c r="BS13" s="2">
        <v>3037.61</v>
      </c>
      <c r="BT13" s="2">
        <v>2196.89</v>
      </c>
      <c r="BU13" s="2">
        <v>2220.46</v>
      </c>
      <c r="BV13" s="2">
        <v>1220.68</v>
      </c>
      <c r="BW13" s="2">
        <v>985.28</v>
      </c>
      <c r="BX13" s="2">
        <v>2291.86</v>
      </c>
      <c r="BY13" s="2">
        <v>262.25</v>
      </c>
      <c r="BZ13" s="2">
        <v>3642.91</v>
      </c>
      <c r="CA13" s="2">
        <v>751.69</v>
      </c>
      <c r="CB13" s="2">
        <v>997.34</v>
      </c>
      <c r="CC13" s="2">
        <v>2145.36</v>
      </c>
      <c r="CD13" s="2">
        <v>2883.94</v>
      </c>
      <c r="CE13" s="2">
        <v>518.55999999999995</v>
      </c>
      <c r="CF13" s="2">
        <v>1373.12</v>
      </c>
      <c r="CG13" s="2">
        <v>3879.4</v>
      </c>
      <c r="CH13" s="2">
        <v>3370.52</v>
      </c>
      <c r="CI13" s="2">
        <v>343.33</v>
      </c>
      <c r="CJ13" s="2">
        <v>1938.76</v>
      </c>
      <c r="CK13" s="2">
        <v>1611.52</v>
      </c>
      <c r="CL13" s="2">
        <v>1368.86</v>
      </c>
      <c r="CM13" s="2">
        <v>1249.94</v>
      </c>
      <c r="CN13" s="2">
        <v>501.79</v>
      </c>
      <c r="CO13" s="2">
        <v>1362.08</v>
      </c>
      <c r="CP13" s="2">
        <v>315.75</v>
      </c>
      <c r="CQ13" s="2">
        <v>3156.71</v>
      </c>
      <c r="CR13" s="2">
        <v>1683.18</v>
      </c>
      <c r="CS13" s="2">
        <v>1859.03</v>
      </c>
      <c r="CT13" s="2">
        <v>3590.34</v>
      </c>
      <c r="CU13" s="2">
        <v>181.03</v>
      </c>
      <c r="CV13" s="2">
        <v>3781.22</v>
      </c>
      <c r="CW13" s="2">
        <v>1063.01</v>
      </c>
      <c r="CX13" s="2">
        <v>564.30999999999995</v>
      </c>
      <c r="CY13" s="2">
        <v>2076.84</v>
      </c>
      <c r="CZ13" s="2">
        <v>1820.02</v>
      </c>
      <c r="DA13" s="2">
        <v>1110.5899999999999</v>
      </c>
      <c r="DB13" s="2">
        <v>2257.77</v>
      </c>
      <c r="DC13" s="2">
        <v>1206.3800000000001</v>
      </c>
      <c r="DD13" s="2">
        <v>3621.09</v>
      </c>
      <c r="DE13" s="2">
        <v>978.54</v>
      </c>
      <c r="DF13" s="2">
        <v>3554.77</v>
      </c>
      <c r="DG13" s="2">
        <v>2303.71</v>
      </c>
      <c r="DH13" s="2">
        <v>3339.68</v>
      </c>
      <c r="DI13" s="2">
        <v>2894.46</v>
      </c>
      <c r="DJ13" s="2">
        <v>2832.28</v>
      </c>
      <c r="DK13" s="2">
        <v>1398.73</v>
      </c>
      <c r="DL13" s="2">
        <v>1050.5</v>
      </c>
      <c r="DM13" s="2">
        <v>961.91</v>
      </c>
      <c r="DN13" s="2">
        <v>3450.19</v>
      </c>
      <c r="DO13" s="2">
        <v>3308.64</v>
      </c>
      <c r="DP13" s="2">
        <v>1846.21</v>
      </c>
      <c r="DQ13" s="2">
        <v>659.76</v>
      </c>
      <c r="DR13" s="2">
        <v>1621.67</v>
      </c>
      <c r="DS13" s="2">
        <v>2534.4699999999998</v>
      </c>
      <c r="DT13" s="2">
        <v>1899.45</v>
      </c>
      <c r="DU13" s="2">
        <v>3153.73</v>
      </c>
      <c r="DV13" s="2">
        <v>3990.85</v>
      </c>
      <c r="DW13" s="2">
        <v>1919.66</v>
      </c>
      <c r="DX13" s="2">
        <v>1809.29</v>
      </c>
      <c r="DY13" s="2">
        <v>912.67</v>
      </c>
      <c r="DZ13" s="2">
        <v>402.91</v>
      </c>
      <c r="EA13" s="2">
        <v>3565.41</v>
      </c>
      <c r="EB13" s="2">
        <v>1766.42</v>
      </c>
      <c r="EC13" s="2">
        <v>2063.0500000000002</v>
      </c>
      <c r="ED13" s="2">
        <v>3680.23</v>
      </c>
      <c r="EE13" s="2">
        <v>3138.72</v>
      </c>
      <c r="EF13" s="2">
        <v>652.42999999999995</v>
      </c>
      <c r="EG13" s="2">
        <v>2326.87</v>
      </c>
      <c r="EH13" s="2">
        <v>1852.67</v>
      </c>
      <c r="EI13" s="2">
        <v>3219.26</v>
      </c>
      <c r="EJ13" s="2">
        <v>2938.3</v>
      </c>
      <c r="EK13" s="2">
        <v>2808.06</v>
      </c>
      <c r="EL13" s="2">
        <v>1461.1</v>
      </c>
      <c r="EM13" s="2">
        <v>3249.11</v>
      </c>
      <c r="EN13" s="2">
        <v>764.56</v>
      </c>
      <c r="EO13" s="2">
        <v>1442.15</v>
      </c>
      <c r="EP13" s="2">
        <v>445.71</v>
      </c>
      <c r="EQ13" s="2">
        <v>1054.73</v>
      </c>
      <c r="ER13" s="2">
        <v>3346.08</v>
      </c>
      <c r="ES13" s="2">
        <v>3800.77</v>
      </c>
      <c r="ET13" s="2">
        <v>1322.72</v>
      </c>
      <c r="EU13" s="2">
        <v>1168.3900000000001</v>
      </c>
      <c r="EV13" s="2">
        <v>1227.5899999999999</v>
      </c>
      <c r="EW13" s="2">
        <v>1219.22</v>
      </c>
      <c r="EX13" s="2">
        <v>288.33</v>
      </c>
      <c r="EY13" s="2">
        <v>3718.63</v>
      </c>
      <c r="EZ13" s="2">
        <v>972.74</v>
      </c>
      <c r="FA13" s="2">
        <v>1767.02</v>
      </c>
      <c r="FB13" s="2">
        <v>187.29</v>
      </c>
      <c r="FC13" s="2">
        <v>2964.96</v>
      </c>
      <c r="FD13" s="2">
        <v>3795.01</v>
      </c>
      <c r="FE13" s="2">
        <v>3159.22</v>
      </c>
      <c r="FF13" s="2">
        <v>1357.77</v>
      </c>
      <c r="FG13" s="2">
        <v>1104.31</v>
      </c>
      <c r="FH13" s="2">
        <v>2836.21</v>
      </c>
      <c r="FI13" s="2">
        <v>174.09</v>
      </c>
      <c r="FJ13" s="2">
        <v>388.26</v>
      </c>
      <c r="FK13" s="2">
        <v>2211.17</v>
      </c>
      <c r="FL13" s="2">
        <v>2329.38</v>
      </c>
      <c r="FM13" s="2">
        <v>658.07</v>
      </c>
      <c r="FN13" s="2">
        <v>2125.75</v>
      </c>
      <c r="FO13" s="2">
        <v>898.62</v>
      </c>
      <c r="FP13" s="2">
        <v>508.81</v>
      </c>
      <c r="FQ13" s="2">
        <v>1730.41</v>
      </c>
      <c r="FR13" s="2">
        <v>778.85</v>
      </c>
      <c r="FS13" s="2">
        <v>1372.59</v>
      </c>
      <c r="FT13" s="2">
        <v>1148.6500000000001</v>
      </c>
      <c r="FU13" s="2">
        <v>487.23</v>
      </c>
      <c r="FV13" s="2">
        <v>496.18</v>
      </c>
      <c r="FW13" s="2">
        <v>894.01</v>
      </c>
      <c r="FX13" s="2">
        <v>344.65</v>
      </c>
      <c r="FY13" s="2">
        <v>2561.86</v>
      </c>
      <c r="FZ13" s="2">
        <v>1256.21</v>
      </c>
      <c r="GA13" s="2">
        <v>1227.02</v>
      </c>
      <c r="GB13" s="2">
        <v>1428.19</v>
      </c>
      <c r="GC13" s="2">
        <v>2701.77</v>
      </c>
      <c r="GD13" s="2">
        <v>3501.94</v>
      </c>
      <c r="GE13" s="2">
        <v>3072.48</v>
      </c>
      <c r="GF13" s="2">
        <v>982.56</v>
      </c>
      <c r="GG13" s="2">
        <v>953.07</v>
      </c>
      <c r="GH13" s="2">
        <v>1291.1099999999999</v>
      </c>
      <c r="GI13" s="2">
        <v>3656.59</v>
      </c>
      <c r="GJ13" s="2">
        <v>2257.5500000000002</v>
      </c>
      <c r="GK13" s="2">
        <v>2975.54</v>
      </c>
      <c r="GL13" s="2">
        <v>1719.71</v>
      </c>
      <c r="GM13" s="2">
        <v>633.42999999999995</v>
      </c>
      <c r="GN13" s="2">
        <v>809.49</v>
      </c>
      <c r="GO13" s="2">
        <v>3335.32</v>
      </c>
      <c r="GP13" s="2">
        <v>2401.63</v>
      </c>
      <c r="GQ13" s="2">
        <v>3240.98</v>
      </c>
      <c r="GR13" s="2">
        <v>3907.73</v>
      </c>
      <c r="GS13" s="2">
        <v>1477.55</v>
      </c>
      <c r="GT13" s="2">
        <v>620.13</v>
      </c>
      <c r="GU13" s="2">
        <v>3519.2</v>
      </c>
      <c r="GV13" s="2">
        <v>2250.4899999999998</v>
      </c>
      <c r="GW13" s="2">
        <v>556.53</v>
      </c>
      <c r="GX13" s="2">
        <v>324.38</v>
      </c>
      <c r="GY13" s="2">
        <v>2677.09</v>
      </c>
      <c r="GZ13" s="2">
        <v>284.52</v>
      </c>
      <c r="HA13" s="2">
        <v>3960.56</v>
      </c>
      <c r="HB13" s="2">
        <v>265.58</v>
      </c>
      <c r="HC13" s="2">
        <v>1861.43</v>
      </c>
      <c r="HD13" s="2">
        <v>601.53</v>
      </c>
      <c r="HE13" s="2">
        <v>800.89</v>
      </c>
      <c r="HF13" s="2">
        <v>1504.45</v>
      </c>
      <c r="HG13" s="2">
        <v>3082.45</v>
      </c>
      <c r="HH13" s="2">
        <v>2102.27</v>
      </c>
      <c r="HI13" s="2">
        <v>2605.92</v>
      </c>
      <c r="HJ13" s="2">
        <v>3942.92</v>
      </c>
      <c r="HK13" s="2">
        <v>1822.29</v>
      </c>
      <c r="HL13" s="2">
        <v>1868.8</v>
      </c>
      <c r="HM13" s="2">
        <v>2532.27</v>
      </c>
      <c r="HN13" s="2">
        <v>2711.66</v>
      </c>
      <c r="HO13" s="2">
        <v>240.6</v>
      </c>
      <c r="HP13" s="2">
        <v>647.32000000000005</v>
      </c>
      <c r="HQ13" s="2">
        <v>533.25</v>
      </c>
      <c r="HR13" s="2">
        <v>2472.29</v>
      </c>
      <c r="HS13" s="2">
        <v>2165.86</v>
      </c>
      <c r="HT13" s="2">
        <v>1126.3</v>
      </c>
      <c r="HU13" s="2">
        <v>2045.09</v>
      </c>
      <c r="HV13" s="2">
        <v>900.78</v>
      </c>
      <c r="HW13" s="2">
        <v>2660.56</v>
      </c>
      <c r="HX13" s="2">
        <v>3156.54</v>
      </c>
      <c r="HY13" s="2">
        <v>3197.13</v>
      </c>
      <c r="HZ13" s="2">
        <v>2469.5100000000002</v>
      </c>
      <c r="IA13" s="2">
        <v>384.88</v>
      </c>
      <c r="IB13" s="2">
        <v>1258.1500000000001</v>
      </c>
      <c r="IC13" s="2">
        <v>509.1</v>
      </c>
      <c r="ID13" s="2">
        <v>670.06</v>
      </c>
      <c r="IE13" s="2">
        <v>3784.12</v>
      </c>
      <c r="IF13" s="2">
        <v>3098.44</v>
      </c>
      <c r="IG13" s="2">
        <v>220.79</v>
      </c>
      <c r="IH13" s="2">
        <v>1936.66</v>
      </c>
      <c r="II13" s="2">
        <v>1396.71</v>
      </c>
      <c r="IJ13" s="2">
        <v>2695.39</v>
      </c>
      <c r="IK13" s="2">
        <v>2661.11</v>
      </c>
      <c r="IL13" s="2">
        <v>967.49</v>
      </c>
      <c r="IM13" s="2">
        <v>619.73</v>
      </c>
      <c r="IN13" s="2">
        <v>2850.33</v>
      </c>
      <c r="IO13" s="2">
        <v>636.59</v>
      </c>
      <c r="IP13" s="2">
        <v>257.2</v>
      </c>
      <c r="IQ13" s="2">
        <v>2547.52</v>
      </c>
      <c r="IR13" s="2">
        <v>3256.02</v>
      </c>
      <c r="IS13" s="2">
        <v>3391.76</v>
      </c>
      <c r="IT13" s="2">
        <v>2008.45</v>
      </c>
      <c r="IU13" s="2">
        <v>3143.2</v>
      </c>
      <c r="IV13" s="2">
        <v>2740.46</v>
      </c>
      <c r="IW13" s="2">
        <v>2046.51</v>
      </c>
      <c r="IX13" s="2">
        <v>2588.64</v>
      </c>
      <c r="IY13" s="2">
        <v>3251.27</v>
      </c>
      <c r="IZ13" s="2">
        <v>1681.85</v>
      </c>
      <c r="JA13" s="2">
        <v>3253.02</v>
      </c>
      <c r="JB13" s="2">
        <v>2429.2600000000002</v>
      </c>
      <c r="JC13" s="2">
        <v>788.72</v>
      </c>
      <c r="JD13" s="2">
        <v>245.03</v>
      </c>
      <c r="JE13" s="2">
        <v>2254.7800000000002</v>
      </c>
      <c r="JF13" s="2">
        <v>3383.31</v>
      </c>
      <c r="JG13" s="2">
        <v>640.82000000000005</v>
      </c>
      <c r="JH13" s="2">
        <v>3472.58</v>
      </c>
      <c r="JI13" s="2">
        <v>730.15</v>
      </c>
      <c r="JJ13" s="2">
        <v>3428.64</v>
      </c>
      <c r="JK13" s="2">
        <v>3967.1</v>
      </c>
      <c r="JL13" s="2">
        <v>2948.33</v>
      </c>
      <c r="JM13" s="2">
        <v>3171.36</v>
      </c>
      <c r="JN13" s="2">
        <v>3978.5</v>
      </c>
      <c r="JO13" s="2">
        <v>1335.36</v>
      </c>
      <c r="JP13" s="2">
        <v>1126.5</v>
      </c>
      <c r="JQ13" s="2">
        <v>464.42</v>
      </c>
      <c r="JR13" s="2">
        <v>3708.51</v>
      </c>
      <c r="JS13" s="2">
        <v>641.92999999999995</v>
      </c>
      <c r="JT13" s="2">
        <v>1853.11</v>
      </c>
      <c r="JU13" s="2">
        <v>313.51</v>
      </c>
      <c r="JV13" s="2">
        <v>2785.81</v>
      </c>
      <c r="JW13" s="2">
        <v>3625.42</v>
      </c>
      <c r="JX13" s="2">
        <v>640.37</v>
      </c>
      <c r="JY13" s="2">
        <v>3708.38</v>
      </c>
      <c r="JZ13" s="2">
        <v>1923.58</v>
      </c>
      <c r="KA13" s="2">
        <v>2071.04</v>
      </c>
      <c r="KB13" s="2">
        <v>2632.88</v>
      </c>
      <c r="KC13" s="2">
        <v>1259.77</v>
      </c>
      <c r="KD13" s="2">
        <v>1300.31</v>
      </c>
      <c r="KE13" s="2">
        <v>3581.12</v>
      </c>
      <c r="KF13" s="2">
        <v>202.49</v>
      </c>
      <c r="KG13" s="2">
        <v>1392.5</v>
      </c>
      <c r="KH13" s="2">
        <v>2284.27</v>
      </c>
      <c r="KI13" s="2">
        <v>3593.46</v>
      </c>
      <c r="KJ13" s="2">
        <v>3320.88</v>
      </c>
      <c r="KK13" s="2">
        <v>3610.33</v>
      </c>
      <c r="KL13" s="2">
        <v>3277.19</v>
      </c>
      <c r="KM13" s="2">
        <v>1628.56</v>
      </c>
      <c r="KN13" s="2">
        <v>2715.13</v>
      </c>
      <c r="KO13" s="2">
        <v>3957.02</v>
      </c>
      <c r="KP13" s="2">
        <v>1019.05</v>
      </c>
      <c r="KQ13" s="2">
        <v>1651.11</v>
      </c>
      <c r="KR13" s="2">
        <v>681.36</v>
      </c>
      <c r="KS13" s="2">
        <v>3910.66</v>
      </c>
      <c r="KT13" s="2">
        <v>487.45</v>
      </c>
      <c r="KU13" s="2">
        <v>3581.58</v>
      </c>
      <c r="KV13" s="2">
        <v>1935.68</v>
      </c>
      <c r="KW13" s="2">
        <v>1382.11</v>
      </c>
      <c r="KX13" s="2">
        <v>1984.38</v>
      </c>
      <c r="KY13" s="2">
        <v>1375.47</v>
      </c>
      <c r="KZ13" s="2">
        <v>2032.79</v>
      </c>
      <c r="LA13" s="2">
        <v>2430.36</v>
      </c>
      <c r="LB13" s="2">
        <v>1553.98</v>
      </c>
      <c r="LC13" s="2">
        <v>2993.25</v>
      </c>
      <c r="LD13" s="2">
        <v>2716.48</v>
      </c>
      <c r="LE13" s="2">
        <v>610.30999999999995</v>
      </c>
      <c r="LF13" s="2">
        <v>2354.67</v>
      </c>
      <c r="LG13" s="2">
        <v>3245.77</v>
      </c>
      <c r="LH13" s="2">
        <v>1789.86</v>
      </c>
      <c r="LI13" s="2">
        <v>2743.75</v>
      </c>
      <c r="LJ13" s="2">
        <v>1333.99</v>
      </c>
      <c r="LK13" s="2">
        <v>2044.41</v>
      </c>
      <c r="LL13" s="2">
        <v>3216.56</v>
      </c>
      <c r="LM13" s="2">
        <v>1020.23</v>
      </c>
      <c r="LN13" s="2">
        <v>2165.7199999999998</v>
      </c>
      <c r="LO13" s="2">
        <v>1297.5899999999999</v>
      </c>
      <c r="LP13" s="2">
        <v>1219.7</v>
      </c>
      <c r="LQ13" s="2">
        <v>3354.81</v>
      </c>
      <c r="LR13" s="2">
        <v>3905.57</v>
      </c>
      <c r="LS13" s="2">
        <v>1288.31</v>
      </c>
      <c r="LT13" s="2">
        <v>3740.3</v>
      </c>
      <c r="LU13" s="2">
        <v>2454.59</v>
      </c>
      <c r="LV13" s="2">
        <v>2247.37</v>
      </c>
      <c r="LW13" s="2">
        <v>437.36</v>
      </c>
      <c r="LX13" s="2">
        <v>3644.78</v>
      </c>
      <c r="LY13" s="2">
        <v>3986.78</v>
      </c>
      <c r="LZ13" s="2">
        <v>3116.22</v>
      </c>
      <c r="MA13" s="2">
        <v>1448.62</v>
      </c>
      <c r="MB13" s="2">
        <v>3775.07</v>
      </c>
      <c r="MC13" s="2">
        <v>2189.4</v>
      </c>
      <c r="MD13" s="2">
        <v>2969.7</v>
      </c>
      <c r="ME13" s="2">
        <v>3904.44</v>
      </c>
      <c r="MF13" s="2">
        <v>3871.21</v>
      </c>
      <c r="MG13" s="2">
        <v>2568.2600000000002</v>
      </c>
      <c r="MH13" s="2">
        <v>1574.59</v>
      </c>
      <c r="MI13" s="2">
        <v>3191.56</v>
      </c>
      <c r="MJ13" s="2">
        <v>1374.23</v>
      </c>
      <c r="MK13" s="2">
        <v>1480.66</v>
      </c>
      <c r="ML13" s="2">
        <v>445.38</v>
      </c>
      <c r="MM13" s="2">
        <v>2072.3200000000002</v>
      </c>
      <c r="MN13" s="2">
        <v>559.4</v>
      </c>
      <c r="MO13" s="2">
        <v>589.44000000000005</v>
      </c>
      <c r="MP13" s="2">
        <v>3773.04</v>
      </c>
      <c r="MQ13" s="2">
        <v>1890.53</v>
      </c>
      <c r="MR13" s="2">
        <v>150.72</v>
      </c>
      <c r="MS13" s="2">
        <v>2523.25</v>
      </c>
      <c r="MT13" s="2">
        <v>845</v>
      </c>
      <c r="MU13" s="2">
        <v>1160.51</v>
      </c>
      <c r="MV13" s="2">
        <v>2172.2399999999998</v>
      </c>
      <c r="MW13" s="2">
        <v>1294.8399999999999</v>
      </c>
      <c r="MX13" s="2">
        <v>775.77</v>
      </c>
      <c r="MY13" s="2">
        <v>2751.14</v>
      </c>
      <c r="MZ13" s="2">
        <v>2536.88</v>
      </c>
      <c r="NA13" s="2">
        <v>2838.06</v>
      </c>
      <c r="NB13" s="2">
        <v>977.43</v>
      </c>
      <c r="NC13" s="2">
        <v>1550.03</v>
      </c>
      <c r="ND13" s="2">
        <v>529.59</v>
      </c>
      <c r="NE13" s="2">
        <v>598.44000000000005</v>
      </c>
      <c r="NF13" s="2">
        <v>1128.9100000000001</v>
      </c>
      <c r="NG13" s="2">
        <v>1287.55</v>
      </c>
      <c r="NH13" s="2">
        <v>2190.39</v>
      </c>
      <c r="NI13" s="2">
        <v>2432.17</v>
      </c>
    </row>
    <row r="14" spans="1:373" x14ac:dyDescent="0.3">
      <c r="A14" s="4" t="s">
        <v>14</v>
      </c>
      <c r="B14" s="2">
        <f t="shared" ref="B14:BM14" si="0">B12*B13</f>
        <v>19907.09</v>
      </c>
      <c r="C14" s="2">
        <f t="shared" si="0"/>
        <v>22727.07</v>
      </c>
      <c r="D14" s="2">
        <f t="shared" si="0"/>
        <v>20846.04</v>
      </c>
      <c r="E14" s="2">
        <f t="shared" si="0"/>
        <v>1008.79</v>
      </c>
      <c r="F14" s="2">
        <f t="shared" si="0"/>
        <v>24580.289999999997</v>
      </c>
      <c r="G14" s="2">
        <f t="shared" si="0"/>
        <v>9568.6500000000015</v>
      </c>
      <c r="H14" s="2">
        <f t="shared" si="0"/>
        <v>15152.1</v>
      </c>
      <c r="I14" s="2">
        <f t="shared" si="0"/>
        <v>9243.32</v>
      </c>
      <c r="J14" s="2">
        <f t="shared" si="0"/>
        <v>5490.2</v>
      </c>
      <c r="K14" s="2">
        <f t="shared" si="0"/>
        <v>8903.3000000000011</v>
      </c>
      <c r="L14" s="2">
        <f t="shared" si="0"/>
        <v>19231.5</v>
      </c>
      <c r="M14" s="2">
        <f t="shared" si="0"/>
        <v>1634.1000000000001</v>
      </c>
      <c r="N14" s="2">
        <f t="shared" si="0"/>
        <v>25287.200000000001</v>
      </c>
      <c r="O14" s="2">
        <f t="shared" si="0"/>
        <v>8594.16</v>
      </c>
      <c r="P14" s="2">
        <f t="shared" si="0"/>
        <v>6350.31</v>
      </c>
      <c r="Q14" s="2">
        <f t="shared" si="0"/>
        <v>4763.6000000000004</v>
      </c>
      <c r="R14" s="2">
        <f t="shared" si="0"/>
        <v>509.82</v>
      </c>
      <c r="S14" s="2">
        <f t="shared" si="0"/>
        <v>2165.81</v>
      </c>
      <c r="T14" s="2">
        <f t="shared" si="0"/>
        <v>1980.6</v>
      </c>
      <c r="U14" s="2">
        <f t="shared" si="0"/>
        <v>7918.62</v>
      </c>
      <c r="V14" s="2">
        <f t="shared" si="0"/>
        <v>7084.74</v>
      </c>
      <c r="W14" s="2">
        <f t="shared" si="0"/>
        <v>4766.0200000000004</v>
      </c>
      <c r="X14" s="2">
        <f t="shared" si="0"/>
        <v>5603.48</v>
      </c>
      <c r="Y14" s="2">
        <f t="shared" si="0"/>
        <v>3606.31</v>
      </c>
      <c r="Z14" s="2">
        <f t="shared" si="0"/>
        <v>18113.64</v>
      </c>
      <c r="AA14" s="2">
        <f t="shared" si="0"/>
        <v>3998.61</v>
      </c>
      <c r="AB14" s="2">
        <f t="shared" si="0"/>
        <v>10797.45</v>
      </c>
      <c r="AC14" s="2">
        <f t="shared" si="0"/>
        <v>19239.78</v>
      </c>
      <c r="AD14" s="2">
        <f t="shared" si="0"/>
        <v>2278.41</v>
      </c>
      <c r="AE14" s="2">
        <f t="shared" si="0"/>
        <v>349.38</v>
      </c>
      <c r="AF14" s="2">
        <f t="shared" si="0"/>
        <v>11478.25</v>
      </c>
      <c r="AG14" s="2">
        <f t="shared" si="0"/>
        <v>3002.96</v>
      </c>
      <c r="AH14" s="2">
        <f t="shared" si="0"/>
        <v>23542.26</v>
      </c>
      <c r="AI14" s="2">
        <f t="shared" si="0"/>
        <v>9177.5399999999991</v>
      </c>
      <c r="AJ14" s="2">
        <f t="shared" si="0"/>
        <v>25652.48</v>
      </c>
      <c r="AK14" s="2">
        <f t="shared" si="0"/>
        <v>11639.5</v>
      </c>
      <c r="AL14" s="2">
        <f t="shared" si="0"/>
        <v>3413.16</v>
      </c>
      <c r="AM14" s="2">
        <f t="shared" si="0"/>
        <v>4812.22</v>
      </c>
      <c r="AN14" s="2">
        <f t="shared" si="0"/>
        <v>16585.940000000002</v>
      </c>
      <c r="AO14" s="2">
        <f t="shared" si="0"/>
        <v>18499.5</v>
      </c>
      <c r="AP14" s="2">
        <f t="shared" si="0"/>
        <v>25270.400000000001</v>
      </c>
      <c r="AQ14" s="2">
        <f t="shared" si="0"/>
        <v>4846.68</v>
      </c>
      <c r="AR14" s="2">
        <f t="shared" si="0"/>
        <v>4681.75</v>
      </c>
      <c r="AS14" s="2">
        <f t="shared" si="0"/>
        <v>858.04</v>
      </c>
      <c r="AT14" s="2">
        <f t="shared" si="0"/>
        <v>2764.92</v>
      </c>
      <c r="AU14" s="2">
        <f t="shared" si="0"/>
        <v>3558.32</v>
      </c>
      <c r="AV14" s="2">
        <f t="shared" si="0"/>
        <v>1769.93</v>
      </c>
      <c r="AW14" s="2">
        <f t="shared" si="0"/>
        <v>12332.4</v>
      </c>
      <c r="AX14" s="2">
        <f t="shared" si="0"/>
        <v>22547.22</v>
      </c>
      <c r="AY14" s="2">
        <f t="shared" si="0"/>
        <v>8102.64</v>
      </c>
      <c r="AZ14" s="2">
        <f t="shared" si="0"/>
        <v>8005.5599999999995</v>
      </c>
      <c r="BA14" s="2">
        <f t="shared" si="0"/>
        <v>12670.35</v>
      </c>
      <c r="BB14" s="2">
        <f t="shared" si="0"/>
        <v>11428.96</v>
      </c>
      <c r="BC14" s="2">
        <f t="shared" si="0"/>
        <v>7446.38</v>
      </c>
      <c r="BD14" s="2">
        <f t="shared" si="0"/>
        <v>20416.32</v>
      </c>
      <c r="BE14" s="2">
        <f t="shared" si="0"/>
        <v>9110.9700000000012</v>
      </c>
      <c r="BF14" s="2">
        <f t="shared" si="0"/>
        <v>16978.88</v>
      </c>
      <c r="BG14" s="2">
        <f t="shared" si="0"/>
        <v>25026</v>
      </c>
      <c r="BH14" s="2">
        <f t="shared" si="0"/>
        <v>2236.92</v>
      </c>
      <c r="BI14" s="2">
        <f t="shared" si="0"/>
        <v>15874.26</v>
      </c>
      <c r="BJ14" s="2">
        <f t="shared" si="0"/>
        <v>2082.4</v>
      </c>
      <c r="BK14" s="2">
        <f t="shared" si="0"/>
        <v>5546.42</v>
      </c>
      <c r="BL14" s="2">
        <f t="shared" si="0"/>
        <v>30157.68</v>
      </c>
      <c r="BM14" s="2">
        <f t="shared" si="0"/>
        <v>330.13</v>
      </c>
      <c r="BN14" s="2">
        <f t="shared" ref="BN14:DY14" si="1">BN12*BN13</f>
        <v>8283.9600000000009</v>
      </c>
      <c r="BO14" s="2">
        <f t="shared" si="1"/>
        <v>11021.880000000001</v>
      </c>
      <c r="BP14" s="2">
        <f t="shared" si="1"/>
        <v>14448.6</v>
      </c>
      <c r="BQ14" s="2">
        <f t="shared" si="1"/>
        <v>11564.130000000001</v>
      </c>
      <c r="BR14" s="2">
        <f t="shared" si="1"/>
        <v>5579.5199999999995</v>
      </c>
      <c r="BS14" s="2">
        <f t="shared" si="1"/>
        <v>3037.61</v>
      </c>
      <c r="BT14" s="2">
        <f t="shared" si="1"/>
        <v>6590.67</v>
      </c>
      <c r="BU14" s="2">
        <f t="shared" si="1"/>
        <v>8881.84</v>
      </c>
      <c r="BV14" s="2">
        <f t="shared" si="1"/>
        <v>6103.4000000000005</v>
      </c>
      <c r="BW14" s="2">
        <f t="shared" si="1"/>
        <v>2955.84</v>
      </c>
      <c r="BX14" s="2">
        <f t="shared" si="1"/>
        <v>11459.300000000001</v>
      </c>
      <c r="BY14" s="2">
        <f t="shared" si="1"/>
        <v>786.75</v>
      </c>
      <c r="BZ14" s="2">
        <f t="shared" si="1"/>
        <v>21857.46</v>
      </c>
      <c r="CA14" s="2">
        <f t="shared" si="1"/>
        <v>4510.1400000000003</v>
      </c>
      <c r="CB14" s="2">
        <f t="shared" si="1"/>
        <v>7978.72</v>
      </c>
      <c r="CC14" s="2">
        <f t="shared" si="1"/>
        <v>4290.72</v>
      </c>
      <c r="CD14" s="2">
        <f t="shared" si="1"/>
        <v>2883.94</v>
      </c>
      <c r="CE14" s="2">
        <f t="shared" si="1"/>
        <v>2074.2399999999998</v>
      </c>
      <c r="CF14" s="2">
        <f t="shared" si="1"/>
        <v>9611.84</v>
      </c>
      <c r="CG14" s="2">
        <f t="shared" si="1"/>
        <v>11638.2</v>
      </c>
      <c r="CH14" s="2">
        <f t="shared" si="1"/>
        <v>16852.599999999999</v>
      </c>
      <c r="CI14" s="2">
        <f t="shared" si="1"/>
        <v>1029.99</v>
      </c>
      <c r="CJ14" s="2">
        <f t="shared" si="1"/>
        <v>17448.84</v>
      </c>
      <c r="CK14" s="2">
        <f t="shared" si="1"/>
        <v>6446.08</v>
      </c>
      <c r="CL14" s="2">
        <f t="shared" si="1"/>
        <v>4106.58</v>
      </c>
      <c r="CM14" s="2">
        <f t="shared" si="1"/>
        <v>2499.88</v>
      </c>
      <c r="CN14" s="2">
        <f t="shared" si="1"/>
        <v>4516.1100000000006</v>
      </c>
      <c r="CO14" s="2">
        <f t="shared" si="1"/>
        <v>5448.32</v>
      </c>
      <c r="CP14" s="2">
        <f t="shared" si="1"/>
        <v>947.25</v>
      </c>
      <c r="CQ14" s="2">
        <f t="shared" si="1"/>
        <v>22096.97</v>
      </c>
      <c r="CR14" s="2">
        <f t="shared" si="1"/>
        <v>13465.44</v>
      </c>
      <c r="CS14" s="2">
        <f t="shared" si="1"/>
        <v>3718.06</v>
      </c>
      <c r="CT14" s="2">
        <f t="shared" si="1"/>
        <v>25132.38</v>
      </c>
      <c r="CU14" s="2">
        <f t="shared" si="1"/>
        <v>905.15</v>
      </c>
      <c r="CV14" s="2">
        <f t="shared" si="1"/>
        <v>11343.66</v>
      </c>
      <c r="CW14" s="2">
        <f t="shared" si="1"/>
        <v>5315.05</v>
      </c>
      <c r="CX14" s="2">
        <f t="shared" si="1"/>
        <v>1128.6199999999999</v>
      </c>
      <c r="CY14" s="2">
        <f t="shared" si="1"/>
        <v>12461.04</v>
      </c>
      <c r="CZ14" s="2">
        <f t="shared" si="1"/>
        <v>1820.02</v>
      </c>
      <c r="DA14" s="2">
        <f t="shared" si="1"/>
        <v>4442.3599999999997</v>
      </c>
      <c r="DB14" s="2">
        <f t="shared" si="1"/>
        <v>13546.619999999999</v>
      </c>
      <c r="DC14" s="2">
        <f t="shared" si="1"/>
        <v>10857.420000000002</v>
      </c>
      <c r="DD14" s="2">
        <f t="shared" si="1"/>
        <v>7242.18</v>
      </c>
      <c r="DE14" s="2">
        <f t="shared" si="1"/>
        <v>6849.78</v>
      </c>
      <c r="DF14" s="2">
        <f t="shared" si="1"/>
        <v>21328.62</v>
      </c>
      <c r="DG14" s="2">
        <f t="shared" si="1"/>
        <v>4607.42</v>
      </c>
      <c r="DH14" s="2">
        <f t="shared" si="1"/>
        <v>26717.439999999999</v>
      </c>
      <c r="DI14" s="2">
        <f t="shared" si="1"/>
        <v>20261.22</v>
      </c>
      <c r="DJ14" s="2">
        <f t="shared" si="1"/>
        <v>14161.400000000001</v>
      </c>
      <c r="DK14" s="2">
        <f t="shared" si="1"/>
        <v>6993.65</v>
      </c>
      <c r="DL14" s="2">
        <f t="shared" si="1"/>
        <v>7353.5</v>
      </c>
      <c r="DM14" s="2">
        <f t="shared" si="1"/>
        <v>8657.19</v>
      </c>
      <c r="DN14" s="2">
        <f t="shared" si="1"/>
        <v>31051.71</v>
      </c>
      <c r="DO14" s="2">
        <f t="shared" si="1"/>
        <v>29777.759999999998</v>
      </c>
      <c r="DP14" s="2">
        <f t="shared" si="1"/>
        <v>11077.26</v>
      </c>
      <c r="DQ14" s="2">
        <f t="shared" si="1"/>
        <v>3958.56</v>
      </c>
      <c r="DR14" s="2">
        <f t="shared" si="1"/>
        <v>4865.01</v>
      </c>
      <c r="DS14" s="2">
        <f t="shared" si="1"/>
        <v>2534.4699999999998</v>
      </c>
      <c r="DT14" s="2">
        <f t="shared" si="1"/>
        <v>13296.15</v>
      </c>
      <c r="DU14" s="2">
        <f t="shared" si="1"/>
        <v>12614.92</v>
      </c>
      <c r="DV14" s="2">
        <f t="shared" si="1"/>
        <v>3990.85</v>
      </c>
      <c r="DW14" s="2">
        <f t="shared" si="1"/>
        <v>11517.960000000001</v>
      </c>
      <c r="DX14" s="2">
        <f t="shared" si="1"/>
        <v>10855.74</v>
      </c>
      <c r="DY14" s="2">
        <f t="shared" si="1"/>
        <v>912.67</v>
      </c>
      <c r="DZ14" s="2">
        <f t="shared" ref="DZ14:GK14" si="2">DZ12*DZ13</f>
        <v>805.82</v>
      </c>
      <c r="EA14" s="2">
        <f t="shared" si="2"/>
        <v>14261.64</v>
      </c>
      <c r="EB14" s="2">
        <f t="shared" si="2"/>
        <v>3532.84</v>
      </c>
      <c r="EC14" s="2">
        <f t="shared" si="2"/>
        <v>2063.0500000000002</v>
      </c>
      <c r="ED14" s="2">
        <f t="shared" si="2"/>
        <v>25761.61</v>
      </c>
      <c r="EE14" s="2">
        <f t="shared" si="2"/>
        <v>25109.759999999998</v>
      </c>
      <c r="EF14" s="2">
        <f t="shared" si="2"/>
        <v>3914.58</v>
      </c>
      <c r="EG14" s="2">
        <f t="shared" si="2"/>
        <v>9307.48</v>
      </c>
      <c r="EH14" s="2">
        <f t="shared" si="2"/>
        <v>11116.02</v>
      </c>
      <c r="EI14" s="2">
        <f t="shared" si="2"/>
        <v>9657.7800000000007</v>
      </c>
      <c r="EJ14" s="2">
        <f t="shared" si="2"/>
        <v>23506.400000000001</v>
      </c>
      <c r="EK14" s="2">
        <f t="shared" si="2"/>
        <v>5616.12</v>
      </c>
      <c r="EL14" s="2">
        <f t="shared" si="2"/>
        <v>7305.5</v>
      </c>
      <c r="EM14" s="2">
        <f t="shared" si="2"/>
        <v>3249.11</v>
      </c>
      <c r="EN14" s="2">
        <f t="shared" si="2"/>
        <v>1529.12</v>
      </c>
      <c r="EO14" s="2">
        <f t="shared" si="2"/>
        <v>5768.6</v>
      </c>
      <c r="EP14" s="2">
        <f t="shared" si="2"/>
        <v>2674.2599999999998</v>
      </c>
      <c r="EQ14" s="2">
        <f t="shared" si="2"/>
        <v>8437.84</v>
      </c>
      <c r="ER14" s="2">
        <f t="shared" si="2"/>
        <v>26768.639999999999</v>
      </c>
      <c r="ES14" s="2">
        <f t="shared" si="2"/>
        <v>22804.62</v>
      </c>
      <c r="ET14" s="2">
        <f t="shared" si="2"/>
        <v>5290.88</v>
      </c>
      <c r="EU14" s="2">
        <f t="shared" si="2"/>
        <v>9347.1200000000008</v>
      </c>
      <c r="EV14" s="2">
        <f t="shared" si="2"/>
        <v>9820.7199999999993</v>
      </c>
      <c r="EW14" s="2">
        <f t="shared" si="2"/>
        <v>1219.22</v>
      </c>
      <c r="EX14" s="2">
        <f t="shared" si="2"/>
        <v>1153.32</v>
      </c>
      <c r="EY14" s="2">
        <f t="shared" si="2"/>
        <v>14874.52</v>
      </c>
      <c r="EZ14" s="2">
        <f t="shared" si="2"/>
        <v>6809.18</v>
      </c>
      <c r="FA14" s="2">
        <f t="shared" si="2"/>
        <v>12369.14</v>
      </c>
      <c r="FB14" s="2">
        <f t="shared" si="2"/>
        <v>1498.32</v>
      </c>
      <c r="FC14" s="2">
        <f t="shared" si="2"/>
        <v>20754.72</v>
      </c>
      <c r="FD14" s="2">
        <f t="shared" si="2"/>
        <v>30360.080000000002</v>
      </c>
      <c r="FE14" s="2">
        <f t="shared" si="2"/>
        <v>28432.98</v>
      </c>
      <c r="FF14" s="2">
        <f t="shared" si="2"/>
        <v>4073.31</v>
      </c>
      <c r="FG14" s="2">
        <f t="shared" si="2"/>
        <v>3312.93</v>
      </c>
      <c r="FH14" s="2">
        <f t="shared" si="2"/>
        <v>11344.84</v>
      </c>
      <c r="FI14" s="2">
        <f t="shared" si="2"/>
        <v>1218.6300000000001</v>
      </c>
      <c r="FJ14" s="2">
        <f t="shared" si="2"/>
        <v>3494.34</v>
      </c>
      <c r="FK14" s="2">
        <f t="shared" si="2"/>
        <v>17689.36</v>
      </c>
      <c r="FL14" s="2">
        <f t="shared" si="2"/>
        <v>11646.900000000001</v>
      </c>
      <c r="FM14" s="2">
        <f t="shared" si="2"/>
        <v>4606.4900000000007</v>
      </c>
      <c r="FN14" s="2">
        <f t="shared" si="2"/>
        <v>10628.75</v>
      </c>
      <c r="FO14" s="2">
        <f t="shared" si="2"/>
        <v>6290.34</v>
      </c>
      <c r="FP14" s="2">
        <f t="shared" si="2"/>
        <v>508.81</v>
      </c>
      <c r="FQ14" s="2">
        <f t="shared" si="2"/>
        <v>1730.41</v>
      </c>
      <c r="FR14" s="2">
        <f t="shared" si="2"/>
        <v>2336.5500000000002</v>
      </c>
      <c r="FS14" s="2">
        <f t="shared" si="2"/>
        <v>2745.18</v>
      </c>
      <c r="FT14" s="2">
        <f t="shared" si="2"/>
        <v>8040.5500000000011</v>
      </c>
      <c r="FU14" s="2">
        <f t="shared" si="2"/>
        <v>974.46</v>
      </c>
      <c r="FV14" s="2">
        <f t="shared" si="2"/>
        <v>1984.72</v>
      </c>
      <c r="FW14" s="2">
        <f t="shared" si="2"/>
        <v>1788.02</v>
      </c>
      <c r="FX14" s="2">
        <f t="shared" si="2"/>
        <v>2067.8999999999996</v>
      </c>
      <c r="FY14" s="2">
        <f t="shared" si="2"/>
        <v>20494.88</v>
      </c>
      <c r="FZ14" s="2">
        <f t="shared" si="2"/>
        <v>5024.84</v>
      </c>
      <c r="GA14" s="2">
        <f t="shared" si="2"/>
        <v>6135.1</v>
      </c>
      <c r="GB14" s="2">
        <f t="shared" si="2"/>
        <v>5712.76</v>
      </c>
      <c r="GC14" s="2">
        <f t="shared" si="2"/>
        <v>8105.3099999999995</v>
      </c>
      <c r="GD14" s="2">
        <f t="shared" si="2"/>
        <v>17509.7</v>
      </c>
      <c r="GE14" s="2">
        <f t="shared" si="2"/>
        <v>27652.32</v>
      </c>
      <c r="GF14" s="2">
        <f t="shared" si="2"/>
        <v>6877.92</v>
      </c>
      <c r="GG14" s="2">
        <f t="shared" si="2"/>
        <v>7624.56</v>
      </c>
      <c r="GH14" s="2">
        <f t="shared" si="2"/>
        <v>10328.879999999999</v>
      </c>
      <c r="GI14" s="2">
        <f t="shared" si="2"/>
        <v>29252.720000000001</v>
      </c>
      <c r="GJ14" s="2">
        <f t="shared" si="2"/>
        <v>15802.850000000002</v>
      </c>
      <c r="GK14" s="2">
        <f t="shared" si="2"/>
        <v>2975.54</v>
      </c>
      <c r="GL14" s="2">
        <f t="shared" ref="GL14:IW14" si="3">GL12*GL13</f>
        <v>6878.84</v>
      </c>
      <c r="GM14" s="2">
        <f t="shared" si="3"/>
        <v>3167.1499999999996</v>
      </c>
      <c r="GN14" s="2">
        <f t="shared" si="3"/>
        <v>4856.9400000000005</v>
      </c>
      <c r="GO14" s="2">
        <f t="shared" si="3"/>
        <v>13341.28</v>
      </c>
      <c r="GP14" s="2">
        <f t="shared" si="3"/>
        <v>4803.26</v>
      </c>
      <c r="GQ14" s="2">
        <f t="shared" si="3"/>
        <v>25927.84</v>
      </c>
      <c r="GR14" s="2">
        <f t="shared" si="3"/>
        <v>27354.11</v>
      </c>
      <c r="GS14" s="2">
        <f t="shared" si="3"/>
        <v>8865.2999999999993</v>
      </c>
      <c r="GT14" s="2">
        <f t="shared" si="3"/>
        <v>3100.65</v>
      </c>
      <c r="GU14" s="2">
        <f t="shared" si="3"/>
        <v>28153.599999999999</v>
      </c>
      <c r="GV14" s="2">
        <f t="shared" si="3"/>
        <v>2250.4899999999998</v>
      </c>
      <c r="GW14" s="2">
        <f t="shared" si="3"/>
        <v>556.53</v>
      </c>
      <c r="GX14" s="2">
        <f t="shared" si="3"/>
        <v>2270.66</v>
      </c>
      <c r="GY14" s="2">
        <f t="shared" si="3"/>
        <v>24093.81</v>
      </c>
      <c r="GZ14" s="2">
        <f t="shared" si="3"/>
        <v>2276.16</v>
      </c>
      <c r="HA14" s="2">
        <f t="shared" si="3"/>
        <v>7921.12</v>
      </c>
      <c r="HB14" s="2">
        <f t="shared" si="3"/>
        <v>2390.2199999999998</v>
      </c>
      <c r="HC14" s="2">
        <f t="shared" si="3"/>
        <v>11168.58</v>
      </c>
      <c r="HD14" s="2">
        <f t="shared" si="3"/>
        <v>1203.06</v>
      </c>
      <c r="HE14" s="2">
        <f t="shared" si="3"/>
        <v>2402.67</v>
      </c>
      <c r="HF14" s="2">
        <f t="shared" si="3"/>
        <v>12035.6</v>
      </c>
      <c r="HG14" s="2">
        <f t="shared" si="3"/>
        <v>3082.45</v>
      </c>
      <c r="HH14" s="2">
        <f t="shared" si="3"/>
        <v>14715.89</v>
      </c>
      <c r="HI14" s="2">
        <f t="shared" si="3"/>
        <v>18241.440000000002</v>
      </c>
      <c r="HJ14" s="2">
        <f t="shared" si="3"/>
        <v>3942.92</v>
      </c>
      <c r="HK14" s="2">
        <f t="shared" si="3"/>
        <v>14578.32</v>
      </c>
      <c r="HL14" s="2">
        <f t="shared" si="3"/>
        <v>7475.2</v>
      </c>
      <c r="HM14" s="2">
        <f t="shared" si="3"/>
        <v>12661.35</v>
      </c>
      <c r="HN14" s="2">
        <f t="shared" si="3"/>
        <v>5423.32</v>
      </c>
      <c r="HO14" s="2">
        <f t="shared" si="3"/>
        <v>721.8</v>
      </c>
      <c r="HP14" s="2">
        <f t="shared" si="3"/>
        <v>1941.96</v>
      </c>
      <c r="HQ14" s="2">
        <f t="shared" si="3"/>
        <v>1066.5</v>
      </c>
      <c r="HR14" s="2">
        <f t="shared" si="3"/>
        <v>17306.03</v>
      </c>
      <c r="HS14" s="2">
        <f t="shared" si="3"/>
        <v>15161.02</v>
      </c>
      <c r="HT14" s="2">
        <f t="shared" si="3"/>
        <v>4505.2</v>
      </c>
      <c r="HU14" s="2">
        <f t="shared" si="3"/>
        <v>16360.72</v>
      </c>
      <c r="HV14" s="2">
        <f t="shared" si="3"/>
        <v>900.78</v>
      </c>
      <c r="HW14" s="2">
        <f t="shared" si="3"/>
        <v>2660.56</v>
      </c>
      <c r="HX14" s="2">
        <f t="shared" si="3"/>
        <v>15782.7</v>
      </c>
      <c r="HY14" s="2">
        <f t="shared" si="3"/>
        <v>19182.78</v>
      </c>
      <c r="HZ14" s="2">
        <f t="shared" si="3"/>
        <v>7408.5300000000007</v>
      </c>
      <c r="IA14" s="2">
        <f t="shared" si="3"/>
        <v>2309.2799999999997</v>
      </c>
      <c r="IB14" s="2">
        <f t="shared" si="3"/>
        <v>5032.6000000000004</v>
      </c>
      <c r="IC14" s="2">
        <f t="shared" si="3"/>
        <v>3563.7000000000003</v>
      </c>
      <c r="ID14" s="2">
        <f t="shared" si="3"/>
        <v>6030.5399999999991</v>
      </c>
      <c r="IE14" s="2">
        <f t="shared" si="3"/>
        <v>30272.959999999999</v>
      </c>
      <c r="IF14" s="2">
        <f t="shared" si="3"/>
        <v>15492.2</v>
      </c>
      <c r="IG14" s="2">
        <f t="shared" si="3"/>
        <v>1324.74</v>
      </c>
      <c r="IH14" s="2">
        <f t="shared" si="3"/>
        <v>11619.960000000001</v>
      </c>
      <c r="II14" s="2">
        <f t="shared" si="3"/>
        <v>9776.9700000000012</v>
      </c>
      <c r="IJ14" s="2">
        <f t="shared" si="3"/>
        <v>21563.119999999999</v>
      </c>
      <c r="IK14" s="2">
        <f t="shared" si="3"/>
        <v>23949.99</v>
      </c>
      <c r="IL14" s="2">
        <f t="shared" si="3"/>
        <v>2902.4700000000003</v>
      </c>
      <c r="IM14" s="2">
        <f t="shared" si="3"/>
        <v>619.73</v>
      </c>
      <c r="IN14" s="2">
        <f t="shared" si="3"/>
        <v>14251.65</v>
      </c>
      <c r="IO14" s="2">
        <f t="shared" si="3"/>
        <v>4456.13</v>
      </c>
      <c r="IP14" s="2">
        <f t="shared" si="3"/>
        <v>1543.1999999999998</v>
      </c>
      <c r="IQ14" s="2">
        <f t="shared" si="3"/>
        <v>10190.08</v>
      </c>
      <c r="IR14" s="2">
        <f t="shared" si="3"/>
        <v>6512.04</v>
      </c>
      <c r="IS14" s="2">
        <f t="shared" si="3"/>
        <v>3391.76</v>
      </c>
      <c r="IT14" s="2">
        <f t="shared" si="3"/>
        <v>8033.8</v>
      </c>
      <c r="IU14" s="2">
        <f t="shared" si="3"/>
        <v>12572.8</v>
      </c>
      <c r="IV14" s="2">
        <f t="shared" si="3"/>
        <v>2740.46</v>
      </c>
      <c r="IW14" s="2">
        <f t="shared" si="3"/>
        <v>8186.04</v>
      </c>
      <c r="IX14" s="2">
        <f t="shared" ref="IX14:LI14" si="4">IX12*IX13</f>
        <v>2588.64</v>
      </c>
      <c r="IY14" s="2">
        <f t="shared" si="4"/>
        <v>3251.27</v>
      </c>
      <c r="IZ14" s="2">
        <f t="shared" si="4"/>
        <v>1681.85</v>
      </c>
      <c r="JA14" s="2">
        <f t="shared" si="4"/>
        <v>26024.16</v>
      </c>
      <c r="JB14" s="2">
        <f t="shared" si="4"/>
        <v>19434.080000000002</v>
      </c>
      <c r="JC14" s="2">
        <f t="shared" si="4"/>
        <v>1577.44</v>
      </c>
      <c r="JD14" s="2">
        <f t="shared" si="4"/>
        <v>1715.21</v>
      </c>
      <c r="JE14" s="2">
        <f t="shared" si="4"/>
        <v>18038.240000000002</v>
      </c>
      <c r="JF14" s="2">
        <f t="shared" si="4"/>
        <v>23683.17</v>
      </c>
      <c r="JG14" s="2">
        <f t="shared" si="4"/>
        <v>3204.1000000000004</v>
      </c>
      <c r="JH14" s="2">
        <f t="shared" si="4"/>
        <v>31253.22</v>
      </c>
      <c r="JI14" s="2">
        <f t="shared" si="4"/>
        <v>5111.05</v>
      </c>
      <c r="JJ14" s="2">
        <f t="shared" si="4"/>
        <v>6857.28</v>
      </c>
      <c r="JK14" s="2">
        <f t="shared" si="4"/>
        <v>23802.6</v>
      </c>
      <c r="JL14" s="2">
        <f t="shared" si="4"/>
        <v>5896.66</v>
      </c>
      <c r="JM14" s="2">
        <f t="shared" si="4"/>
        <v>3171.36</v>
      </c>
      <c r="JN14" s="2">
        <f t="shared" si="4"/>
        <v>27849.5</v>
      </c>
      <c r="JO14" s="2">
        <f t="shared" si="4"/>
        <v>2670.72</v>
      </c>
      <c r="JP14" s="2">
        <f t="shared" si="4"/>
        <v>1126.5</v>
      </c>
      <c r="JQ14" s="2">
        <f t="shared" si="4"/>
        <v>1393.26</v>
      </c>
      <c r="JR14" s="2">
        <f t="shared" si="4"/>
        <v>14834.04</v>
      </c>
      <c r="JS14" s="2">
        <f t="shared" si="4"/>
        <v>2567.7199999999998</v>
      </c>
      <c r="JT14" s="2">
        <f t="shared" si="4"/>
        <v>9265.5499999999993</v>
      </c>
      <c r="JU14" s="2">
        <f t="shared" si="4"/>
        <v>2194.5699999999997</v>
      </c>
      <c r="JV14" s="2">
        <f t="shared" si="4"/>
        <v>11143.24</v>
      </c>
      <c r="JW14" s="2">
        <f t="shared" si="4"/>
        <v>3625.42</v>
      </c>
      <c r="JX14" s="2">
        <f t="shared" si="4"/>
        <v>2561.48</v>
      </c>
      <c r="JY14" s="2">
        <f t="shared" si="4"/>
        <v>3708.38</v>
      </c>
      <c r="JZ14" s="2">
        <f t="shared" si="4"/>
        <v>5770.74</v>
      </c>
      <c r="KA14" s="2">
        <f t="shared" si="4"/>
        <v>4142.08</v>
      </c>
      <c r="KB14" s="2">
        <f t="shared" si="4"/>
        <v>23695.920000000002</v>
      </c>
      <c r="KC14" s="2">
        <f t="shared" si="4"/>
        <v>11337.93</v>
      </c>
      <c r="KD14" s="2">
        <f t="shared" si="4"/>
        <v>10402.48</v>
      </c>
      <c r="KE14" s="2">
        <f t="shared" si="4"/>
        <v>28648.959999999999</v>
      </c>
      <c r="KF14" s="2">
        <f t="shared" si="4"/>
        <v>202.49</v>
      </c>
      <c r="KG14" s="2">
        <f t="shared" si="4"/>
        <v>11140</v>
      </c>
      <c r="KH14" s="2">
        <f t="shared" si="4"/>
        <v>6852.8099999999995</v>
      </c>
      <c r="KI14" s="2">
        <f t="shared" si="4"/>
        <v>17967.3</v>
      </c>
      <c r="KJ14" s="2">
        <f t="shared" si="4"/>
        <v>16604.400000000001</v>
      </c>
      <c r="KK14" s="2">
        <f t="shared" si="4"/>
        <v>28882.639999999999</v>
      </c>
      <c r="KL14" s="2">
        <f t="shared" si="4"/>
        <v>26217.52</v>
      </c>
      <c r="KM14" s="2">
        <f t="shared" si="4"/>
        <v>9771.36</v>
      </c>
      <c r="KN14" s="2">
        <f t="shared" si="4"/>
        <v>16290.78</v>
      </c>
      <c r="KO14" s="2">
        <f t="shared" si="4"/>
        <v>7914.04</v>
      </c>
      <c r="KP14" s="2">
        <f t="shared" si="4"/>
        <v>6114.2999999999993</v>
      </c>
      <c r="KQ14" s="2">
        <f t="shared" si="4"/>
        <v>8255.5499999999993</v>
      </c>
      <c r="KR14" s="2">
        <f t="shared" si="4"/>
        <v>4088.16</v>
      </c>
      <c r="KS14" s="2">
        <f t="shared" si="4"/>
        <v>3910.66</v>
      </c>
      <c r="KT14" s="2">
        <f t="shared" si="4"/>
        <v>1462.35</v>
      </c>
      <c r="KU14" s="2">
        <f t="shared" si="4"/>
        <v>3581.58</v>
      </c>
      <c r="KV14" s="2">
        <f t="shared" si="4"/>
        <v>9678.4</v>
      </c>
      <c r="KW14" s="2">
        <f t="shared" si="4"/>
        <v>4146.33</v>
      </c>
      <c r="KX14" s="2">
        <f t="shared" si="4"/>
        <v>3968.76</v>
      </c>
      <c r="KY14" s="2">
        <f t="shared" si="4"/>
        <v>11003.76</v>
      </c>
      <c r="KZ14" s="2">
        <f t="shared" si="4"/>
        <v>6098.37</v>
      </c>
      <c r="LA14" s="2">
        <f t="shared" si="4"/>
        <v>2430.36</v>
      </c>
      <c r="LB14" s="2">
        <f t="shared" si="4"/>
        <v>4661.9400000000005</v>
      </c>
      <c r="LC14" s="2">
        <f t="shared" si="4"/>
        <v>23946</v>
      </c>
      <c r="LD14" s="2">
        <f t="shared" si="4"/>
        <v>16298.880000000001</v>
      </c>
      <c r="LE14" s="2">
        <f t="shared" si="4"/>
        <v>1220.6199999999999</v>
      </c>
      <c r="LF14" s="2">
        <f t="shared" si="4"/>
        <v>14128.02</v>
      </c>
      <c r="LG14" s="2">
        <f t="shared" si="4"/>
        <v>16228.85</v>
      </c>
      <c r="LH14" s="2">
        <f t="shared" si="4"/>
        <v>5369.58</v>
      </c>
      <c r="LI14" s="2">
        <f t="shared" si="4"/>
        <v>2743.75</v>
      </c>
      <c r="LJ14" s="2">
        <f t="shared" ref="LJ14:NI14" si="5">LJ12*LJ13</f>
        <v>5335.96</v>
      </c>
      <c r="LK14" s="2">
        <f t="shared" si="5"/>
        <v>2044.41</v>
      </c>
      <c r="LL14" s="2">
        <f t="shared" si="5"/>
        <v>28949.040000000001</v>
      </c>
      <c r="LM14" s="2">
        <f t="shared" si="5"/>
        <v>7141.6100000000006</v>
      </c>
      <c r="LN14" s="2">
        <f t="shared" si="5"/>
        <v>6497.16</v>
      </c>
      <c r="LO14" s="2">
        <f t="shared" si="5"/>
        <v>10380.719999999999</v>
      </c>
      <c r="LP14" s="2">
        <f t="shared" si="5"/>
        <v>1219.7</v>
      </c>
      <c r="LQ14" s="2">
        <f t="shared" si="5"/>
        <v>3354.81</v>
      </c>
      <c r="LR14" s="2">
        <f t="shared" si="5"/>
        <v>31244.560000000001</v>
      </c>
      <c r="LS14" s="2">
        <f t="shared" si="5"/>
        <v>7729.86</v>
      </c>
      <c r="LT14" s="2">
        <f t="shared" si="5"/>
        <v>33662.700000000004</v>
      </c>
      <c r="LU14" s="2">
        <f t="shared" si="5"/>
        <v>22091.31</v>
      </c>
      <c r="LV14" s="2">
        <f t="shared" si="5"/>
        <v>13484.22</v>
      </c>
      <c r="LW14" s="2">
        <f t="shared" si="5"/>
        <v>3498.88</v>
      </c>
      <c r="LX14" s="2">
        <f t="shared" si="5"/>
        <v>10934.34</v>
      </c>
      <c r="LY14" s="2">
        <f t="shared" si="5"/>
        <v>11960.34</v>
      </c>
      <c r="LZ14" s="2">
        <f t="shared" si="5"/>
        <v>15581.099999999999</v>
      </c>
      <c r="MA14" s="2">
        <f t="shared" si="5"/>
        <v>4345.8599999999997</v>
      </c>
      <c r="MB14" s="2">
        <f t="shared" si="5"/>
        <v>3775.07</v>
      </c>
      <c r="MC14" s="2">
        <f t="shared" si="5"/>
        <v>6568.2000000000007</v>
      </c>
      <c r="MD14" s="2">
        <f t="shared" si="5"/>
        <v>26727.3</v>
      </c>
      <c r="ME14" s="2">
        <f t="shared" si="5"/>
        <v>7808.88</v>
      </c>
      <c r="MF14" s="2">
        <f t="shared" si="5"/>
        <v>15484.84</v>
      </c>
      <c r="MG14" s="2">
        <f t="shared" si="5"/>
        <v>17977.82</v>
      </c>
      <c r="MH14" s="2">
        <f t="shared" si="5"/>
        <v>1574.59</v>
      </c>
      <c r="MI14" s="2">
        <f t="shared" si="5"/>
        <v>28724.04</v>
      </c>
      <c r="MJ14" s="2">
        <f t="shared" si="5"/>
        <v>2748.46</v>
      </c>
      <c r="MK14" s="2">
        <f t="shared" si="5"/>
        <v>7403.3</v>
      </c>
      <c r="ML14" s="2">
        <f t="shared" si="5"/>
        <v>445.38</v>
      </c>
      <c r="MM14" s="2">
        <f t="shared" si="5"/>
        <v>10361.6</v>
      </c>
      <c r="MN14" s="2">
        <f t="shared" si="5"/>
        <v>559.4</v>
      </c>
      <c r="MO14" s="2">
        <f t="shared" si="5"/>
        <v>2357.7600000000002</v>
      </c>
      <c r="MP14" s="2">
        <f t="shared" si="5"/>
        <v>22638.239999999998</v>
      </c>
      <c r="MQ14" s="2">
        <f t="shared" si="5"/>
        <v>17014.77</v>
      </c>
      <c r="MR14" s="2">
        <f t="shared" si="5"/>
        <v>1205.76</v>
      </c>
      <c r="MS14" s="2">
        <f t="shared" si="5"/>
        <v>12616.25</v>
      </c>
      <c r="MT14" s="2">
        <f t="shared" si="5"/>
        <v>5070</v>
      </c>
      <c r="MU14" s="2">
        <f t="shared" si="5"/>
        <v>9284.08</v>
      </c>
      <c r="MV14" s="2">
        <f t="shared" si="5"/>
        <v>15205.679999999998</v>
      </c>
      <c r="MW14" s="2">
        <f t="shared" si="5"/>
        <v>2589.6799999999998</v>
      </c>
      <c r="MX14" s="2">
        <f t="shared" si="5"/>
        <v>6981.93</v>
      </c>
      <c r="MY14" s="2">
        <f t="shared" si="5"/>
        <v>11004.56</v>
      </c>
      <c r="MZ14" s="2">
        <f t="shared" si="5"/>
        <v>20295.04</v>
      </c>
      <c r="NA14" s="2">
        <f t="shared" si="5"/>
        <v>19866.419999999998</v>
      </c>
      <c r="NB14" s="2">
        <f t="shared" si="5"/>
        <v>4887.1499999999996</v>
      </c>
      <c r="NC14" s="2">
        <f t="shared" si="5"/>
        <v>10850.21</v>
      </c>
      <c r="ND14" s="2">
        <f t="shared" si="5"/>
        <v>2647.9500000000003</v>
      </c>
      <c r="NE14" s="2">
        <f t="shared" si="5"/>
        <v>4787.5200000000004</v>
      </c>
      <c r="NF14" s="2">
        <f t="shared" si="5"/>
        <v>6773.4600000000009</v>
      </c>
      <c r="NG14" s="2">
        <f t="shared" si="5"/>
        <v>6437.75</v>
      </c>
      <c r="NH14" s="2">
        <f t="shared" si="5"/>
        <v>19713.509999999998</v>
      </c>
      <c r="NI14" s="2">
        <f t="shared" si="5"/>
        <v>2432.17</v>
      </c>
    </row>
    <row r="15" spans="1:373" x14ac:dyDescent="0.3">
      <c r="A15" s="1" t="s">
        <v>13</v>
      </c>
      <c r="B15" s="5">
        <v>0</v>
      </c>
      <c r="C15" s="5">
        <v>5</v>
      </c>
      <c r="D15" s="5">
        <v>15</v>
      </c>
      <c r="E15" s="5">
        <v>15</v>
      </c>
      <c r="F15" s="5">
        <v>20</v>
      </c>
      <c r="G15" s="5">
        <v>10</v>
      </c>
      <c r="H15" s="5">
        <v>10</v>
      </c>
      <c r="I15" s="5">
        <v>10</v>
      </c>
      <c r="J15" s="5">
        <v>15</v>
      </c>
      <c r="K15" s="5">
        <v>20</v>
      </c>
      <c r="L15" s="5">
        <v>0</v>
      </c>
      <c r="M15" s="5">
        <v>5</v>
      </c>
      <c r="N15" s="5">
        <v>0</v>
      </c>
      <c r="O15" s="5">
        <v>15</v>
      </c>
      <c r="P15" s="5">
        <v>10</v>
      </c>
      <c r="Q15" s="5">
        <v>5</v>
      </c>
      <c r="R15" s="5">
        <v>15</v>
      </c>
      <c r="S15" s="5">
        <v>15</v>
      </c>
      <c r="T15" s="5">
        <v>15</v>
      </c>
      <c r="U15" s="5">
        <v>5</v>
      </c>
      <c r="V15" s="5">
        <v>5</v>
      </c>
      <c r="W15" s="5">
        <v>20</v>
      </c>
      <c r="X15" s="5">
        <v>20</v>
      </c>
      <c r="Y15" s="5">
        <v>0</v>
      </c>
      <c r="Z15" s="5">
        <v>5</v>
      </c>
      <c r="AA15" s="5">
        <v>5</v>
      </c>
      <c r="AB15" s="5">
        <v>5</v>
      </c>
      <c r="AC15" s="5">
        <v>20</v>
      </c>
      <c r="AD15" s="5">
        <v>15</v>
      </c>
      <c r="AE15" s="5">
        <v>10</v>
      </c>
      <c r="AF15" s="5">
        <v>20</v>
      </c>
      <c r="AG15" s="5">
        <v>5</v>
      </c>
      <c r="AH15" s="5">
        <v>20</v>
      </c>
      <c r="AI15" s="5">
        <v>0</v>
      </c>
      <c r="AJ15" s="5">
        <v>5</v>
      </c>
      <c r="AK15" s="5">
        <v>0</v>
      </c>
      <c r="AL15" s="5">
        <v>5</v>
      </c>
      <c r="AM15" s="5">
        <v>20</v>
      </c>
      <c r="AN15" s="5">
        <v>15</v>
      </c>
      <c r="AO15" s="5">
        <v>10</v>
      </c>
      <c r="AP15" s="5">
        <v>0</v>
      </c>
      <c r="AQ15" s="5">
        <v>20</v>
      </c>
      <c r="AR15" s="5">
        <v>15</v>
      </c>
      <c r="AS15" s="5">
        <v>20</v>
      </c>
      <c r="AT15" s="5">
        <v>0</v>
      </c>
      <c r="AU15" s="5">
        <v>10</v>
      </c>
      <c r="AV15" s="5">
        <v>20</v>
      </c>
      <c r="AW15" s="5">
        <v>5</v>
      </c>
      <c r="AX15" s="5">
        <v>15</v>
      </c>
      <c r="AY15" s="5">
        <v>20</v>
      </c>
      <c r="AZ15" s="5">
        <v>5</v>
      </c>
      <c r="BA15" s="5">
        <v>10</v>
      </c>
      <c r="BB15" s="5">
        <v>10</v>
      </c>
      <c r="BC15" s="5">
        <v>5</v>
      </c>
      <c r="BD15" s="5">
        <v>15</v>
      </c>
      <c r="BE15" s="5">
        <v>20</v>
      </c>
      <c r="BF15" s="5">
        <v>0</v>
      </c>
      <c r="BG15" s="5">
        <v>15</v>
      </c>
      <c r="BH15" s="5">
        <v>10</v>
      </c>
      <c r="BI15" s="5">
        <v>10</v>
      </c>
      <c r="BJ15" s="5">
        <v>15</v>
      </c>
      <c r="BK15" s="5">
        <v>10</v>
      </c>
      <c r="BL15" s="5">
        <v>5</v>
      </c>
      <c r="BM15" s="5">
        <v>15</v>
      </c>
      <c r="BN15" s="5">
        <v>0</v>
      </c>
      <c r="BO15" s="5">
        <v>5</v>
      </c>
      <c r="BP15" s="5">
        <v>20</v>
      </c>
      <c r="BQ15" s="5">
        <v>5</v>
      </c>
      <c r="BR15" s="5">
        <v>15</v>
      </c>
      <c r="BS15" s="5">
        <v>5</v>
      </c>
      <c r="BT15" s="5">
        <v>0</v>
      </c>
      <c r="BU15" s="5">
        <v>0</v>
      </c>
      <c r="BV15" s="5">
        <v>20</v>
      </c>
      <c r="BW15" s="5">
        <v>10</v>
      </c>
      <c r="BX15" s="5">
        <v>15</v>
      </c>
      <c r="BY15" s="5">
        <v>10</v>
      </c>
      <c r="BZ15" s="5">
        <v>0</v>
      </c>
      <c r="CA15" s="5">
        <v>0</v>
      </c>
      <c r="CB15" s="5">
        <v>5</v>
      </c>
      <c r="CC15" s="5">
        <v>20</v>
      </c>
      <c r="CD15" s="5">
        <v>20</v>
      </c>
      <c r="CE15" s="5">
        <v>20</v>
      </c>
      <c r="CF15" s="5">
        <v>5</v>
      </c>
      <c r="CG15" s="5">
        <v>20</v>
      </c>
      <c r="CH15" s="5">
        <v>10</v>
      </c>
      <c r="CI15" s="5">
        <v>5</v>
      </c>
      <c r="CJ15" s="5">
        <v>20</v>
      </c>
      <c r="CK15" s="5">
        <v>10</v>
      </c>
      <c r="CL15" s="5">
        <v>10</v>
      </c>
      <c r="CM15" s="5">
        <v>10</v>
      </c>
      <c r="CN15" s="5">
        <v>5</v>
      </c>
      <c r="CO15" s="5">
        <v>15</v>
      </c>
      <c r="CP15" s="5">
        <v>20</v>
      </c>
      <c r="CQ15" s="5">
        <v>10</v>
      </c>
      <c r="CR15" s="5">
        <v>15</v>
      </c>
      <c r="CS15" s="5">
        <v>20</v>
      </c>
      <c r="CT15" s="5">
        <v>20</v>
      </c>
      <c r="CU15" s="5">
        <v>10</v>
      </c>
      <c r="CV15" s="5">
        <v>5</v>
      </c>
      <c r="CW15" s="5">
        <v>15</v>
      </c>
      <c r="CX15" s="5">
        <v>15</v>
      </c>
      <c r="CY15" s="5">
        <v>20</v>
      </c>
      <c r="CZ15" s="5">
        <v>10</v>
      </c>
      <c r="DA15" s="5">
        <v>20</v>
      </c>
      <c r="DB15" s="5">
        <v>20</v>
      </c>
      <c r="DC15" s="5">
        <v>10</v>
      </c>
      <c r="DD15" s="5">
        <v>0</v>
      </c>
      <c r="DE15" s="5">
        <v>15</v>
      </c>
      <c r="DF15" s="5">
        <v>20</v>
      </c>
      <c r="DG15" s="5">
        <v>20</v>
      </c>
      <c r="DH15" s="5">
        <v>0</v>
      </c>
      <c r="DI15" s="5">
        <v>5</v>
      </c>
      <c r="DJ15" s="5">
        <v>0</v>
      </c>
      <c r="DK15" s="5">
        <v>0</v>
      </c>
      <c r="DL15" s="5">
        <v>20</v>
      </c>
      <c r="DM15" s="5">
        <v>15</v>
      </c>
      <c r="DN15" s="5">
        <v>0</v>
      </c>
      <c r="DO15" s="5">
        <v>5</v>
      </c>
      <c r="DP15" s="5">
        <v>10</v>
      </c>
      <c r="DQ15" s="5">
        <v>0</v>
      </c>
      <c r="DR15" s="5">
        <v>0</v>
      </c>
      <c r="DS15" s="5">
        <v>5</v>
      </c>
      <c r="DT15" s="5">
        <v>15</v>
      </c>
      <c r="DU15" s="5">
        <v>0</v>
      </c>
      <c r="DV15" s="5">
        <v>0</v>
      </c>
      <c r="DW15" s="5">
        <v>5</v>
      </c>
      <c r="DX15" s="5">
        <v>0</v>
      </c>
      <c r="DY15" s="5">
        <v>0</v>
      </c>
      <c r="DZ15" s="5">
        <v>10</v>
      </c>
      <c r="EA15" s="5">
        <v>20</v>
      </c>
      <c r="EB15" s="5">
        <v>10</v>
      </c>
      <c r="EC15" s="5">
        <v>0</v>
      </c>
      <c r="ED15" s="5">
        <v>5</v>
      </c>
      <c r="EE15" s="5">
        <v>20</v>
      </c>
      <c r="EF15" s="5">
        <v>10</v>
      </c>
      <c r="EG15" s="5">
        <v>15</v>
      </c>
      <c r="EH15" s="5">
        <v>5</v>
      </c>
      <c r="EI15" s="5">
        <v>10</v>
      </c>
      <c r="EJ15" s="5">
        <v>15</v>
      </c>
      <c r="EK15" s="5">
        <v>0</v>
      </c>
      <c r="EL15" s="5">
        <v>15</v>
      </c>
      <c r="EM15" s="5">
        <v>10</v>
      </c>
      <c r="EN15" s="5">
        <v>0</v>
      </c>
      <c r="EO15" s="5">
        <v>15</v>
      </c>
      <c r="EP15" s="5">
        <v>15</v>
      </c>
      <c r="EQ15" s="5">
        <v>0</v>
      </c>
      <c r="ER15" s="5">
        <v>15</v>
      </c>
      <c r="ES15" s="5">
        <v>0</v>
      </c>
      <c r="ET15" s="5">
        <v>5</v>
      </c>
      <c r="EU15" s="5">
        <v>10</v>
      </c>
      <c r="EV15" s="5">
        <v>5</v>
      </c>
      <c r="EW15" s="5">
        <v>20</v>
      </c>
      <c r="EX15" s="5">
        <v>20</v>
      </c>
      <c r="EY15" s="5">
        <v>20</v>
      </c>
      <c r="EZ15" s="5">
        <v>0</v>
      </c>
      <c r="FA15" s="5">
        <v>15</v>
      </c>
      <c r="FB15" s="5">
        <v>5</v>
      </c>
      <c r="FC15" s="5">
        <v>5</v>
      </c>
      <c r="FD15" s="5">
        <v>5</v>
      </c>
      <c r="FE15" s="5">
        <v>20</v>
      </c>
      <c r="FF15" s="5">
        <v>5</v>
      </c>
      <c r="FG15" s="5">
        <v>15</v>
      </c>
      <c r="FH15" s="5">
        <v>20</v>
      </c>
      <c r="FI15" s="5">
        <v>10</v>
      </c>
      <c r="FJ15" s="5">
        <v>10</v>
      </c>
      <c r="FK15" s="5">
        <v>10</v>
      </c>
      <c r="FL15" s="5">
        <v>20</v>
      </c>
      <c r="FM15" s="5">
        <v>20</v>
      </c>
      <c r="FN15" s="5">
        <v>15</v>
      </c>
      <c r="FO15" s="5">
        <v>0</v>
      </c>
      <c r="FP15" s="5">
        <v>0</v>
      </c>
      <c r="FQ15" s="5">
        <v>10</v>
      </c>
      <c r="FR15" s="5">
        <v>10</v>
      </c>
      <c r="FS15" s="5">
        <v>5</v>
      </c>
      <c r="FT15" s="5">
        <v>15</v>
      </c>
      <c r="FU15" s="5">
        <v>15</v>
      </c>
      <c r="FV15" s="5">
        <v>15</v>
      </c>
      <c r="FW15" s="5">
        <v>15</v>
      </c>
      <c r="FX15" s="5">
        <v>10</v>
      </c>
      <c r="FY15" s="5">
        <v>0</v>
      </c>
      <c r="FZ15" s="5">
        <v>10</v>
      </c>
      <c r="GA15" s="5">
        <v>15</v>
      </c>
      <c r="GB15" s="5">
        <v>10</v>
      </c>
      <c r="GC15" s="5">
        <v>15</v>
      </c>
      <c r="GD15" s="5">
        <v>20</v>
      </c>
      <c r="GE15" s="5">
        <v>0</v>
      </c>
      <c r="GF15" s="5">
        <v>10</v>
      </c>
      <c r="GG15" s="5">
        <v>20</v>
      </c>
      <c r="GH15" s="5">
        <v>15</v>
      </c>
      <c r="GI15" s="5">
        <v>15</v>
      </c>
      <c r="GJ15" s="5">
        <v>10</v>
      </c>
      <c r="GK15" s="5">
        <v>15</v>
      </c>
      <c r="GL15" s="5">
        <v>15</v>
      </c>
      <c r="GM15" s="5">
        <v>20</v>
      </c>
      <c r="GN15" s="5">
        <v>5</v>
      </c>
      <c r="GO15" s="5">
        <v>20</v>
      </c>
      <c r="GP15" s="5">
        <v>0</v>
      </c>
      <c r="GQ15" s="5">
        <v>0</v>
      </c>
      <c r="GR15" s="5">
        <v>10</v>
      </c>
      <c r="GS15" s="5">
        <v>10</v>
      </c>
      <c r="GT15" s="5">
        <v>5</v>
      </c>
      <c r="GU15" s="5">
        <v>0</v>
      </c>
      <c r="GV15" s="5">
        <v>15</v>
      </c>
      <c r="GW15" s="5">
        <v>5</v>
      </c>
      <c r="GX15" s="5">
        <v>10</v>
      </c>
      <c r="GY15" s="5">
        <v>10</v>
      </c>
      <c r="GZ15" s="5">
        <v>15</v>
      </c>
      <c r="HA15" s="5">
        <v>10</v>
      </c>
      <c r="HB15" s="5">
        <v>10</v>
      </c>
      <c r="HC15" s="5">
        <v>0</v>
      </c>
      <c r="HD15" s="5">
        <v>20</v>
      </c>
      <c r="HE15" s="5">
        <v>0</v>
      </c>
      <c r="HF15" s="5">
        <v>20</v>
      </c>
      <c r="HG15" s="5">
        <v>5</v>
      </c>
      <c r="HH15" s="5">
        <v>20</v>
      </c>
      <c r="HI15" s="5">
        <v>20</v>
      </c>
      <c r="HJ15" s="5">
        <v>0</v>
      </c>
      <c r="HK15" s="5">
        <v>20</v>
      </c>
      <c r="HL15" s="5">
        <v>20</v>
      </c>
      <c r="HM15" s="5">
        <v>15</v>
      </c>
      <c r="HN15" s="5">
        <v>0</v>
      </c>
      <c r="HO15" s="5">
        <v>5</v>
      </c>
      <c r="HP15" s="5">
        <v>5</v>
      </c>
      <c r="HQ15" s="5">
        <v>0</v>
      </c>
      <c r="HR15" s="5">
        <v>10</v>
      </c>
      <c r="HS15" s="5">
        <v>0</v>
      </c>
      <c r="HT15" s="5">
        <v>20</v>
      </c>
      <c r="HU15" s="5">
        <v>10</v>
      </c>
      <c r="HV15" s="5">
        <v>5</v>
      </c>
      <c r="HW15" s="5">
        <v>10</v>
      </c>
      <c r="HX15" s="5">
        <v>20</v>
      </c>
      <c r="HY15" s="5">
        <v>10</v>
      </c>
      <c r="HZ15" s="5">
        <v>0</v>
      </c>
      <c r="IA15" s="5">
        <v>5</v>
      </c>
      <c r="IB15" s="5">
        <v>0</v>
      </c>
      <c r="IC15" s="5">
        <v>15</v>
      </c>
      <c r="ID15" s="5">
        <v>20</v>
      </c>
      <c r="IE15" s="5">
        <v>15</v>
      </c>
      <c r="IF15" s="5">
        <v>0</v>
      </c>
      <c r="IG15" s="5">
        <v>5</v>
      </c>
      <c r="IH15" s="5">
        <v>0</v>
      </c>
      <c r="II15" s="5">
        <v>20</v>
      </c>
      <c r="IJ15" s="5">
        <v>10</v>
      </c>
      <c r="IK15" s="5">
        <v>10</v>
      </c>
      <c r="IL15" s="5">
        <v>0</v>
      </c>
      <c r="IM15" s="5">
        <v>0</v>
      </c>
      <c r="IN15" s="5">
        <v>5</v>
      </c>
      <c r="IO15" s="5">
        <v>5</v>
      </c>
      <c r="IP15" s="5">
        <v>0</v>
      </c>
      <c r="IQ15" s="5">
        <v>20</v>
      </c>
      <c r="IR15" s="5">
        <v>20</v>
      </c>
      <c r="IS15" s="5">
        <v>20</v>
      </c>
      <c r="IT15" s="5">
        <v>5</v>
      </c>
      <c r="IU15" s="5">
        <v>0</v>
      </c>
      <c r="IV15" s="5">
        <v>10</v>
      </c>
      <c r="IW15" s="5">
        <v>5</v>
      </c>
      <c r="IX15" s="5">
        <v>0</v>
      </c>
      <c r="IY15" s="5">
        <v>15</v>
      </c>
      <c r="IZ15" s="5">
        <v>5</v>
      </c>
      <c r="JA15" s="5">
        <v>15</v>
      </c>
      <c r="JB15" s="5">
        <v>15</v>
      </c>
      <c r="JC15" s="5">
        <v>20</v>
      </c>
      <c r="JD15" s="5">
        <v>0</v>
      </c>
      <c r="JE15" s="5">
        <v>0</v>
      </c>
      <c r="JF15" s="5">
        <v>20</v>
      </c>
      <c r="JG15" s="5">
        <v>0</v>
      </c>
      <c r="JH15" s="5">
        <v>15</v>
      </c>
      <c r="JI15" s="5">
        <v>0</v>
      </c>
      <c r="JJ15" s="5">
        <v>10</v>
      </c>
      <c r="JK15" s="5">
        <v>0</v>
      </c>
      <c r="JL15" s="5">
        <v>15</v>
      </c>
      <c r="JM15" s="5">
        <v>20</v>
      </c>
      <c r="JN15" s="5">
        <v>20</v>
      </c>
      <c r="JO15" s="5">
        <v>5</v>
      </c>
      <c r="JP15" s="5">
        <v>15</v>
      </c>
      <c r="JQ15" s="5">
        <v>20</v>
      </c>
      <c r="JR15" s="5">
        <v>5</v>
      </c>
      <c r="JS15" s="5">
        <v>0</v>
      </c>
      <c r="JT15" s="5">
        <v>10</v>
      </c>
      <c r="JU15" s="5">
        <v>0</v>
      </c>
      <c r="JV15" s="5">
        <v>20</v>
      </c>
      <c r="JW15" s="5">
        <v>10</v>
      </c>
      <c r="JX15" s="5">
        <v>20</v>
      </c>
      <c r="JY15" s="5">
        <v>20</v>
      </c>
      <c r="JZ15" s="5">
        <v>15</v>
      </c>
      <c r="KA15" s="5">
        <v>20</v>
      </c>
      <c r="KB15" s="5">
        <v>5</v>
      </c>
      <c r="KC15" s="5">
        <v>15</v>
      </c>
      <c r="KD15" s="5">
        <v>0</v>
      </c>
      <c r="KE15" s="5">
        <v>15</v>
      </c>
      <c r="KF15" s="5">
        <v>5</v>
      </c>
      <c r="KG15" s="5">
        <v>15</v>
      </c>
      <c r="KH15" s="5">
        <v>20</v>
      </c>
      <c r="KI15" s="5">
        <v>20</v>
      </c>
      <c r="KJ15" s="5">
        <v>0</v>
      </c>
      <c r="KK15" s="5">
        <v>5</v>
      </c>
      <c r="KL15" s="5">
        <v>15</v>
      </c>
      <c r="KM15" s="5">
        <v>0</v>
      </c>
      <c r="KN15" s="5">
        <v>20</v>
      </c>
      <c r="KO15" s="5">
        <v>5</v>
      </c>
      <c r="KP15" s="5">
        <v>0</v>
      </c>
      <c r="KQ15" s="5">
        <v>20</v>
      </c>
      <c r="KR15" s="5">
        <v>15</v>
      </c>
      <c r="KS15" s="5">
        <v>5</v>
      </c>
      <c r="KT15" s="5">
        <v>5</v>
      </c>
      <c r="KU15" s="5">
        <v>15</v>
      </c>
      <c r="KV15" s="5">
        <v>20</v>
      </c>
      <c r="KW15" s="5">
        <v>10</v>
      </c>
      <c r="KX15" s="5">
        <v>10</v>
      </c>
      <c r="KY15" s="5">
        <v>15</v>
      </c>
      <c r="KZ15" s="5">
        <v>10</v>
      </c>
      <c r="LA15" s="5">
        <v>15</v>
      </c>
      <c r="LB15" s="5">
        <v>15</v>
      </c>
      <c r="LC15" s="5">
        <v>10</v>
      </c>
      <c r="LD15" s="5">
        <v>0</v>
      </c>
      <c r="LE15" s="5">
        <v>10</v>
      </c>
      <c r="LF15" s="5">
        <v>15</v>
      </c>
      <c r="LG15" s="5">
        <v>0</v>
      </c>
      <c r="LH15" s="5">
        <v>0</v>
      </c>
      <c r="LI15" s="5">
        <v>15</v>
      </c>
      <c r="LJ15" s="5">
        <v>5</v>
      </c>
      <c r="LK15" s="5">
        <v>0</v>
      </c>
      <c r="LL15" s="5">
        <v>20</v>
      </c>
      <c r="LM15" s="5">
        <v>10</v>
      </c>
      <c r="LN15" s="5">
        <v>5</v>
      </c>
      <c r="LO15" s="5">
        <v>0</v>
      </c>
      <c r="LP15" s="5">
        <v>5</v>
      </c>
      <c r="LQ15" s="5">
        <v>0</v>
      </c>
      <c r="LR15" s="5">
        <v>10</v>
      </c>
      <c r="LS15" s="5">
        <v>15</v>
      </c>
      <c r="LT15" s="5">
        <v>10</v>
      </c>
      <c r="LU15" s="5">
        <v>5</v>
      </c>
      <c r="LV15" s="5">
        <v>15</v>
      </c>
      <c r="LW15" s="5">
        <v>20</v>
      </c>
      <c r="LX15" s="5">
        <v>0</v>
      </c>
      <c r="LY15" s="5">
        <v>20</v>
      </c>
      <c r="LZ15" s="5">
        <v>10</v>
      </c>
      <c r="MA15" s="5">
        <v>10</v>
      </c>
      <c r="MB15" s="5">
        <v>10</v>
      </c>
      <c r="MC15" s="5">
        <v>20</v>
      </c>
      <c r="MD15" s="5">
        <v>10</v>
      </c>
      <c r="ME15" s="5">
        <v>10</v>
      </c>
      <c r="MF15" s="5">
        <v>10</v>
      </c>
      <c r="MG15" s="5">
        <v>10</v>
      </c>
      <c r="MH15" s="5">
        <v>5</v>
      </c>
      <c r="MI15" s="5">
        <v>20</v>
      </c>
      <c r="MJ15" s="5">
        <v>0</v>
      </c>
      <c r="MK15" s="5">
        <v>0</v>
      </c>
      <c r="ML15" s="5">
        <v>10</v>
      </c>
      <c r="MM15" s="5">
        <v>15</v>
      </c>
      <c r="MN15" s="5">
        <v>20</v>
      </c>
      <c r="MO15" s="5">
        <v>20</v>
      </c>
      <c r="MP15" s="5">
        <v>0</v>
      </c>
      <c r="MQ15" s="5">
        <v>15</v>
      </c>
      <c r="MR15" s="5">
        <v>5</v>
      </c>
      <c r="MS15" s="5">
        <v>10</v>
      </c>
      <c r="MT15" s="5">
        <v>15</v>
      </c>
      <c r="MU15" s="5">
        <v>0</v>
      </c>
      <c r="MV15" s="5">
        <v>20</v>
      </c>
      <c r="MW15" s="5">
        <v>15</v>
      </c>
      <c r="MX15" s="5">
        <v>0</v>
      </c>
      <c r="MY15" s="5">
        <v>20</v>
      </c>
      <c r="MZ15" s="5">
        <v>5</v>
      </c>
      <c r="NA15" s="5">
        <v>20</v>
      </c>
      <c r="NB15" s="5">
        <v>20</v>
      </c>
      <c r="NC15" s="5">
        <v>10</v>
      </c>
      <c r="ND15" s="5">
        <v>5</v>
      </c>
      <c r="NE15" s="5">
        <v>0</v>
      </c>
      <c r="NF15" s="5">
        <v>20</v>
      </c>
      <c r="NG15" s="5">
        <v>0</v>
      </c>
      <c r="NH15" s="5">
        <v>20</v>
      </c>
      <c r="NI15" s="5">
        <v>20</v>
      </c>
    </row>
    <row r="16" spans="1:373" x14ac:dyDescent="0.3">
      <c r="A16" s="4" t="s">
        <v>73</v>
      </c>
      <c r="B16" s="6">
        <f t="shared" ref="B16:BM16" si="6">B14*B15/100</f>
        <v>0</v>
      </c>
      <c r="C16" s="6">
        <f t="shared" si="6"/>
        <v>1136.3535000000002</v>
      </c>
      <c r="D16" s="6">
        <f t="shared" si="6"/>
        <v>3126.9060000000004</v>
      </c>
      <c r="E16" s="6">
        <f t="shared" si="6"/>
        <v>151.31849999999997</v>
      </c>
      <c r="F16" s="6">
        <f t="shared" si="6"/>
        <v>4916.0579999999991</v>
      </c>
      <c r="G16" s="6">
        <f t="shared" si="6"/>
        <v>956.86500000000012</v>
      </c>
      <c r="H16" s="6">
        <f t="shared" si="6"/>
        <v>1515.21</v>
      </c>
      <c r="I16" s="6">
        <f t="shared" si="6"/>
        <v>924.33199999999999</v>
      </c>
      <c r="J16" s="6">
        <f t="shared" si="6"/>
        <v>823.53</v>
      </c>
      <c r="K16" s="6">
        <f t="shared" si="6"/>
        <v>1780.6600000000003</v>
      </c>
      <c r="L16" s="6">
        <f t="shared" si="6"/>
        <v>0</v>
      </c>
      <c r="M16" s="6">
        <f t="shared" si="6"/>
        <v>81.705000000000013</v>
      </c>
      <c r="N16" s="6">
        <f t="shared" si="6"/>
        <v>0</v>
      </c>
      <c r="O16" s="6">
        <f t="shared" si="6"/>
        <v>1289.124</v>
      </c>
      <c r="P16" s="6">
        <f t="shared" si="6"/>
        <v>635.03100000000006</v>
      </c>
      <c r="Q16" s="6">
        <f t="shared" si="6"/>
        <v>238.18</v>
      </c>
      <c r="R16" s="6">
        <f t="shared" si="6"/>
        <v>76.472999999999999</v>
      </c>
      <c r="S16" s="6">
        <f t="shared" si="6"/>
        <v>324.87149999999997</v>
      </c>
      <c r="T16" s="6">
        <f t="shared" si="6"/>
        <v>297.08999999999997</v>
      </c>
      <c r="U16" s="6">
        <f t="shared" si="6"/>
        <v>395.93099999999998</v>
      </c>
      <c r="V16" s="6">
        <f t="shared" si="6"/>
        <v>354.23699999999997</v>
      </c>
      <c r="W16" s="6">
        <f t="shared" si="6"/>
        <v>953.20400000000006</v>
      </c>
      <c r="X16" s="6">
        <f t="shared" si="6"/>
        <v>1120.6959999999999</v>
      </c>
      <c r="Y16" s="6">
        <f t="shared" si="6"/>
        <v>0</v>
      </c>
      <c r="Z16" s="6">
        <f t="shared" si="6"/>
        <v>905.68200000000002</v>
      </c>
      <c r="AA16" s="6">
        <f t="shared" si="6"/>
        <v>199.93049999999999</v>
      </c>
      <c r="AB16" s="6">
        <f t="shared" si="6"/>
        <v>539.87249999999995</v>
      </c>
      <c r="AC16" s="6">
        <f t="shared" si="6"/>
        <v>3847.9559999999997</v>
      </c>
      <c r="AD16" s="6">
        <f t="shared" si="6"/>
        <v>341.76149999999996</v>
      </c>
      <c r="AE16" s="6">
        <f t="shared" si="6"/>
        <v>34.938000000000002</v>
      </c>
      <c r="AF16" s="6">
        <f t="shared" si="6"/>
        <v>2295.65</v>
      </c>
      <c r="AG16" s="6">
        <f t="shared" si="6"/>
        <v>150.148</v>
      </c>
      <c r="AH16" s="6">
        <f t="shared" si="6"/>
        <v>4708.4519999999993</v>
      </c>
      <c r="AI16" s="6">
        <f t="shared" si="6"/>
        <v>0</v>
      </c>
      <c r="AJ16" s="6">
        <f t="shared" si="6"/>
        <v>1282.624</v>
      </c>
      <c r="AK16" s="6">
        <f t="shared" si="6"/>
        <v>0</v>
      </c>
      <c r="AL16" s="6">
        <f t="shared" si="6"/>
        <v>170.65799999999999</v>
      </c>
      <c r="AM16" s="6">
        <f t="shared" si="6"/>
        <v>962.44400000000007</v>
      </c>
      <c r="AN16" s="6">
        <f t="shared" si="6"/>
        <v>2487.8910000000005</v>
      </c>
      <c r="AO16" s="6">
        <f t="shared" si="6"/>
        <v>1849.95</v>
      </c>
      <c r="AP16" s="6">
        <f t="shared" si="6"/>
        <v>0</v>
      </c>
      <c r="AQ16" s="6">
        <f t="shared" si="6"/>
        <v>969.33600000000001</v>
      </c>
      <c r="AR16" s="6">
        <f t="shared" si="6"/>
        <v>702.26250000000005</v>
      </c>
      <c r="AS16" s="6">
        <f t="shared" si="6"/>
        <v>171.608</v>
      </c>
      <c r="AT16" s="6">
        <f t="shared" si="6"/>
        <v>0</v>
      </c>
      <c r="AU16" s="6">
        <f t="shared" si="6"/>
        <v>355.83200000000005</v>
      </c>
      <c r="AV16" s="6">
        <f t="shared" si="6"/>
        <v>353.98599999999999</v>
      </c>
      <c r="AW16" s="6">
        <f t="shared" si="6"/>
        <v>616.62</v>
      </c>
      <c r="AX16" s="6">
        <f t="shared" si="6"/>
        <v>3382.0830000000005</v>
      </c>
      <c r="AY16" s="6">
        <f t="shared" si="6"/>
        <v>1620.5280000000002</v>
      </c>
      <c r="AZ16" s="6">
        <f t="shared" si="6"/>
        <v>400.27799999999996</v>
      </c>
      <c r="BA16" s="6">
        <f t="shared" si="6"/>
        <v>1267.0350000000001</v>
      </c>
      <c r="BB16" s="6">
        <f t="shared" si="6"/>
        <v>1142.896</v>
      </c>
      <c r="BC16" s="6">
        <f t="shared" si="6"/>
        <v>372.31900000000002</v>
      </c>
      <c r="BD16" s="6">
        <f t="shared" si="6"/>
        <v>3062.4479999999999</v>
      </c>
      <c r="BE16" s="6">
        <f t="shared" si="6"/>
        <v>1822.1940000000002</v>
      </c>
      <c r="BF16" s="6">
        <f t="shared" si="6"/>
        <v>0</v>
      </c>
      <c r="BG16" s="6">
        <f t="shared" si="6"/>
        <v>3753.9</v>
      </c>
      <c r="BH16" s="6">
        <f t="shared" si="6"/>
        <v>223.69200000000001</v>
      </c>
      <c r="BI16" s="6">
        <f t="shared" si="6"/>
        <v>1587.4260000000002</v>
      </c>
      <c r="BJ16" s="6">
        <f t="shared" si="6"/>
        <v>312.36</v>
      </c>
      <c r="BK16" s="6">
        <f t="shared" si="6"/>
        <v>554.64199999999994</v>
      </c>
      <c r="BL16" s="6">
        <f t="shared" si="6"/>
        <v>1507.884</v>
      </c>
      <c r="BM16" s="6">
        <f t="shared" si="6"/>
        <v>49.519500000000001</v>
      </c>
      <c r="BN16" s="6">
        <f t="shared" ref="BN16:DY16" si="7">BN14*BN15/100</f>
        <v>0</v>
      </c>
      <c r="BO16" s="6">
        <f t="shared" si="7"/>
        <v>551.09400000000005</v>
      </c>
      <c r="BP16" s="6">
        <f t="shared" si="7"/>
        <v>2889.72</v>
      </c>
      <c r="BQ16" s="6">
        <f t="shared" si="7"/>
        <v>578.20650000000012</v>
      </c>
      <c r="BR16" s="6">
        <f t="shared" si="7"/>
        <v>836.92799999999988</v>
      </c>
      <c r="BS16" s="6">
        <f t="shared" si="7"/>
        <v>151.88050000000001</v>
      </c>
      <c r="BT16" s="6">
        <f t="shared" si="7"/>
        <v>0</v>
      </c>
      <c r="BU16" s="6">
        <f t="shared" si="7"/>
        <v>0</v>
      </c>
      <c r="BV16" s="6">
        <f t="shared" si="7"/>
        <v>1220.68</v>
      </c>
      <c r="BW16" s="6">
        <f t="shared" si="7"/>
        <v>295.584</v>
      </c>
      <c r="BX16" s="6">
        <f t="shared" si="7"/>
        <v>1718.8950000000002</v>
      </c>
      <c r="BY16" s="6">
        <f t="shared" si="7"/>
        <v>78.674999999999997</v>
      </c>
      <c r="BZ16" s="6">
        <f t="shared" si="7"/>
        <v>0</v>
      </c>
      <c r="CA16" s="6">
        <f t="shared" si="7"/>
        <v>0</v>
      </c>
      <c r="CB16" s="6">
        <f t="shared" si="7"/>
        <v>398.93599999999998</v>
      </c>
      <c r="CC16" s="6">
        <f t="shared" si="7"/>
        <v>858.14400000000012</v>
      </c>
      <c r="CD16" s="6">
        <f t="shared" si="7"/>
        <v>576.78800000000001</v>
      </c>
      <c r="CE16" s="6">
        <f t="shared" si="7"/>
        <v>414.84799999999996</v>
      </c>
      <c r="CF16" s="6">
        <f t="shared" si="7"/>
        <v>480.59199999999998</v>
      </c>
      <c r="CG16" s="6">
        <f t="shared" si="7"/>
        <v>2327.64</v>
      </c>
      <c r="CH16" s="6">
        <f t="shared" si="7"/>
        <v>1685.26</v>
      </c>
      <c r="CI16" s="6">
        <f t="shared" si="7"/>
        <v>51.499499999999998</v>
      </c>
      <c r="CJ16" s="6">
        <f t="shared" si="7"/>
        <v>3489.768</v>
      </c>
      <c r="CK16" s="6">
        <f t="shared" si="7"/>
        <v>644.60800000000006</v>
      </c>
      <c r="CL16" s="6">
        <f t="shared" si="7"/>
        <v>410.65800000000002</v>
      </c>
      <c r="CM16" s="6">
        <f t="shared" si="7"/>
        <v>249.98800000000003</v>
      </c>
      <c r="CN16" s="6">
        <f t="shared" si="7"/>
        <v>225.80550000000002</v>
      </c>
      <c r="CO16" s="6">
        <f t="shared" si="7"/>
        <v>817.24799999999993</v>
      </c>
      <c r="CP16" s="6">
        <f t="shared" si="7"/>
        <v>189.45</v>
      </c>
      <c r="CQ16" s="6">
        <f t="shared" si="7"/>
        <v>2209.6970000000001</v>
      </c>
      <c r="CR16" s="6">
        <f t="shared" si="7"/>
        <v>2019.816</v>
      </c>
      <c r="CS16" s="6">
        <f t="shared" si="7"/>
        <v>743.61199999999997</v>
      </c>
      <c r="CT16" s="6">
        <f t="shared" si="7"/>
        <v>5026.4760000000006</v>
      </c>
      <c r="CU16" s="6">
        <f t="shared" si="7"/>
        <v>90.515000000000001</v>
      </c>
      <c r="CV16" s="6">
        <f t="shared" si="7"/>
        <v>567.18299999999999</v>
      </c>
      <c r="CW16" s="6">
        <f t="shared" si="7"/>
        <v>797.25750000000005</v>
      </c>
      <c r="CX16" s="6">
        <f t="shared" si="7"/>
        <v>169.29300000000001</v>
      </c>
      <c r="CY16" s="6">
        <f t="shared" si="7"/>
        <v>2492.2080000000001</v>
      </c>
      <c r="CZ16" s="6">
        <f t="shared" si="7"/>
        <v>182.00200000000001</v>
      </c>
      <c r="DA16" s="6">
        <f t="shared" si="7"/>
        <v>888.47199999999998</v>
      </c>
      <c r="DB16" s="6">
        <f t="shared" si="7"/>
        <v>2709.3239999999996</v>
      </c>
      <c r="DC16" s="6">
        <f t="shared" si="7"/>
        <v>1085.7420000000002</v>
      </c>
      <c r="DD16" s="6">
        <f t="shared" si="7"/>
        <v>0</v>
      </c>
      <c r="DE16" s="6">
        <f t="shared" si="7"/>
        <v>1027.4669999999999</v>
      </c>
      <c r="DF16" s="6">
        <f t="shared" si="7"/>
        <v>4265.7239999999993</v>
      </c>
      <c r="DG16" s="6">
        <f t="shared" si="7"/>
        <v>921.48399999999992</v>
      </c>
      <c r="DH16" s="6">
        <f t="shared" si="7"/>
        <v>0</v>
      </c>
      <c r="DI16" s="6">
        <f t="shared" si="7"/>
        <v>1013.061</v>
      </c>
      <c r="DJ16" s="6">
        <f t="shared" si="7"/>
        <v>0</v>
      </c>
      <c r="DK16" s="6">
        <f t="shared" si="7"/>
        <v>0</v>
      </c>
      <c r="DL16" s="6">
        <f t="shared" si="7"/>
        <v>1470.7</v>
      </c>
      <c r="DM16" s="6">
        <f t="shared" si="7"/>
        <v>1298.5785000000001</v>
      </c>
      <c r="DN16" s="6">
        <f t="shared" si="7"/>
        <v>0</v>
      </c>
      <c r="DO16" s="6">
        <f t="shared" si="7"/>
        <v>1488.8879999999999</v>
      </c>
      <c r="DP16" s="6">
        <f t="shared" si="7"/>
        <v>1107.7260000000001</v>
      </c>
      <c r="DQ16" s="6">
        <f t="shared" si="7"/>
        <v>0</v>
      </c>
      <c r="DR16" s="6">
        <f t="shared" si="7"/>
        <v>0</v>
      </c>
      <c r="DS16" s="6">
        <f t="shared" si="7"/>
        <v>126.72349999999999</v>
      </c>
      <c r="DT16" s="6">
        <f t="shared" si="7"/>
        <v>1994.4224999999999</v>
      </c>
      <c r="DU16" s="6">
        <f t="shared" si="7"/>
        <v>0</v>
      </c>
      <c r="DV16" s="6">
        <f t="shared" si="7"/>
        <v>0</v>
      </c>
      <c r="DW16" s="6">
        <f t="shared" si="7"/>
        <v>575.89800000000002</v>
      </c>
      <c r="DX16" s="6">
        <f t="shared" si="7"/>
        <v>0</v>
      </c>
      <c r="DY16" s="6">
        <f t="shared" si="7"/>
        <v>0</v>
      </c>
      <c r="DZ16" s="6">
        <f t="shared" ref="DZ16:GK16" si="8">DZ14*DZ15/100</f>
        <v>80.582000000000008</v>
      </c>
      <c r="EA16" s="6">
        <f t="shared" si="8"/>
        <v>2852.328</v>
      </c>
      <c r="EB16" s="6">
        <f t="shared" si="8"/>
        <v>353.28399999999999</v>
      </c>
      <c r="EC16" s="6">
        <f t="shared" si="8"/>
        <v>0</v>
      </c>
      <c r="ED16" s="6">
        <f t="shared" si="8"/>
        <v>1288.0805</v>
      </c>
      <c r="EE16" s="6">
        <f t="shared" si="8"/>
        <v>5021.9519999999993</v>
      </c>
      <c r="EF16" s="6">
        <f t="shared" si="8"/>
        <v>391.45800000000003</v>
      </c>
      <c r="EG16" s="6">
        <f t="shared" si="8"/>
        <v>1396.1219999999998</v>
      </c>
      <c r="EH16" s="6">
        <f t="shared" si="8"/>
        <v>555.80100000000004</v>
      </c>
      <c r="EI16" s="6">
        <f t="shared" si="8"/>
        <v>965.77800000000002</v>
      </c>
      <c r="EJ16" s="6">
        <f t="shared" si="8"/>
        <v>3525.96</v>
      </c>
      <c r="EK16" s="6">
        <f t="shared" si="8"/>
        <v>0</v>
      </c>
      <c r="EL16" s="6">
        <f t="shared" si="8"/>
        <v>1095.825</v>
      </c>
      <c r="EM16" s="6">
        <f t="shared" si="8"/>
        <v>324.911</v>
      </c>
      <c r="EN16" s="6">
        <f t="shared" si="8"/>
        <v>0</v>
      </c>
      <c r="EO16" s="6">
        <f t="shared" si="8"/>
        <v>865.29</v>
      </c>
      <c r="EP16" s="6">
        <f t="shared" si="8"/>
        <v>401.13899999999995</v>
      </c>
      <c r="EQ16" s="6">
        <f t="shared" si="8"/>
        <v>0</v>
      </c>
      <c r="ER16" s="6">
        <f t="shared" si="8"/>
        <v>4015.2959999999998</v>
      </c>
      <c r="ES16" s="6">
        <f t="shared" si="8"/>
        <v>0</v>
      </c>
      <c r="ET16" s="6">
        <f t="shared" si="8"/>
        <v>264.54400000000004</v>
      </c>
      <c r="EU16" s="6">
        <f t="shared" si="8"/>
        <v>934.7120000000001</v>
      </c>
      <c r="EV16" s="6">
        <f t="shared" si="8"/>
        <v>491.036</v>
      </c>
      <c r="EW16" s="6">
        <f t="shared" si="8"/>
        <v>243.84400000000002</v>
      </c>
      <c r="EX16" s="6">
        <f t="shared" si="8"/>
        <v>230.66399999999999</v>
      </c>
      <c r="EY16" s="6">
        <f t="shared" si="8"/>
        <v>2974.9040000000005</v>
      </c>
      <c r="EZ16" s="6">
        <f t="shared" si="8"/>
        <v>0</v>
      </c>
      <c r="FA16" s="6">
        <f t="shared" si="8"/>
        <v>1855.3709999999999</v>
      </c>
      <c r="FB16" s="6">
        <f t="shared" si="8"/>
        <v>74.915999999999997</v>
      </c>
      <c r="FC16" s="6">
        <f t="shared" si="8"/>
        <v>1037.7360000000001</v>
      </c>
      <c r="FD16" s="6">
        <f t="shared" si="8"/>
        <v>1518.0040000000001</v>
      </c>
      <c r="FE16" s="6">
        <f t="shared" si="8"/>
        <v>5686.5959999999995</v>
      </c>
      <c r="FF16" s="6">
        <f t="shared" si="8"/>
        <v>203.66549999999998</v>
      </c>
      <c r="FG16" s="6">
        <f t="shared" si="8"/>
        <v>496.93949999999995</v>
      </c>
      <c r="FH16" s="6">
        <f t="shared" si="8"/>
        <v>2268.9679999999998</v>
      </c>
      <c r="FI16" s="6">
        <f t="shared" si="8"/>
        <v>121.86300000000001</v>
      </c>
      <c r="FJ16" s="6">
        <f t="shared" si="8"/>
        <v>349.43400000000003</v>
      </c>
      <c r="FK16" s="6">
        <f t="shared" si="8"/>
        <v>1768.9360000000001</v>
      </c>
      <c r="FL16" s="6">
        <f t="shared" si="8"/>
        <v>2329.38</v>
      </c>
      <c r="FM16" s="6">
        <f t="shared" si="8"/>
        <v>921.29800000000023</v>
      </c>
      <c r="FN16" s="6">
        <f t="shared" si="8"/>
        <v>1594.3125</v>
      </c>
      <c r="FO16" s="6">
        <f t="shared" si="8"/>
        <v>0</v>
      </c>
      <c r="FP16" s="6">
        <f t="shared" si="8"/>
        <v>0</v>
      </c>
      <c r="FQ16" s="6">
        <f t="shared" si="8"/>
        <v>173.04100000000003</v>
      </c>
      <c r="FR16" s="6">
        <f t="shared" si="8"/>
        <v>233.655</v>
      </c>
      <c r="FS16" s="6">
        <f t="shared" si="8"/>
        <v>137.25899999999999</v>
      </c>
      <c r="FT16" s="6">
        <f t="shared" si="8"/>
        <v>1206.0825000000002</v>
      </c>
      <c r="FU16" s="6">
        <f t="shared" si="8"/>
        <v>146.16900000000001</v>
      </c>
      <c r="FV16" s="6">
        <f t="shared" si="8"/>
        <v>297.70799999999997</v>
      </c>
      <c r="FW16" s="6">
        <f t="shared" si="8"/>
        <v>268.20299999999997</v>
      </c>
      <c r="FX16" s="6">
        <f t="shared" si="8"/>
        <v>206.78999999999996</v>
      </c>
      <c r="FY16" s="6">
        <f t="shared" si="8"/>
        <v>0</v>
      </c>
      <c r="FZ16" s="6">
        <f t="shared" si="8"/>
        <v>502.48400000000004</v>
      </c>
      <c r="GA16" s="6">
        <f t="shared" si="8"/>
        <v>920.26499999999999</v>
      </c>
      <c r="GB16" s="6">
        <f t="shared" si="8"/>
        <v>571.27600000000007</v>
      </c>
      <c r="GC16" s="6">
        <f t="shared" si="8"/>
        <v>1215.7964999999999</v>
      </c>
      <c r="GD16" s="6">
        <f t="shared" si="8"/>
        <v>3501.94</v>
      </c>
      <c r="GE16" s="6">
        <f t="shared" si="8"/>
        <v>0</v>
      </c>
      <c r="GF16" s="6">
        <f t="shared" si="8"/>
        <v>687.79199999999992</v>
      </c>
      <c r="GG16" s="6">
        <f t="shared" si="8"/>
        <v>1524.912</v>
      </c>
      <c r="GH16" s="6">
        <f t="shared" si="8"/>
        <v>1549.3319999999999</v>
      </c>
      <c r="GI16" s="6">
        <f t="shared" si="8"/>
        <v>4387.9080000000004</v>
      </c>
      <c r="GJ16" s="6">
        <f t="shared" si="8"/>
        <v>1580.2850000000003</v>
      </c>
      <c r="GK16" s="6">
        <f t="shared" si="8"/>
        <v>446.33099999999996</v>
      </c>
      <c r="GL16" s="6">
        <f t="shared" ref="GL16:IW16" si="9">GL14*GL15/100</f>
        <v>1031.826</v>
      </c>
      <c r="GM16" s="6">
        <f t="shared" si="9"/>
        <v>633.42999999999995</v>
      </c>
      <c r="GN16" s="6">
        <f t="shared" si="9"/>
        <v>242.84700000000004</v>
      </c>
      <c r="GO16" s="6">
        <f t="shared" si="9"/>
        <v>2668.2560000000003</v>
      </c>
      <c r="GP16" s="6">
        <f t="shared" si="9"/>
        <v>0</v>
      </c>
      <c r="GQ16" s="6">
        <f t="shared" si="9"/>
        <v>0</v>
      </c>
      <c r="GR16" s="6">
        <f t="shared" si="9"/>
        <v>2735.4109999999996</v>
      </c>
      <c r="GS16" s="6">
        <f t="shared" si="9"/>
        <v>886.53</v>
      </c>
      <c r="GT16" s="6">
        <f t="shared" si="9"/>
        <v>155.0325</v>
      </c>
      <c r="GU16" s="6">
        <f t="shared" si="9"/>
        <v>0</v>
      </c>
      <c r="GV16" s="6">
        <f t="shared" si="9"/>
        <v>337.57349999999997</v>
      </c>
      <c r="GW16" s="6">
        <f t="shared" si="9"/>
        <v>27.826499999999996</v>
      </c>
      <c r="GX16" s="6">
        <f t="shared" si="9"/>
        <v>227.06599999999997</v>
      </c>
      <c r="GY16" s="6">
        <f t="shared" si="9"/>
        <v>2409.3809999999999</v>
      </c>
      <c r="GZ16" s="6">
        <f t="shared" si="9"/>
        <v>341.42399999999992</v>
      </c>
      <c r="HA16" s="6">
        <f t="shared" si="9"/>
        <v>792.11199999999997</v>
      </c>
      <c r="HB16" s="6">
        <f t="shared" si="9"/>
        <v>239.02199999999996</v>
      </c>
      <c r="HC16" s="6">
        <f t="shared" si="9"/>
        <v>0</v>
      </c>
      <c r="HD16" s="6">
        <f t="shared" si="9"/>
        <v>240.61199999999997</v>
      </c>
      <c r="HE16" s="6">
        <f t="shared" si="9"/>
        <v>0</v>
      </c>
      <c r="HF16" s="6">
        <f t="shared" si="9"/>
        <v>2407.12</v>
      </c>
      <c r="HG16" s="6">
        <f t="shared" si="9"/>
        <v>154.1225</v>
      </c>
      <c r="HH16" s="6">
        <f t="shared" si="9"/>
        <v>2943.1779999999999</v>
      </c>
      <c r="HI16" s="6">
        <f t="shared" si="9"/>
        <v>3648.2880000000005</v>
      </c>
      <c r="HJ16" s="6">
        <f t="shared" si="9"/>
        <v>0</v>
      </c>
      <c r="HK16" s="6">
        <f t="shared" si="9"/>
        <v>2915.6640000000002</v>
      </c>
      <c r="HL16" s="6">
        <f t="shared" si="9"/>
        <v>1495.04</v>
      </c>
      <c r="HM16" s="6">
        <f t="shared" si="9"/>
        <v>1899.2025000000001</v>
      </c>
      <c r="HN16" s="6">
        <f t="shared" si="9"/>
        <v>0</v>
      </c>
      <c r="HO16" s="6">
        <f t="shared" si="9"/>
        <v>36.090000000000003</v>
      </c>
      <c r="HP16" s="6">
        <f t="shared" si="9"/>
        <v>97.097999999999999</v>
      </c>
      <c r="HQ16" s="6">
        <f t="shared" si="9"/>
        <v>0</v>
      </c>
      <c r="HR16" s="6">
        <f t="shared" si="9"/>
        <v>1730.6029999999998</v>
      </c>
      <c r="HS16" s="6">
        <f t="shared" si="9"/>
        <v>0</v>
      </c>
      <c r="HT16" s="6">
        <f t="shared" si="9"/>
        <v>901.04</v>
      </c>
      <c r="HU16" s="6">
        <f t="shared" si="9"/>
        <v>1636.0719999999999</v>
      </c>
      <c r="HV16" s="6">
        <f t="shared" si="9"/>
        <v>45.038999999999994</v>
      </c>
      <c r="HW16" s="6">
        <f t="shared" si="9"/>
        <v>266.05599999999998</v>
      </c>
      <c r="HX16" s="6">
        <f t="shared" si="9"/>
        <v>3156.54</v>
      </c>
      <c r="HY16" s="6">
        <f t="shared" si="9"/>
        <v>1918.2779999999998</v>
      </c>
      <c r="HZ16" s="6">
        <f t="shared" si="9"/>
        <v>0</v>
      </c>
      <c r="IA16" s="6">
        <f t="shared" si="9"/>
        <v>115.46399999999998</v>
      </c>
      <c r="IB16" s="6">
        <f t="shared" si="9"/>
        <v>0</v>
      </c>
      <c r="IC16" s="6">
        <f t="shared" si="9"/>
        <v>534.55500000000006</v>
      </c>
      <c r="ID16" s="6">
        <f t="shared" si="9"/>
        <v>1206.1079999999999</v>
      </c>
      <c r="IE16" s="6">
        <f t="shared" si="9"/>
        <v>4540.9439999999995</v>
      </c>
      <c r="IF16" s="6">
        <f t="shared" si="9"/>
        <v>0</v>
      </c>
      <c r="IG16" s="6">
        <f t="shared" si="9"/>
        <v>66.236999999999995</v>
      </c>
      <c r="IH16" s="6">
        <f t="shared" si="9"/>
        <v>0</v>
      </c>
      <c r="II16" s="6">
        <f t="shared" si="9"/>
        <v>1955.3940000000002</v>
      </c>
      <c r="IJ16" s="6">
        <f t="shared" si="9"/>
        <v>2156.3119999999999</v>
      </c>
      <c r="IK16" s="6">
        <f t="shared" si="9"/>
        <v>2394.9990000000003</v>
      </c>
      <c r="IL16" s="6">
        <f t="shared" si="9"/>
        <v>0</v>
      </c>
      <c r="IM16" s="6">
        <f t="shared" si="9"/>
        <v>0</v>
      </c>
      <c r="IN16" s="6">
        <f t="shared" si="9"/>
        <v>712.58249999999998</v>
      </c>
      <c r="IO16" s="6">
        <f t="shared" si="9"/>
        <v>222.80650000000003</v>
      </c>
      <c r="IP16" s="6">
        <f t="shared" si="9"/>
        <v>0</v>
      </c>
      <c r="IQ16" s="6">
        <f t="shared" si="9"/>
        <v>2038.0160000000001</v>
      </c>
      <c r="IR16" s="6">
        <f t="shared" si="9"/>
        <v>1302.4080000000001</v>
      </c>
      <c r="IS16" s="6">
        <f t="shared" si="9"/>
        <v>678.35200000000009</v>
      </c>
      <c r="IT16" s="6">
        <f t="shared" si="9"/>
        <v>401.69</v>
      </c>
      <c r="IU16" s="6">
        <f t="shared" si="9"/>
        <v>0</v>
      </c>
      <c r="IV16" s="6">
        <f t="shared" si="9"/>
        <v>274.04599999999999</v>
      </c>
      <c r="IW16" s="6">
        <f t="shared" si="9"/>
        <v>409.30199999999996</v>
      </c>
      <c r="IX16" s="6">
        <f t="shared" ref="IX16:LI16" si="10">IX14*IX15/100</f>
        <v>0</v>
      </c>
      <c r="IY16" s="6">
        <f t="shared" si="10"/>
        <v>487.69050000000004</v>
      </c>
      <c r="IZ16" s="6">
        <f t="shared" si="10"/>
        <v>84.092500000000001</v>
      </c>
      <c r="JA16" s="6">
        <f t="shared" si="10"/>
        <v>3903.6240000000003</v>
      </c>
      <c r="JB16" s="6">
        <f t="shared" si="10"/>
        <v>2915.1120000000001</v>
      </c>
      <c r="JC16" s="6">
        <f t="shared" si="10"/>
        <v>315.48800000000006</v>
      </c>
      <c r="JD16" s="6">
        <f t="shared" si="10"/>
        <v>0</v>
      </c>
      <c r="JE16" s="6">
        <f t="shared" si="10"/>
        <v>0</v>
      </c>
      <c r="JF16" s="6">
        <f t="shared" si="10"/>
        <v>4736.634</v>
      </c>
      <c r="JG16" s="6">
        <f t="shared" si="10"/>
        <v>0</v>
      </c>
      <c r="JH16" s="6">
        <f t="shared" si="10"/>
        <v>4687.9830000000002</v>
      </c>
      <c r="JI16" s="6">
        <f t="shared" si="10"/>
        <v>0</v>
      </c>
      <c r="JJ16" s="6">
        <f t="shared" si="10"/>
        <v>685.72800000000007</v>
      </c>
      <c r="JK16" s="6">
        <f t="shared" si="10"/>
        <v>0</v>
      </c>
      <c r="JL16" s="6">
        <f t="shared" si="10"/>
        <v>884.49899999999991</v>
      </c>
      <c r="JM16" s="6">
        <f t="shared" si="10"/>
        <v>634.27200000000005</v>
      </c>
      <c r="JN16" s="6">
        <f t="shared" si="10"/>
        <v>5569.9</v>
      </c>
      <c r="JO16" s="6">
        <f t="shared" si="10"/>
        <v>133.53599999999997</v>
      </c>
      <c r="JP16" s="6">
        <f t="shared" si="10"/>
        <v>168.97499999999999</v>
      </c>
      <c r="JQ16" s="6">
        <f t="shared" si="10"/>
        <v>278.65199999999999</v>
      </c>
      <c r="JR16" s="6">
        <f t="shared" si="10"/>
        <v>741.70200000000011</v>
      </c>
      <c r="JS16" s="6">
        <f t="shared" si="10"/>
        <v>0</v>
      </c>
      <c r="JT16" s="6">
        <f t="shared" si="10"/>
        <v>926.55499999999995</v>
      </c>
      <c r="JU16" s="6">
        <f t="shared" si="10"/>
        <v>0</v>
      </c>
      <c r="JV16" s="6">
        <f t="shared" si="10"/>
        <v>2228.6479999999997</v>
      </c>
      <c r="JW16" s="6">
        <f t="shared" si="10"/>
        <v>362.54199999999997</v>
      </c>
      <c r="JX16" s="6">
        <f t="shared" si="10"/>
        <v>512.29599999999994</v>
      </c>
      <c r="JY16" s="6">
        <f t="shared" si="10"/>
        <v>741.67600000000004</v>
      </c>
      <c r="JZ16" s="6">
        <f t="shared" si="10"/>
        <v>865.61099999999988</v>
      </c>
      <c r="KA16" s="6">
        <f t="shared" si="10"/>
        <v>828.41600000000005</v>
      </c>
      <c r="KB16" s="6">
        <f t="shared" si="10"/>
        <v>1184.796</v>
      </c>
      <c r="KC16" s="6">
        <f t="shared" si="10"/>
        <v>1700.6895000000002</v>
      </c>
      <c r="KD16" s="6">
        <f t="shared" si="10"/>
        <v>0</v>
      </c>
      <c r="KE16" s="6">
        <f t="shared" si="10"/>
        <v>4297.3440000000001</v>
      </c>
      <c r="KF16" s="6">
        <f t="shared" si="10"/>
        <v>10.124500000000001</v>
      </c>
      <c r="KG16" s="6">
        <f t="shared" si="10"/>
        <v>1671</v>
      </c>
      <c r="KH16" s="6">
        <f t="shared" si="10"/>
        <v>1370.5619999999999</v>
      </c>
      <c r="KI16" s="6">
        <f t="shared" si="10"/>
        <v>3593.46</v>
      </c>
      <c r="KJ16" s="6">
        <f t="shared" si="10"/>
        <v>0</v>
      </c>
      <c r="KK16" s="6">
        <f t="shared" si="10"/>
        <v>1444.1320000000001</v>
      </c>
      <c r="KL16" s="6">
        <f t="shared" si="10"/>
        <v>3932.6279999999997</v>
      </c>
      <c r="KM16" s="6">
        <f t="shared" si="10"/>
        <v>0</v>
      </c>
      <c r="KN16" s="6">
        <f t="shared" si="10"/>
        <v>3258.1560000000004</v>
      </c>
      <c r="KO16" s="6">
        <f t="shared" si="10"/>
        <v>395.702</v>
      </c>
      <c r="KP16" s="6">
        <f t="shared" si="10"/>
        <v>0</v>
      </c>
      <c r="KQ16" s="6">
        <f t="shared" si="10"/>
        <v>1651.11</v>
      </c>
      <c r="KR16" s="6">
        <f t="shared" si="10"/>
        <v>613.22399999999993</v>
      </c>
      <c r="KS16" s="6">
        <f t="shared" si="10"/>
        <v>195.53299999999999</v>
      </c>
      <c r="KT16" s="6">
        <f t="shared" si="10"/>
        <v>73.117500000000007</v>
      </c>
      <c r="KU16" s="6">
        <f t="shared" si="10"/>
        <v>537.23699999999997</v>
      </c>
      <c r="KV16" s="6">
        <f t="shared" si="10"/>
        <v>1935.68</v>
      </c>
      <c r="KW16" s="6">
        <f t="shared" si="10"/>
        <v>414.63300000000004</v>
      </c>
      <c r="KX16" s="6">
        <f t="shared" si="10"/>
        <v>396.87600000000003</v>
      </c>
      <c r="KY16" s="6">
        <f t="shared" si="10"/>
        <v>1650.5639999999999</v>
      </c>
      <c r="KZ16" s="6">
        <f t="shared" si="10"/>
        <v>609.83699999999999</v>
      </c>
      <c r="LA16" s="6">
        <f t="shared" si="10"/>
        <v>364.55400000000003</v>
      </c>
      <c r="LB16" s="6">
        <f t="shared" si="10"/>
        <v>699.29100000000005</v>
      </c>
      <c r="LC16" s="6">
        <f t="shared" si="10"/>
        <v>2394.6</v>
      </c>
      <c r="LD16" s="6">
        <f t="shared" si="10"/>
        <v>0</v>
      </c>
      <c r="LE16" s="6">
        <f t="shared" si="10"/>
        <v>122.06199999999998</v>
      </c>
      <c r="LF16" s="6">
        <f t="shared" si="10"/>
        <v>2119.203</v>
      </c>
      <c r="LG16" s="6">
        <f t="shared" si="10"/>
        <v>0</v>
      </c>
      <c r="LH16" s="6">
        <f t="shared" si="10"/>
        <v>0</v>
      </c>
      <c r="LI16" s="6">
        <f t="shared" si="10"/>
        <v>411.5625</v>
      </c>
      <c r="LJ16" s="6">
        <f t="shared" ref="LJ16:NI16" si="11">LJ14*LJ15/100</f>
        <v>266.798</v>
      </c>
      <c r="LK16" s="6">
        <f t="shared" si="11"/>
        <v>0</v>
      </c>
      <c r="LL16" s="6">
        <f t="shared" si="11"/>
        <v>5789.8080000000009</v>
      </c>
      <c r="LM16" s="6">
        <f t="shared" si="11"/>
        <v>714.16100000000006</v>
      </c>
      <c r="LN16" s="6">
        <f t="shared" si="11"/>
        <v>324.858</v>
      </c>
      <c r="LO16" s="6">
        <f t="shared" si="11"/>
        <v>0</v>
      </c>
      <c r="LP16" s="6">
        <f t="shared" si="11"/>
        <v>60.984999999999999</v>
      </c>
      <c r="LQ16" s="6">
        <f t="shared" si="11"/>
        <v>0</v>
      </c>
      <c r="LR16" s="6">
        <f t="shared" si="11"/>
        <v>3124.4560000000001</v>
      </c>
      <c r="LS16" s="6">
        <f t="shared" si="11"/>
        <v>1159.479</v>
      </c>
      <c r="LT16" s="6">
        <f t="shared" si="11"/>
        <v>3366.2700000000004</v>
      </c>
      <c r="LU16" s="6">
        <f t="shared" si="11"/>
        <v>1104.5654999999999</v>
      </c>
      <c r="LV16" s="6">
        <f t="shared" si="11"/>
        <v>2022.6329999999998</v>
      </c>
      <c r="LW16" s="6">
        <f t="shared" si="11"/>
        <v>699.77600000000007</v>
      </c>
      <c r="LX16" s="6">
        <f t="shared" si="11"/>
        <v>0</v>
      </c>
      <c r="LY16" s="6">
        <f t="shared" si="11"/>
        <v>2392.0679999999998</v>
      </c>
      <c r="LZ16" s="6">
        <f t="shared" si="11"/>
        <v>1558.11</v>
      </c>
      <c r="MA16" s="6">
        <f t="shared" si="11"/>
        <v>434.58600000000001</v>
      </c>
      <c r="MB16" s="6">
        <f t="shared" si="11"/>
        <v>377.50700000000006</v>
      </c>
      <c r="MC16" s="6">
        <f t="shared" si="11"/>
        <v>1313.64</v>
      </c>
      <c r="MD16" s="6">
        <f t="shared" si="11"/>
        <v>2672.73</v>
      </c>
      <c r="ME16" s="6">
        <f t="shared" si="11"/>
        <v>780.88800000000003</v>
      </c>
      <c r="MF16" s="6">
        <f t="shared" si="11"/>
        <v>1548.4839999999999</v>
      </c>
      <c r="MG16" s="6">
        <f t="shared" si="11"/>
        <v>1797.7820000000002</v>
      </c>
      <c r="MH16" s="6">
        <f t="shared" si="11"/>
        <v>78.729500000000002</v>
      </c>
      <c r="MI16" s="6">
        <f t="shared" si="11"/>
        <v>5744.8080000000009</v>
      </c>
      <c r="MJ16" s="6">
        <f t="shared" si="11"/>
        <v>0</v>
      </c>
      <c r="MK16" s="6">
        <f t="shared" si="11"/>
        <v>0</v>
      </c>
      <c r="ML16" s="6">
        <f t="shared" si="11"/>
        <v>44.538000000000004</v>
      </c>
      <c r="MM16" s="6">
        <f t="shared" si="11"/>
        <v>1554.24</v>
      </c>
      <c r="MN16" s="6">
        <f t="shared" si="11"/>
        <v>111.88</v>
      </c>
      <c r="MO16" s="6">
        <f t="shared" si="11"/>
        <v>471.55200000000002</v>
      </c>
      <c r="MP16" s="6">
        <f t="shared" si="11"/>
        <v>0</v>
      </c>
      <c r="MQ16" s="6">
        <f t="shared" si="11"/>
        <v>2552.2155000000002</v>
      </c>
      <c r="MR16" s="6">
        <f t="shared" si="11"/>
        <v>60.288000000000004</v>
      </c>
      <c r="MS16" s="6">
        <f t="shared" si="11"/>
        <v>1261.625</v>
      </c>
      <c r="MT16" s="6">
        <f t="shared" si="11"/>
        <v>760.5</v>
      </c>
      <c r="MU16" s="6">
        <f t="shared" si="11"/>
        <v>0</v>
      </c>
      <c r="MV16" s="6">
        <f t="shared" si="11"/>
        <v>3041.136</v>
      </c>
      <c r="MW16" s="6">
        <f t="shared" si="11"/>
        <v>388.452</v>
      </c>
      <c r="MX16" s="6">
        <f t="shared" si="11"/>
        <v>0</v>
      </c>
      <c r="MY16" s="6">
        <f t="shared" si="11"/>
        <v>2200.9119999999998</v>
      </c>
      <c r="MZ16" s="6">
        <f t="shared" si="11"/>
        <v>1014.7520000000001</v>
      </c>
      <c r="NA16" s="6">
        <f t="shared" si="11"/>
        <v>3973.2839999999997</v>
      </c>
      <c r="NB16" s="6">
        <f t="shared" si="11"/>
        <v>977.43</v>
      </c>
      <c r="NC16" s="6">
        <f t="shared" si="11"/>
        <v>1085.021</v>
      </c>
      <c r="ND16" s="6">
        <f t="shared" si="11"/>
        <v>132.39750000000001</v>
      </c>
      <c r="NE16" s="6">
        <f t="shared" si="11"/>
        <v>0</v>
      </c>
      <c r="NF16" s="6">
        <f t="shared" si="11"/>
        <v>1354.692</v>
      </c>
      <c r="NG16" s="6">
        <f t="shared" si="11"/>
        <v>0</v>
      </c>
      <c r="NH16" s="6">
        <f t="shared" si="11"/>
        <v>3942.7019999999993</v>
      </c>
      <c r="NI16" s="6">
        <f t="shared" si="11"/>
        <v>486.43400000000003</v>
      </c>
    </row>
    <row r="17" spans="1:373" x14ac:dyDescent="0.3">
      <c r="A17" s="1" t="s">
        <v>74</v>
      </c>
      <c r="B17" s="6">
        <f t="shared" ref="B17:BM17" si="12">B14-B16</f>
        <v>19907.09</v>
      </c>
      <c r="C17" s="6">
        <f t="shared" si="12"/>
        <v>21590.716499999999</v>
      </c>
      <c r="D17" s="6">
        <f t="shared" si="12"/>
        <v>17719.134000000002</v>
      </c>
      <c r="E17" s="6">
        <f t="shared" si="12"/>
        <v>857.47149999999999</v>
      </c>
      <c r="F17" s="6">
        <f t="shared" si="12"/>
        <v>19664.231999999996</v>
      </c>
      <c r="G17" s="6">
        <f t="shared" si="12"/>
        <v>8611.7850000000017</v>
      </c>
      <c r="H17" s="6">
        <f t="shared" si="12"/>
        <v>13636.89</v>
      </c>
      <c r="I17" s="6">
        <f t="shared" si="12"/>
        <v>8318.9879999999994</v>
      </c>
      <c r="J17" s="6">
        <f t="shared" si="12"/>
        <v>4666.67</v>
      </c>
      <c r="K17" s="6">
        <f t="shared" si="12"/>
        <v>7122.6400000000012</v>
      </c>
      <c r="L17" s="6">
        <f t="shared" si="12"/>
        <v>19231.5</v>
      </c>
      <c r="M17" s="6">
        <f t="shared" si="12"/>
        <v>1552.3950000000002</v>
      </c>
      <c r="N17" s="6">
        <f t="shared" si="12"/>
        <v>25287.200000000001</v>
      </c>
      <c r="O17" s="6">
        <f t="shared" si="12"/>
        <v>7305.0360000000001</v>
      </c>
      <c r="P17" s="6">
        <f t="shared" si="12"/>
        <v>5715.2790000000005</v>
      </c>
      <c r="Q17" s="6">
        <f t="shared" si="12"/>
        <v>4525.42</v>
      </c>
      <c r="R17" s="6">
        <f t="shared" si="12"/>
        <v>433.34699999999998</v>
      </c>
      <c r="S17" s="6">
        <f t="shared" si="12"/>
        <v>1840.9385</v>
      </c>
      <c r="T17" s="6">
        <f t="shared" si="12"/>
        <v>1683.51</v>
      </c>
      <c r="U17" s="6">
        <f t="shared" si="12"/>
        <v>7522.6890000000003</v>
      </c>
      <c r="V17" s="6">
        <f t="shared" si="12"/>
        <v>6730.5029999999997</v>
      </c>
      <c r="W17" s="6">
        <f t="shared" si="12"/>
        <v>3812.8160000000003</v>
      </c>
      <c r="X17" s="6">
        <f t="shared" si="12"/>
        <v>4482.7839999999997</v>
      </c>
      <c r="Y17" s="6">
        <f t="shared" si="12"/>
        <v>3606.31</v>
      </c>
      <c r="Z17" s="6">
        <f t="shared" si="12"/>
        <v>17207.957999999999</v>
      </c>
      <c r="AA17" s="6">
        <f t="shared" si="12"/>
        <v>3798.6795000000002</v>
      </c>
      <c r="AB17" s="6">
        <f t="shared" si="12"/>
        <v>10257.577500000001</v>
      </c>
      <c r="AC17" s="6">
        <f t="shared" si="12"/>
        <v>15391.823999999999</v>
      </c>
      <c r="AD17" s="6">
        <f t="shared" si="12"/>
        <v>1936.6484999999998</v>
      </c>
      <c r="AE17" s="6">
        <f t="shared" si="12"/>
        <v>314.44200000000001</v>
      </c>
      <c r="AF17" s="6">
        <f t="shared" si="12"/>
        <v>9182.6</v>
      </c>
      <c r="AG17" s="6">
        <f t="shared" si="12"/>
        <v>2852.8119999999999</v>
      </c>
      <c r="AH17" s="6">
        <f t="shared" si="12"/>
        <v>18833.807999999997</v>
      </c>
      <c r="AI17" s="6">
        <f t="shared" si="12"/>
        <v>9177.5399999999991</v>
      </c>
      <c r="AJ17" s="6">
        <f t="shared" si="12"/>
        <v>24369.856</v>
      </c>
      <c r="AK17" s="6">
        <f t="shared" si="12"/>
        <v>11639.5</v>
      </c>
      <c r="AL17" s="6">
        <f t="shared" si="12"/>
        <v>3242.502</v>
      </c>
      <c r="AM17" s="6">
        <f t="shared" si="12"/>
        <v>3849.7760000000003</v>
      </c>
      <c r="AN17" s="6">
        <f t="shared" si="12"/>
        <v>14098.049000000003</v>
      </c>
      <c r="AO17" s="6">
        <f t="shared" si="12"/>
        <v>16649.55</v>
      </c>
      <c r="AP17" s="6">
        <f t="shared" si="12"/>
        <v>25270.400000000001</v>
      </c>
      <c r="AQ17" s="6">
        <f t="shared" si="12"/>
        <v>3877.3440000000001</v>
      </c>
      <c r="AR17" s="6">
        <f t="shared" si="12"/>
        <v>3979.4875000000002</v>
      </c>
      <c r="AS17" s="6">
        <f t="shared" si="12"/>
        <v>686.43200000000002</v>
      </c>
      <c r="AT17" s="6">
        <f t="shared" si="12"/>
        <v>2764.92</v>
      </c>
      <c r="AU17" s="6">
        <f t="shared" si="12"/>
        <v>3202.4880000000003</v>
      </c>
      <c r="AV17" s="6">
        <f t="shared" si="12"/>
        <v>1415.944</v>
      </c>
      <c r="AW17" s="6">
        <f t="shared" si="12"/>
        <v>11715.779999999999</v>
      </c>
      <c r="AX17" s="6">
        <f t="shared" si="12"/>
        <v>19165.137000000002</v>
      </c>
      <c r="AY17" s="6">
        <f t="shared" si="12"/>
        <v>6482.1120000000001</v>
      </c>
      <c r="AZ17" s="6">
        <f t="shared" si="12"/>
        <v>7605.2819999999992</v>
      </c>
      <c r="BA17" s="6">
        <f t="shared" si="12"/>
        <v>11403.315000000001</v>
      </c>
      <c r="BB17" s="6">
        <f t="shared" si="12"/>
        <v>10286.063999999998</v>
      </c>
      <c r="BC17" s="6">
        <f t="shared" si="12"/>
        <v>7074.0609999999997</v>
      </c>
      <c r="BD17" s="6">
        <f t="shared" si="12"/>
        <v>17353.871999999999</v>
      </c>
      <c r="BE17" s="6">
        <f t="shared" si="12"/>
        <v>7288.7760000000007</v>
      </c>
      <c r="BF17" s="6">
        <f t="shared" si="12"/>
        <v>16978.88</v>
      </c>
      <c r="BG17" s="6">
        <f t="shared" si="12"/>
        <v>21272.1</v>
      </c>
      <c r="BH17" s="6">
        <f t="shared" si="12"/>
        <v>2013.2280000000001</v>
      </c>
      <c r="BI17" s="6">
        <f t="shared" si="12"/>
        <v>14286.834000000001</v>
      </c>
      <c r="BJ17" s="6">
        <f t="shared" si="12"/>
        <v>1770.04</v>
      </c>
      <c r="BK17" s="6">
        <f t="shared" si="12"/>
        <v>4991.7780000000002</v>
      </c>
      <c r="BL17" s="6">
        <f t="shared" si="12"/>
        <v>28649.796000000002</v>
      </c>
      <c r="BM17" s="6">
        <f t="shared" si="12"/>
        <v>280.6105</v>
      </c>
      <c r="BN17" s="6">
        <f t="shared" ref="BN17:DY17" si="13">BN14-BN16</f>
        <v>8283.9600000000009</v>
      </c>
      <c r="BO17" s="6">
        <f t="shared" si="13"/>
        <v>10470.786</v>
      </c>
      <c r="BP17" s="6">
        <f t="shared" si="13"/>
        <v>11558.880000000001</v>
      </c>
      <c r="BQ17" s="6">
        <f t="shared" si="13"/>
        <v>10985.923500000001</v>
      </c>
      <c r="BR17" s="6">
        <f t="shared" si="13"/>
        <v>4742.5919999999996</v>
      </c>
      <c r="BS17" s="6">
        <f t="shared" si="13"/>
        <v>2885.7294999999999</v>
      </c>
      <c r="BT17" s="6">
        <f t="shared" si="13"/>
        <v>6590.67</v>
      </c>
      <c r="BU17" s="6">
        <f t="shared" si="13"/>
        <v>8881.84</v>
      </c>
      <c r="BV17" s="6">
        <f t="shared" si="13"/>
        <v>4882.72</v>
      </c>
      <c r="BW17" s="6">
        <f t="shared" si="13"/>
        <v>2660.2560000000003</v>
      </c>
      <c r="BX17" s="6">
        <f t="shared" si="13"/>
        <v>9740.4050000000007</v>
      </c>
      <c r="BY17" s="6">
        <f t="shared" si="13"/>
        <v>708.07500000000005</v>
      </c>
      <c r="BZ17" s="6">
        <f t="shared" si="13"/>
        <v>21857.46</v>
      </c>
      <c r="CA17" s="6">
        <f t="shared" si="13"/>
        <v>4510.1400000000003</v>
      </c>
      <c r="CB17" s="6">
        <f t="shared" si="13"/>
        <v>7579.7840000000006</v>
      </c>
      <c r="CC17" s="6">
        <f t="shared" si="13"/>
        <v>3432.576</v>
      </c>
      <c r="CD17" s="6">
        <f t="shared" si="13"/>
        <v>2307.152</v>
      </c>
      <c r="CE17" s="6">
        <f t="shared" si="13"/>
        <v>1659.3919999999998</v>
      </c>
      <c r="CF17" s="6">
        <f t="shared" si="13"/>
        <v>9131.2479999999996</v>
      </c>
      <c r="CG17" s="6">
        <f t="shared" si="13"/>
        <v>9310.5600000000013</v>
      </c>
      <c r="CH17" s="6">
        <f t="shared" si="13"/>
        <v>15167.339999999998</v>
      </c>
      <c r="CI17" s="6">
        <f t="shared" si="13"/>
        <v>978.4905</v>
      </c>
      <c r="CJ17" s="6">
        <f t="shared" si="13"/>
        <v>13959.072</v>
      </c>
      <c r="CK17" s="6">
        <f t="shared" si="13"/>
        <v>5801.4719999999998</v>
      </c>
      <c r="CL17" s="6">
        <f t="shared" si="13"/>
        <v>3695.922</v>
      </c>
      <c r="CM17" s="6">
        <f t="shared" si="13"/>
        <v>2249.8920000000003</v>
      </c>
      <c r="CN17" s="6">
        <f t="shared" si="13"/>
        <v>4290.3045000000002</v>
      </c>
      <c r="CO17" s="6">
        <f t="shared" si="13"/>
        <v>4631.0720000000001</v>
      </c>
      <c r="CP17" s="6">
        <f t="shared" si="13"/>
        <v>757.8</v>
      </c>
      <c r="CQ17" s="6">
        <f t="shared" si="13"/>
        <v>19887.273000000001</v>
      </c>
      <c r="CR17" s="6">
        <f t="shared" si="13"/>
        <v>11445.624</v>
      </c>
      <c r="CS17" s="6">
        <f t="shared" si="13"/>
        <v>2974.4479999999999</v>
      </c>
      <c r="CT17" s="6">
        <f t="shared" si="13"/>
        <v>20105.904000000002</v>
      </c>
      <c r="CU17" s="6">
        <f t="shared" si="13"/>
        <v>814.63499999999999</v>
      </c>
      <c r="CV17" s="6">
        <f t="shared" si="13"/>
        <v>10776.476999999999</v>
      </c>
      <c r="CW17" s="6">
        <f t="shared" si="13"/>
        <v>4517.7925000000005</v>
      </c>
      <c r="CX17" s="6">
        <f t="shared" si="13"/>
        <v>959.32699999999988</v>
      </c>
      <c r="CY17" s="6">
        <f t="shared" si="13"/>
        <v>9968.8320000000003</v>
      </c>
      <c r="CZ17" s="6">
        <f t="shared" si="13"/>
        <v>1638.018</v>
      </c>
      <c r="DA17" s="6">
        <f t="shared" si="13"/>
        <v>3553.8879999999999</v>
      </c>
      <c r="DB17" s="6">
        <f t="shared" si="13"/>
        <v>10837.295999999998</v>
      </c>
      <c r="DC17" s="6">
        <f t="shared" si="13"/>
        <v>9771.6780000000017</v>
      </c>
      <c r="DD17" s="6">
        <f t="shared" si="13"/>
        <v>7242.18</v>
      </c>
      <c r="DE17" s="6">
        <f t="shared" si="13"/>
        <v>5822.3130000000001</v>
      </c>
      <c r="DF17" s="6">
        <f t="shared" si="13"/>
        <v>17062.896000000001</v>
      </c>
      <c r="DG17" s="6">
        <f t="shared" si="13"/>
        <v>3685.9360000000001</v>
      </c>
      <c r="DH17" s="6">
        <f t="shared" si="13"/>
        <v>26717.439999999999</v>
      </c>
      <c r="DI17" s="6">
        <f t="shared" si="13"/>
        <v>19248.159</v>
      </c>
      <c r="DJ17" s="6">
        <f t="shared" si="13"/>
        <v>14161.400000000001</v>
      </c>
      <c r="DK17" s="6">
        <f t="shared" si="13"/>
        <v>6993.65</v>
      </c>
      <c r="DL17" s="6">
        <f t="shared" si="13"/>
        <v>5882.8</v>
      </c>
      <c r="DM17" s="6">
        <f t="shared" si="13"/>
        <v>7358.6115000000009</v>
      </c>
      <c r="DN17" s="6">
        <f t="shared" si="13"/>
        <v>31051.71</v>
      </c>
      <c r="DO17" s="6">
        <f t="shared" si="13"/>
        <v>28288.871999999999</v>
      </c>
      <c r="DP17" s="6">
        <f t="shared" si="13"/>
        <v>9969.5339999999997</v>
      </c>
      <c r="DQ17" s="6">
        <f t="shared" si="13"/>
        <v>3958.56</v>
      </c>
      <c r="DR17" s="6">
        <f t="shared" si="13"/>
        <v>4865.01</v>
      </c>
      <c r="DS17" s="6">
        <f t="shared" si="13"/>
        <v>2407.7464999999997</v>
      </c>
      <c r="DT17" s="6">
        <f t="shared" si="13"/>
        <v>11301.727499999999</v>
      </c>
      <c r="DU17" s="6">
        <f t="shared" si="13"/>
        <v>12614.92</v>
      </c>
      <c r="DV17" s="6">
        <f t="shared" si="13"/>
        <v>3990.85</v>
      </c>
      <c r="DW17" s="6">
        <f t="shared" si="13"/>
        <v>10942.062000000002</v>
      </c>
      <c r="DX17" s="6">
        <f t="shared" si="13"/>
        <v>10855.74</v>
      </c>
      <c r="DY17" s="6">
        <f t="shared" si="13"/>
        <v>912.67</v>
      </c>
      <c r="DZ17" s="6">
        <f t="shared" ref="DZ17:GK17" si="14">DZ14-DZ16</f>
        <v>725.23800000000006</v>
      </c>
      <c r="EA17" s="6">
        <f t="shared" si="14"/>
        <v>11409.312</v>
      </c>
      <c r="EB17" s="6">
        <f t="shared" si="14"/>
        <v>3179.556</v>
      </c>
      <c r="EC17" s="6">
        <f t="shared" si="14"/>
        <v>2063.0500000000002</v>
      </c>
      <c r="ED17" s="6">
        <f t="shared" si="14"/>
        <v>24473.529500000001</v>
      </c>
      <c r="EE17" s="6">
        <f t="shared" si="14"/>
        <v>20087.807999999997</v>
      </c>
      <c r="EF17" s="6">
        <f t="shared" si="14"/>
        <v>3523.1219999999998</v>
      </c>
      <c r="EG17" s="6">
        <f t="shared" si="14"/>
        <v>7911.3580000000002</v>
      </c>
      <c r="EH17" s="6">
        <f t="shared" si="14"/>
        <v>10560.219000000001</v>
      </c>
      <c r="EI17" s="6">
        <f t="shared" si="14"/>
        <v>8692.0020000000004</v>
      </c>
      <c r="EJ17" s="6">
        <f t="shared" si="14"/>
        <v>19980.440000000002</v>
      </c>
      <c r="EK17" s="6">
        <f t="shared" si="14"/>
        <v>5616.12</v>
      </c>
      <c r="EL17" s="6">
        <f t="shared" si="14"/>
        <v>6209.6750000000002</v>
      </c>
      <c r="EM17" s="6">
        <f t="shared" si="14"/>
        <v>2924.1990000000001</v>
      </c>
      <c r="EN17" s="6">
        <f t="shared" si="14"/>
        <v>1529.12</v>
      </c>
      <c r="EO17" s="6">
        <f t="shared" si="14"/>
        <v>4903.3100000000004</v>
      </c>
      <c r="EP17" s="6">
        <f t="shared" si="14"/>
        <v>2273.1209999999996</v>
      </c>
      <c r="EQ17" s="6">
        <f t="shared" si="14"/>
        <v>8437.84</v>
      </c>
      <c r="ER17" s="6">
        <f t="shared" si="14"/>
        <v>22753.344000000001</v>
      </c>
      <c r="ES17" s="6">
        <f t="shared" si="14"/>
        <v>22804.62</v>
      </c>
      <c r="ET17" s="6">
        <f t="shared" si="14"/>
        <v>5026.3360000000002</v>
      </c>
      <c r="EU17" s="6">
        <f t="shared" si="14"/>
        <v>8412.4080000000013</v>
      </c>
      <c r="EV17" s="6">
        <f t="shared" si="14"/>
        <v>9329.6839999999993</v>
      </c>
      <c r="EW17" s="6">
        <f t="shared" si="14"/>
        <v>975.37599999999998</v>
      </c>
      <c r="EX17" s="6">
        <f t="shared" si="14"/>
        <v>922.65599999999995</v>
      </c>
      <c r="EY17" s="6">
        <f t="shared" si="14"/>
        <v>11899.616</v>
      </c>
      <c r="EZ17" s="6">
        <f t="shared" si="14"/>
        <v>6809.18</v>
      </c>
      <c r="FA17" s="6">
        <f t="shared" si="14"/>
        <v>10513.769</v>
      </c>
      <c r="FB17" s="6">
        <f t="shared" si="14"/>
        <v>1423.404</v>
      </c>
      <c r="FC17" s="6">
        <f t="shared" si="14"/>
        <v>19716.984</v>
      </c>
      <c r="FD17" s="6">
        <f t="shared" si="14"/>
        <v>28842.076000000001</v>
      </c>
      <c r="FE17" s="6">
        <f t="shared" si="14"/>
        <v>22746.383999999998</v>
      </c>
      <c r="FF17" s="6">
        <f t="shared" si="14"/>
        <v>3869.6444999999999</v>
      </c>
      <c r="FG17" s="6">
        <f t="shared" si="14"/>
        <v>2815.9904999999999</v>
      </c>
      <c r="FH17" s="6">
        <f t="shared" si="14"/>
        <v>9075.8719999999994</v>
      </c>
      <c r="FI17" s="6">
        <f t="shared" si="14"/>
        <v>1096.7670000000001</v>
      </c>
      <c r="FJ17" s="6">
        <f t="shared" si="14"/>
        <v>3144.9059999999999</v>
      </c>
      <c r="FK17" s="6">
        <f t="shared" si="14"/>
        <v>15920.424000000001</v>
      </c>
      <c r="FL17" s="6">
        <f t="shared" si="14"/>
        <v>9317.52</v>
      </c>
      <c r="FM17" s="6">
        <f t="shared" si="14"/>
        <v>3685.1920000000005</v>
      </c>
      <c r="FN17" s="6">
        <f t="shared" si="14"/>
        <v>9034.4375</v>
      </c>
      <c r="FO17" s="6">
        <f t="shared" si="14"/>
        <v>6290.34</v>
      </c>
      <c r="FP17" s="6">
        <f t="shared" si="14"/>
        <v>508.81</v>
      </c>
      <c r="FQ17" s="6">
        <f t="shared" si="14"/>
        <v>1557.3690000000001</v>
      </c>
      <c r="FR17" s="6">
        <f t="shared" si="14"/>
        <v>2102.895</v>
      </c>
      <c r="FS17" s="6">
        <f t="shared" si="14"/>
        <v>2607.9209999999998</v>
      </c>
      <c r="FT17" s="6">
        <f t="shared" si="14"/>
        <v>6834.4675000000007</v>
      </c>
      <c r="FU17" s="6">
        <f t="shared" si="14"/>
        <v>828.29100000000005</v>
      </c>
      <c r="FV17" s="6">
        <f t="shared" si="14"/>
        <v>1687.0120000000002</v>
      </c>
      <c r="FW17" s="6">
        <f t="shared" si="14"/>
        <v>1519.817</v>
      </c>
      <c r="FX17" s="6">
        <f t="shared" si="14"/>
        <v>1861.1099999999997</v>
      </c>
      <c r="FY17" s="6">
        <f t="shared" si="14"/>
        <v>20494.88</v>
      </c>
      <c r="FZ17" s="6">
        <f t="shared" si="14"/>
        <v>4522.3559999999998</v>
      </c>
      <c r="GA17" s="6">
        <f t="shared" si="14"/>
        <v>5214.835</v>
      </c>
      <c r="GB17" s="6">
        <f t="shared" si="14"/>
        <v>5141.4840000000004</v>
      </c>
      <c r="GC17" s="6">
        <f t="shared" si="14"/>
        <v>6889.5134999999991</v>
      </c>
      <c r="GD17" s="6">
        <f t="shared" si="14"/>
        <v>14007.76</v>
      </c>
      <c r="GE17" s="6">
        <f t="shared" si="14"/>
        <v>27652.32</v>
      </c>
      <c r="GF17" s="6">
        <f t="shared" si="14"/>
        <v>6190.1280000000006</v>
      </c>
      <c r="GG17" s="6">
        <f t="shared" si="14"/>
        <v>6099.6480000000001</v>
      </c>
      <c r="GH17" s="6">
        <f t="shared" si="14"/>
        <v>8779.5479999999989</v>
      </c>
      <c r="GI17" s="6">
        <f t="shared" si="14"/>
        <v>24864.812000000002</v>
      </c>
      <c r="GJ17" s="6">
        <f t="shared" si="14"/>
        <v>14222.565000000002</v>
      </c>
      <c r="GK17" s="6">
        <f t="shared" si="14"/>
        <v>2529.2089999999998</v>
      </c>
      <c r="GL17" s="6">
        <f t="shared" ref="GL17:IW17" si="15">GL14-GL16</f>
        <v>5847.0140000000001</v>
      </c>
      <c r="GM17" s="6">
        <f t="shared" si="15"/>
        <v>2533.7199999999998</v>
      </c>
      <c r="GN17" s="6">
        <f t="shared" si="15"/>
        <v>4614.0930000000008</v>
      </c>
      <c r="GO17" s="6">
        <f t="shared" si="15"/>
        <v>10673.024000000001</v>
      </c>
      <c r="GP17" s="6">
        <f t="shared" si="15"/>
        <v>4803.26</v>
      </c>
      <c r="GQ17" s="6">
        <f t="shared" si="15"/>
        <v>25927.84</v>
      </c>
      <c r="GR17" s="6">
        <f t="shared" si="15"/>
        <v>24618.699000000001</v>
      </c>
      <c r="GS17" s="6">
        <f t="shared" si="15"/>
        <v>7978.7699999999995</v>
      </c>
      <c r="GT17" s="6">
        <f t="shared" si="15"/>
        <v>2945.6175000000003</v>
      </c>
      <c r="GU17" s="6">
        <f t="shared" si="15"/>
        <v>28153.599999999999</v>
      </c>
      <c r="GV17" s="6">
        <f t="shared" si="15"/>
        <v>1912.9164999999998</v>
      </c>
      <c r="GW17" s="6">
        <f t="shared" si="15"/>
        <v>528.70349999999996</v>
      </c>
      <c r="GX17" s="6">
        <f t="shared" si="15"/>
        <v>2043.5939999999998</v>
      </c>
      <c r="GY17" s="6">
        <f t="shared" si="15"/>
        <v>21684.429</v>
      </c>
      <c r="GZ17" s="6">
        <f t="shared" si="15"/>
        <v>1934.7359999999999</v>
      </c>
      <c r="HA17" s="6">
        <f t="shared" si="15"/>
        <v>7129.0079999999998</v>
      </c>
      <c r="HB17" s="6">
        <f t="shared" si="15"/>
        <v>2151.1979999999999</v>
      </c>
      <c r="HC17" s="6">
        <f t="shared" si="15"/>
        <v>11168.58</v>
      </c>
      <c r="HD17" s="6">
        <f t="shared" si="15"/>
        <v>962.44799999999998</v>
      </c>
      <c r="HE17" s="6">
        <f t="shared" si="15"/>
        <v>2402.67</v>
      </c>
      <c r="HF17" s="6">
        <f t="shared" si="15"/>
        <v>9628.48</v>
      </c>
      <c r="HG17" s="6">
        <f t="shared" si="15"/>
        <v>2928.3274999999999</v>
      </c>
      <c r="HH17" s="6">
        <f t="shared" si="15"/>
        <v>11772.712</v>
      </c>
      <c r="HI17" s="6">
        <f t="shared" si="15"/>
        <v>14593.152000000002</v>
      </c>
      <c r="HJ17" s="6">
        <f t="shared" si="15"/>
        <v>3942.92</v>
      </c>
      <c r="HK17" s="6">
        <f t="shared" si="15"/>
        <v>11662.655999999999</v>
      </c>
      <c r="HL17" s="6">
        <f t="shared" si="15"/>
        <v>5980.16</v>
      </c>
      <c r="HM17" s="6">
        <f t="shared" si="15"/>
        <v>10762.147500000001</v>
      </c>
      <c r="HN17" s="6">
        <f t="shared" si="15"/>
        <v>5423.32</v>
      </c>
      <c r="HO17" s="6">
        <f t="shared" si="15"/>
        <v>685.70999999999992</v>
      </c>
      <c r="HP17" s="6">
        <f t="shared" si="15"/>
        <v>1844.8620000000001</v>
      </c>
      <c r="HQ17" s="6">
        <f t="shared" si="15"/>
        <v>1066.5</v>
      </c>
      <c r="HR17" s="6">
        <f t="shared" si="15"/>
        <v>15575.427</v>
      </c>
      <c r="HS17" s="6">
        <f t="shared" si="15"/>
        <v>15161.02</v>
      </c>
      <c r="HT17" s="6">
        <f t="shared" si="15"/>
        <v>3604.16</v>
      </c>
      <c r="HU17" s="6">
        <f t="shared" si="15"/>
        <v>14724.647999999999</v>
      </c>
      <c r="HV17" s="6">
        <f t="shared" si="15"/>
        <v>855.74099999999999</v>
      </c>
      <c r="HW17" s="6">
        <f t="shared" si="15"/>
        <v>2394.5039999999999</v>
      </c>
      <c r="HX17" s="6">
        <f t="shared" si="15"/>
        <v>12626.16</v>
      </c>
      <c r="HY17" s="6">
        <f t="shared" si="15"/>
        <v>17264.502</v>
      </c>
      <c r="HZ17" s="6">
        <f t="shared" si="15"/>
        <v>7408.5300000000007</v>
      </c>
      <c r="IA17" s="6">
        <f t="shared" si="15"/>
        <v>2193.8159999999998</v>
      </c>
      <c r="IB17" s="6">
        <f t="shared" si="15"/>
        <v>5032.6000000000004</v>
      </c>
      <c r="IC17" s="6">
        <f t="shared" si="15"/>
        <v>3029.1450000000004</v>
      </c>
      <c r="ID17" s="6">
        <f t="shared" si="15"/>
        <v>4824.4319999999989</v>
      </c>
      <c r="IE17" s="6">
        <f t="shared" si="15"/>
        <v>25732.016</v>
      </c>
      <c r="IF17" s="6">
        <f t="shared" si="15"/>
        <v>15492.2</v>
      </c>
      <c r="IG17" s="6">
        <f t="shared" si="15"/>
        <v>1258.5029999999999</v>
      </c>
      <c r="IH17" s="6">
        <f t="shared" si="15"/>
        <v>11619.960000000001</v>
      </c>
      <c r="II17" s="6">
        <f t="shared" si="15"/>
        <v>7821.5760000000009</v>
      </c>
      <c r="IJ17" s="6">
        <f t="shared" si="15"/>
        <v>19406.807999999997</v>
      </c>
      <c r="IK17" s="6">
        <f t="shared" si="15"/>
        <v>21554.991000000002</v>
      </c>
      <c r="IL17" s="6">
        <f t="shared" si="15"/>
        <v>2902.4700000000003</v>
      </c>
      <c r="IM17" s="6">
        <f t="shared" si="15"/>
        <v>619.73</v>
      </c>
      <c r="IN17" s="6">
        <f t="shared" si="15"/>
        <v>13539.067499999999</v>
      </c>
      <c r="IO17" s="6">
        <f t="shared" si="15"/>
        <v>4233.3235000000004</v>
      </c>
      <c r="IP17" s="6">
        <f t="shared" si="15"/>
        <v>1543.1999999999998</v>
      </c>
      <c r="IQ17" s="6">
        <f t="shared" si="15"/>
        <v>8152.0640000000003</v>
      </c>
      <c r="IR17" s="6">
        <f t="shared" si="15"/>
        <v>5209.6319999999996</v>
      </c>
      <c r="IS17" s="6">
        <f t="shared" si="15"/>
        <v>2713.4080000000004</v>
      </c>
      <c r="IT17" s="6">
        <f t="shared" si="15"/>
        <v>7632.1100000000006</v>
      </c>
      <c r="IU17" s="6">
        <f t="shared" si="15"/>
        <v>12572.8</v>
      </c>
      <c r="IV17" s="6">
        <f t="shared" si="15"/>
        <v>2466.4140000000002</v>
      </c>
      <c r="IW17" s="6">
        <f t="shared" si="15"/>
        <v>7776.7380000000003</v>
      </c>
      <c r="IX17" s="6">
        <f t="shared" ref="IX17:LI17" si="16">IX14-IX16</f>
        <v>2588.64</v>
      </c>
      <c r="IY17" s="6">
        <f t="shared" si="16"/>
        <v>2763.5794999999998</v>
      </c>
      <c r="IZ17" s="6">
        <f t="shared" si="16"/>
        <v>1597.7574999999999</v>
      </c>
      <c r="JA17" s="6">
        <f t="shared" si="16"/>
        <v>22120.536</v>
      </c>
      <c r="JB17" s="6">
        <f t="shared" si="16"/>
        <v>16518.968000000001</v>
      </c>
      <c r="JC17" s="6">
        <f t="shared" si="16"/>
        <v>1261.952</v>
      </c>
      <c r="JD17" s="6">
        <f t="shared" si="16"/>
        <v>1715.21</v>
      </c>
      <c r="JE17" s="6">
        <f t="shared" si="16"/>
        <v>18038.240000000002</v>
      </c>
      <c r="JF17" s="6">
        <f t="shared" si="16"/>
        <v>18946.536</v>
      </c>
      <c r="JG17" s="6">
        <f t="shared" si="16"/>
        <v>3204.1000000000004</v>
      </c>
      <c r="JH17" s="6">
        <f t="shared" si="16"/>
        <v>26565.237000000001</v>
      </c>
      <c r="JI17" s="6">
        <f t="shared" si="16"/>
        <v>5111.05</v>
      </c>
      <c r="JJ17" s="6">
        <f t="shared" si="16"/>
        <v>6171.5519999999997</v>
      </c>
      <c r="JK17" s="6">
        <f t="shared" si="16"/>
        <v>23802.6</v>
      </c>
      <c r="JL17" s="6">
        <f t="shared" si="16"/>
        <v>5012.1610000000001</v>
      </c>
      <c r="JM17" s="6">
        <f t="shared" si="16"/>
        <v>2537.0880000000002</v>
      </c>
      <c r="JN17" s="6">
        <f t="shared" si="16"/>
        <v>22279.599999999999</v>
      </c>
      <c r="JO17" s="6">
        <f t="shared" si="16"/>
        <v>2537.1839999999997</v>
      </c>
      <c r="JP17" s="6">
        <f t="shared" si="16"/>
        <v>957.52499999999998</v>
      </c>
      <c r="JQ17" s="6">
        <f t="shared" si="16"/>
        <v>1114.6079999999999</v>
      </c>
      <c r="JR17" s="6">
        <f t="shared" si="16"/>
        <v>14092.338000000002</v>
      </c>
      <c r="JS17" s="6">
        <f t="shared" si="16"/>
        <v>2567.7199999999998</v>
      </c>
      <c r="JT17" s="6">
        <f t="shared" si="16"/>
        <v>8338.994999999999</v>
      </c>
      <c r="JU17" s="6">
        <f t="shared" si="16"/>
        <v>2194.5699999999997</v>
      </c>
      <c r="JV17" s="6">
        <f t="shared" si="16"/>
        <v>8914.5920000000006</v>
      </c>
      <c r="JW17" s="6">
        <f t="shared" si="16"/>
        <v>3262.8780000000002</v>
      </c>
      <c r="JX17" s="6">
        <f t="shared" si="16"/>
        <v>2049.1840000000002</v>
      </c>
      <c r="JY17" s="6">
        <f t="shared" si="16"/>
        <v>2966.7040000000002</v>
      </c>
      <c r="JZ17" s="6">
        <f t="shared" si="16"/>
        <v>4905.1289999999999</v>
      </c>
      <c r="KA17" s="6">
        <f t="shared" si="16"/>
        <v>3313.6639999999998</v>
      </c>
      <c r="KB17" s="6">
        <f t="shared" si="16"/>
        <v>22511.124000000003</v>
      </c>
      <c r="KC17" s="6">
        <f t="shared" si="16"/>
        <v>9637.2404999999999</v>
      </c>
      <c r="KD17" s="6">
        <f t="shared" si="16"/>
        <v>10402.48</v>
      </c>
      <c r="KE17" s="6">
        <f t="shared" si="16"/>
        <v>24351.615999999998</v>
      </c>
      <c r="KF17" s="6">
        <f t="shared" si="16"/>
        <v>192.3655</v>
      </c>
      <c r="KG17" s="6">
        <f t="shared" si="16"/>
        <v>9469</v>
      </c>
      <c r="KH17" s="6">
        <f t="shared" si="16"/>
        <v>5482.2479999999996</v>
      </c>
      <c r="KI17" s="6">
        <f t="shared" si="16"/>
        <v>14373.84</v>
      </c>
      <c r="KJ17" s="6">
        <f t="shared" si="16"/>
        <v>16604.400000000001</v>
      </c>
      <c r="KK17" s="6">
        <f t="shared" si="16"/>
        <v>27438.507999999998</v>
      </c>
      <c r="KL17" s="6">
        <f t="shared" si="16"/>
        <v>22284.892</v>
      </c>
      <c r="KM17" s="6">
        <f t="shared" si="16"/>
        <v>9771.36</v>
      </c>
      <c r="KN17" s="6">
        <f t="shared" si="16"/>
        <v>13032.624</v>
      </c>
      <c r="KO17" s="6">
        <f t="shared" si="16"/>
        <v>7518.3379999999997</v>
      </c>
      <c r="KP17" s="6">
        <f t="shared" si="16"/>
        <v>6114.2999999999993</v>
      </c>
      <c r="KQ17" s="6">
        <f t="shared" si="16"/>
        <v>6604.44</v>
      </c>
      <c r="KR17" s="6">
        <f t="shared" si="16"/>
        <v>3474.9359999999997</v>
      </c>
      <c r="KS17" s="6">
        <f t="shared" si="16"/>
        <v>3715.127</v>
      </c>
      <c r="KT17" s="6">
        <f t="shared" si="16"/>
        <v>1389.2324999999998</v>
      </c>
      <c r="KU17" s="6">
        <f t="shared" si="16"/>
        <v>3044.3429999999998</v>
      </c>
      <c r="KV17" s="6">
        <f t="shared" si="16"/>
        <v>7742.7199999999993</v>
      </c>
      <c r="KW17" s="6">
        <f t="shared" si="16"/>
        <v>3731.6970000000001</v>
      </c>
      <c r="KX17" s="6">
        <f t="shared" si="16"/>
        <v>3571.884</v>
      </c>
      <c r="KY17" s="6">
        <f t="shared" si="16"/>
        <v>9353.1959999999999</v>
      </c>
      <c r="KZ17" s="6">
        <f t="shared" si="16"/>
        <v>5488.5329999999994</v>
      </c>
      <c r="LA17" s="6">
        <f t="shared" si="16"/>
        <v>2065.806</v>
      </c>
      <c r="LB17" s="6">
        <f t="shared" si="16"/>
        <v>3962.6490000000003</v>
      </c>
      <c r="LC17" s="6">
        <f t="shared" si="16"/>
        <v>21551.4</v>
      </c>
      <c r="LD17" s="6">
        <f t="shared" si="16"/>
        <v>16298.880000000001</v>
      </c>
      <c r="LE17" s="6">
        <f t="shared" si="16"/>
        <v>1098.558</v>
      </c>
      <c r="LF17" s="6">
        <f t="shared" si="16"/>
        <v>12008.817000000001</v>
      </c>
      <c r="LG17" s="6">
        <f t="shared" si="16"/>
        <v>16228.85</v>
      </c>
      <c r="LH17" s="6">
        <f t="shared" si="16"/>
        <v>5369.58</v>
      </c>
      <c r="LI17" s="6">
        <f t="shared" si="16"/>
        <v>2332.1875</v>
      </c>
      <c r="LJ17" s="6">
        <f t="shared" ref="LJ17:NI17" si="17">LJ14-LJ16</f>
        <v>5069.1620000000003</v>
      </c>
      <c r="LK17" s="6">
        <f t="shared" si="17"/>
        <v>2044.41</v>
      </c>
      <c r="LL17" s="6">
        <f t="shared" si="17"/>
        <v>23159.232</v>
      </c>
      <c r="LM17" s="6">
        <f t="shared" si="17"/>
        <v>6427.4490000000005</v>
      </c>
      <c r="LN17" s="6">
        <f t="shared" si="17"/>
        <v>6172.3019999999997</v>
      </c>
      <c r="LO17" s="6">
        <f t="shared" si="17"/>
        <v>10380.719999999999</v>
      </c>
      <c r="LP17" s="6">
        <f t="shared" si="17"/>
        <v>1158.7150000000001</v>
      </c>
      <c r="LQ17" s="6">
        <f t="shared" si="17"/>
        <v>3354.81</v>
      </c>
      <c r="LR17" s="6">
        <f t="shared" si="17"/>
        <v>28120.103999999999</v>
      </c>
      <c r="LS17" s="6">
        <f t="shared" si="17"/>
        <v>6570.3809999999994</v>
      </c>
      <c r="LT17" s="6">
        <f t="shared" si="17"/>
        <v>30296.430000000004</v>
      </c>
      <c r="LU17" s="6">
        <f t="shared" si="17"/>
        <v>20986.744500000001</v>
      </c>
      <c r="LV17" s="6">
        <f t="shared" si="17"/>
        <v>11461.587</v>
      </c>
      <c r="LW17" s="6">
        <f t="shared" si="17"/>
        <v>2799.1040000000003</v>
      </c>
      <c r="LX17" s="6">
        <f t="shared" si="17"/>
        <v>10934.34</v>
      </c>
      <c r="LY17" s="6">
        <f t="shared" si="17"/>
        <v>9568.2720000000008</v>
      </c>
      <c r="LZ17" s="6">
        <f t="shared" si="17"/>
        <v>14022.989999999998</v>
      </c>
      <c r="MA17" s="6">
        <f t="shared" si="17"/>
        <v>3911.2739999999994</v>
      </c>
      <c r="MB17" s="6">
        <f t="shared" si="17"/>
        <v>3397.5630000000001</v>
      </c>
      <c r="MC17" s="6">
        <f t="shared" si="17"/>
        <v>5254.56</v>
      </c>
      <c r="MD17" s="6">
        <f t="shared" si="17"/>
        <v>24054.57</v>
      </c>
      <c r="ME17" s="6">
        <f t="shared" si="17"/>
        <v>7027.9920000000002</v>
      </c>
      <c r="MF17" s="6">
        <f t="shared" si="17"/>
        <v>13936.356</v>
      </c>
      <c r="MG17" s="6">
        <f t="shared" si="17"/>
        <v>16180.038</v>
      </c>
      <c r="MH17" s="6">
        <f t="shared" si="17"/>
        <v>1495.8605</v>
      </c>
      <c r="MI17" s="6">
        <f t="shared" si="17"/>
        <v>22979.232</v>
      </c>
      <c r="MJ17" s="6">
        <f t="shared" si="17"/>
        <v>2748.46</v>
      </c>
      <c r="MK17" s="6">
        <f t="shared" si="17"/>
        <v>7403.3</v>
      </c>
      <c r="ML17" s="6">
        <f t="shared" si="17"/>
        <v>400.84199999999998</v>
      </c>
      <c r="MM17" s="6">
        <f t="shared" si="17"/>
        <v>8807.36</v>
      </c>
      <c r="MN17" s="6">
        <f t="shared" si="17"/>
        <v>447.52</v>
      </c>
      <c r="MO17" s="6">
        <f t="shared" si="17"/>
        <v>1886.2080000000001</v>
      </c>
      <c r="MP17" s="6">
        <f t="shared" si="17"/>
        <v>22638.239999999998</v>
      </c>
      <c r="MQ17" s="6">
        <f t="shared" si="17"/>
        <v>14462.5545</v>
      </c>
      <c r="MR17" s="6">
        <f t="shared" si="17"/>
        <v>1145.472</v>
      </c>
      <c r="MS17" s="6">
        <f t="shared" si="17"/>
        <v>11354.625</v>
      </c>
      <c r="MT17" s="6">
        <f t="shared" si="17"/>
        <v>4309.5</v>
      </c>
      <c r="MU17" s="6">
        <f t="shared" si="17"/>
        <v>9284.08</v>
      </c>
      <c r="MV17" s="6">
        <f t="shared" si="17"/>
        <v>12164.543999999998</v>
      </c>
      <c r="MW17" s="6">
        <f t="shared" si="17"/>
        <v>2201.2280000000001</v>
      </c>
      <c r="MX17" s="6">
        <f t="shared" si="17"/>
        <v>6981.93</v>
      </c>
      <c r="MY17" s="6">
        <f t="shared" si="17"/>
        <v>8803.6479999999992</v>
      </c>
      <c r="MZ17" s="6">
        <f t="shared" si="17"/>
        <v>19280.288</v>
      </c>
      <c r="NA17" s="6">
        <f t="shared" si="17"/>
        <v>15893.135999999999</v>
      </c>
      <c r="NB17" s="6">
        <f t="shared" si="17"/>
        <v>3909.72</v>
      </c>
      <c r="NC17" s="6">
        <f t="shared" si="17"/>
        <v>9765.1889999999985</v>
      </c>
      <c r="ND17" s="6">
        <f t="shared" si="17"/>
        <v>2515.5525000000002</v>
      </c>
      <c r="NE17" s="6">
        <f t="shared" si="17"/>
        <v>4787.5200000000004</v>
      </c>
      <c r="NF17" s="6">
        <f t="shared" si="17"/>
        <v>5418.7680000000009</v>
      </c>
      <c r="NG17" s="6">
        <f t="shared" si="17"/>
        <v>6437.75</v>
      </c>
      <c r="NH17" s="6">
        <f t="shared" si="17"/>
        <v>15770.807999999999</v>
      </c>
      <c r="NI17" s="6">
        <f t="shared" si="17"/>
        <v>1945.7360000000001</v>
      </c>
    </row>
    <row r="18" spans="1:373" x14ac:dyDescent="0.3">
      <c r="A18" s="4" t="s">
        <v>15</v>
      </c>
      <c r="B18" s="2" t="str">
        <f t="shared" ref="B18:BM18" si="18">IF(B17&gt;=10000,"High","Low")</f>
        <v>High</v>
      </c>
      <c r="C18" s="2" t="str">
        <f t="shared" si="18"/>
        <v>High</v>
      </c>
      <c r="D18" s="2" t="str">
        <f t="shared" si="18"/>
        <v>High</v>
      </c>
      <c r="E18" s="2" t="str">
        <f t="shared" si="18"/>
        <v>Low</v>
      </c>
      <c r="F18" s="2" t="str">
        <f t="shared" si="18"/>
        <v>High</v>
      </c>
      <c r="G18" s="2" t="str">
        <f t="shared" si="18"/>
        <v>Low</v>
      </c>
      <c r="H18" s="2" t="str">
        <f t="shared" si="18"/>
        <v>High</v>
      </c>
      <c r="I18" s="2" t="str">
        <f t="shared" si="18"/>
        <v>Low</v>
      </c>
      <c r="J18" s="2" t="str">
        <f t="shared" si="18"/>
        <v>Low</v>
      </c>
      <c r="K18" s="2" t="str">
        <f t="shared" si="18"/>
        <v>Low</v>
      </c>
      <c r="L18" s="2" t="str">
        <f t="shared" si="18"/>
        <v>High</v>
      </c>
      <c r="M18" s="2" t="str">
        <f t="shared" si="18"/>
        <v>Low</v>
      </c>
      <c r="N18" s="2" t="str">
        <f t="shared" si="18"/>
        <v>High</v>
      </c>
      <c r="O18" s="2" t="str">
        <f t="shared" si="18"/>
        <v>Low</v>
      </c>
      <c r="P18" s="2" t="str">
        <f t="shared" si="18"/>
        <v>Low</v>
      </c>
      <c r="Q18" s="2" t="str">
        <f t="shared" si="18"/>
        <v>Low</v>
      </c>
      <c r="R18" s="2" t="str">
        <f t="shared" si="18"/>
        <v>Low</v>
      </c>
      <c r="S18" s="2" t="str">
        <f t="shared" si="18"/>
        <v>Low</v>
      </c>
      <c r="T18" s="2" t="str">
        <f t="shared" si="18"/>
        <v>Low</v>
      </c>
      <c r="U18" s="2" t="str">
        <f t="shared" si="18"/>
        <v>Low</v>
      </c>
      <c r="V18" s="2" t="str">
        <f t="shared" si="18"/>
        <v>Low</v>
      </c>
      <c r="W18" s="2" t="str">
        <f t="shared" si="18"/>
        <v>Low</v>
      </c>
      <c r="X18" s="2" t="str">
        <f t="shared" si="18"/>
        <v>Low</v>
      </c>
      <c r="Y18" s="2" t="str">
        <f t="shared" si="18"/>
        <v>Low</v>
      </c>
      <c r="Z18" s="2" t="str">
        <f t="shared" si="18"/>
        <v>High</v>
      </c>
      <c r="AA18" s="2" t="str">
        <f t="shared" si="18"/>
        <v>Low</v>
      </c>
      <c r="AB18" s="2" t="str">
        <f t="shared" si="18"/>
        <v>High</v>
      </c>
      <c r="AC18" s="2" t="str">
        <f t="shared" si="18"/>
        <v>High</v>
      </c>
      <c r="AD18" s="2" t="str">
        <f t="shared" si="18"/>
        <v>Low</v>
      </c>
      <c r="AE18" s="2" t="str">
        <f t="shared" si="18"/>
        <v>Low</v>
      </c>
      <c r="AF18" s="2" t="str">
        <f t="shared" si="18"/>
        <v>Low</v>
      </c>
      <c r="AG18" s="2" t="str">
        <f t="shared" si="18"/>
        <v>Low</v>
      </c>
      <c r="AH18" s="2" t="str">
        <f t="shared" si="18"/>
        <v>High</v>
      </c>
      <c r="AI18" s="2" t="str">
        <f t="shared" si="18"/>
        <v>Low</v>
      </c>
      <c r="AJ18" s="2" t="str">
        <f t="shared" si="18"/>
        <v>High</v>
      </c>
      <c r="AK18" s="2" t="str">
        <f t="shared" si="18"/>
        <v>High</v>
      </c>
      <c r="AL18" s="2" t="str">
        <f t="shared" si="18"/>
        <v>Low</v>
      </c>
      <c r="AM18" s="2" t="str">
        <f t="shared" si="18"/>
        <v>Low</v>
      </c>
      <c r="AN18" s="2" t="str">
        <f t="shared" si="18"/>
        <v>High</v>
      </c>
      <c r="AO18" s="2" t="str">
        <f t="shared" si="18"/>
        <v>High</v>
      </c>
      <c r="AP18" s="2" t="str">
        <f t="shared" si="18"/>
        <v>High</v>
      </c>
      <c r="AQ18" s="2" t="str">
        <f t="shared" si="18"/>
        <v>Low</v>
      </c>
      <c r="AR18" s="2" t="str">
        <f t="shared" si="18"/>
        <v>Low</v>
      </c>
      <c r="AS18" s="2" t="str">
        <f t="shared" si="18"/>
        <v>Low</v>
      </c>
      <c r="AT18" s="2" t="str">
        <f t="shared" si="18"/>
        <v>Low</v>
      </c>
      <c r="AU18" s="2" t="str">
        <f t="shared" si="18"/>
        <v>Low</v>
      </c>
      <c r="AV18" s="2" t="str">
        <f t="shared" si="18"/>
        <v>Low</v>
      </c>
      <c r="AW18" s="2" t="str">
        <f t="shared" si="18"/>
        <v>High</v>
      </c>
      <c r="AX18" s="2" t="str">
        <f t="shared" si="18"/>
        <v>High</v>
      </c>
      <c r="AY18" s="2" t="str">
        <f t="shared" si="18"/>
        <v>Low</v>
      </c>
      <c r="AZ18" s="2" t="str">
        <f t="shared" si="18"/>
        <v>Low</v>
      </c>
      <c r="BA18" s="2" t="str">
        <f t="shared" si="18"/>
        <v>High</v>
      </c>
      <c r="BB18" s="2" t="str">
        <f t="shared" si="18"/>
        <v>High</v>
      </c>
      <c r="BC18" s="2" t="str">
        <f t="shared" si="18"/>
        <v>Low</v>
      </c>
      <c r="BD18" s="2" t="str">
        <f t="shared" si="18"/>
        <v>High</v>
      </c>
      <c r="BE18" s="2" t="str">
        <f t="shared" si="18"/>
        <v>Low</v>
      </c>
      <c r="BF18" s="2" t="str">
        <f t="shared" si="18"/>
        <v>High</v>
      </c>
      <c r="BG18" s="2" t="str">
        <f t="shared" si="18"/>
        <v>High</v>
      </c>
      <c r="BH18" s="2" t="str">
        <f t="shared" si="18"/>
        <v>Low</v>
      </c>
      <c r="BI18" s="2" t="str">
        <f t="shared" si="18"/>
        <v>High</v>
      </c>
      <c r="BJ18" s="2" t="str">
        <f t="shared" si="18"/>
        <v>Low</v>
      </c>
      <c r="BK18" s="2" t="str">
        <f t="shared" si="18"/>
        <v>Low</v>
      </c>
      <c r="BL18" s="2" t="str">
        <f t="shared" si="18"/>
        <v>High</v>
      </c>
      <c r="BM18" s="2" t="str">
        <f t="shared" si="18"/>
        <v>Low</v>
      </c>
      <c r="BN18" s="2" t="str">
        <f t="shared" ref="BN18:DY18" si="19">IF(BN17&gt;=10000,"High","Low")</f>
        <v>Low</v>
      </c>
      <c r="BO18" s="2" t="str">
        <f t="shared" si="19"/>
        <v>High</v>
      </c>
      <c r="BP18" s="2" t="str">
        <f t="shared" si="19"/>
        <v>High</v>
      </c>
      <c r="BQ18" s="2" t="str">
        <f t="shared" si="19"/>
        <v>High</v>
      </c>
      <c r="BR18" s="2" t="str">
        <f t="shared" si="19"/>
        <v>Low</v>
      </c>
      <c r="BS18" s="2" t="str">
        <f t="shared" si="19"/>
        <v>Low</v>
      </c>
      <c r="BT18" s="2" t="str">
        <f t="shared" si="19"/>
        <v>Low</v>
      </c>
      <c r="BU18" s="2" t="str">
        <f t="shared" si="19"/>
        <v>Low</v>
      </c>
      <c r="BV18" s="2" t="str">
        <f t="shared" si="19"/>
        <v>Low</v>
      </c>
      <c r="BW18" s="2" t="str">
        <f t="shared" si="19"/>
        <v>Low</v>
      </c>
      <c r="BX18" s="2" t="str">
        <f t="shared" si="19"/>
        <v>Low</v>
      </c>
      <c r="BY18" s="2" t="str">
        <f t="shared" si="19"/>
        <v>Low</v>
      </c>
      <c r="BZ18" s="2" t="str">
        <f t="shared" si="19"/>
        <v>High</v>
      </c>
      <c r="CA18" s="2" t="str">
        <f t="shared" si="19"/>
        <v>Low</v>
      </c>
      <c r="CB18" s="2" t="str">
        <f t="shared" si="19"/>
        <v>Low</v>
      </c>
      <c r="CC18" s="2" t="str">
        <f t="shared" si="19"/>
        <v>Low</v>
      </c>
      <c r="CD18" s="2" t="str">
        <f t="shared" si="19"/>
        <v>Low</v>
      </c>
      <c r="CE18" s="2" t="str">
        <f t="shared" si="19"/>
        <v>Low</v>
      </c>
      <c r="CF18" s="2" t="str">
        <f t="shared" si="19"/>
        <v>Low</v>
      </c>
      <c r="CG18" s="2" t="str">
        <f t="shared" si="19"/>
        <v>Low</v>
      </c>
      <c r="CH18" s="2" t="str">
        <f t="shared" si="19"/>
        <v>High</v>
      </c>
      <c r="CI18" s="2" t="str">
        <f t="shared" si="19"/>
        <v>Low</v>
      </c>
      <c r="CJ18" s="2" t="str">
        <f t="shared" si="19"/>
        <v>High</v>
      </c>
      <c r="CK18" s="2" t="str">
        <f t="shared" si="19"/>
        <v>Low</v>
      </c>
      <c r="CL18" s="2" t="str">
        <f t="shared" si="19"/>
        <v>Low</v>
      </c>
      <c r="CM18" s="2" t="str">
        <f t="shared" si="19"/>
        <v>Low</v>
      </c>
      <c r="CN18" s="2" t="str">
        <f t="shared" si="19"/>
        <v>Low</v>
      </c>
      <c r="CO18" s="2" t="str">
        <f t="shared" si="19"/>
        <v>Low</v>
      </c>
      <c r="CP18" s="2" t="str">
        <f t="shared" si="19"/>
        <v>Low</v>
      </c>
      <c r="CQ18" s="2" t="str">
        <f t="shared" si="19"/>
        <v>High</v>
      </c>
      <c r="CR18" s="2" t="str">
        <f t="shared" si="19"/>
        <v>High</v>
      </c>
      <c r="CS18" s="2" t="str">
        <f t="shared" si="19"/>
        <v>Low</v>
      </c>
      <c r="CT18" s="2" t="str">
        <f t="shared" si="19"/>
        <v>High</v>
      </c>
      <c r="CU18" s="2" t="str">
        <f t="shared" si="19"/>
        <v>Low</v>
      </c>
      <c r="CV18" s="2" t="str">
        <f t="shared" si="19"/>
        <v>High</v>
      </c>
      <c r="CW18" s="2" t="str">
        <f t="shared" si="19"/>
        <v>Low</v>
      </c>
      <c r="CX18" s="2" t="str">
        <f t="shared" si="19"/>
        <v>Low</v>
      </c>
      <c r="CY18" s="2" t="str">
        <f t="shared" si="19"/>
        <v>Low</v>
      </c>
      <c r="CZ18" s="2" t="str">
        <f t="shared" si="19"/>
        <v>Low</v>
      </c>
      <c r="DA18" s="2" t="str">
        <f t="shared" si="19"/>
        <v>Low</v>
      </c>
      <c r="DB18" s="2" t="str">
        <f t="shared" si="19"/>
        <v>High</v>
      </c>
      <c r="DC18" s="2" t="str">
        <f t="shared" si="19"/>
        <v>Low</v>
      </c>
      <c r="DD18" s="2" t="str">
        <f t="shared" si="19"/>
        <v>Low</v>
      </c>
      <c r="DE18" s="2" t="str">
        <f t="shared" si="19"/>
        <v>Low</v>
      </c>
      <c r="DF18" s="2" t="str">
        <f t="shared" si="19"/>
        <v>High</v>
      </c>
      <c r="DG18" s="2" t="str">
        <f t="shared" si="19"/>
        <v>Low</v>
      </c>
      <c r="DH18" s="2" t="str">
        <f t="shared" si="19"/>
        <v>High</v>
      </c>
      <c r="DI18" s="2" t="str">
        <f t="shared" si="19"/>
        <v>High</v>
      </c>
      <c r="DJ18" s="2" t="str">
        <f t="shared" si="19"/>
        <v>High</v>
      </c>
      <c r="DK18" s="2" t="str">
        <f t="shared" si="19"/>
        <v>Low</v>
      </c>
      <c r="DL18" s="2" t="str">
        <f t="shared" si="19"/>
        <v>Low</v>
      </c>
      <c r="DM18" s="2" t="str">
        <f t="shared" si="19"/>
        <v>Low</v>
      </c>
      <c r="DN18" s="2" t="str">
        <f t="shared" si="19"/>
        <v>High</v>
      </c>
      <c r="DO18" s="2" t="str">
        <f t="shared" si="19"/>
        <v>High</v>
      </c>
      <c r="DP18" s="2" t="str">
        <f t="shared" si="19"/>
        <v>Low</v>
      </c>
      <c r="DQ18" s="2" t="str">
        <f t="shared" si="19"/>
        <v>Low</v>
      </c>
      <c r="DR18" s="2" t="str">
        <f t="shared" si="19"/>
        <v>Low</v>
      </c>
      <c r="DS18" s="2" t="str">
        <f t="shared" si="19"/>
        <v>Low</v>
      </c>
      <c r="DT18" s="2" t="str">
        <f t="shared" si="19"/>
        <v>High</v>
      </c>
      <c r="DU18" s="2" t="str">
        <f t="shared" si="19"/>
        <v>High</v>
      </c>
      <c r="DV18" s="2" t="str">
        <f t="shared" si="19"/>
        <v>Low</v>
      </c>
      <c r="DW18" s="2" t="str">
        <f t="shared" si="19"/>
        <v>High</v>
      </c>
      <c r="DX18" s="2" t="str">
        <f t="shared" si="19"/>
        <v>High</v>
      </c>
      <c r="DY18" s="2" t="str">
        <f t="shared" si="19"/>
        <v>Low</v>
      </c>
      <c r="DZ18" s="2" t="str">
        <f t="shared" ref="DZ18:GK18" si="20">IF(DZ17&gt;=10000,"High","Low")</f>
        <v>Low</v>
      </c>
      <c r="EA18" s="2" t="str">
        <f t="shared" si="20"/>
        <v>High</v>
      </c>
      <c r="EB18" s="2" t="str">
        <f t="shared" si="20"/>
        <v>Low</v>
      </c>
      <c r="EC18" s="2" t="str">
        <f t="shared" si="20"/>
        <v>Low</v>
      </c>
      <c r="ED18" s="2" t="str">
        <f t="shared" si="20"/>
        <v>High</v>
      </c>
      <c r="EE18" s="2" t="str">
        <f t="shared" si="20"/>
        <v>High</v>
      </c>
      <c r="EF18" s="2" t="str">
        <f t="shared" si="20"/>
        <v>Low</v>
      </c>
      <c r="EG18" s="2" t="str">
        <f t="shared" si="20"/>
        <v>Low</v>
      </c>
      <c r="EH18" s="2" t="str">
        <f t="shared" si="20"/>
        <v>High</v>
      </c>
      <c r="EI18" s="2" t="str">
        <f t="shared" si="20"/>
        <v>Low</v>
      </c>
      <c r="EJ18" s="2" t="str">
        <f t="shared" si="20"/>
        <v>High</v>
      </c>
      <c r="EK18" s="2" t="str">
        <f t="shared" si="20"/>
        <v>Low</v>
      </c>
      <c r="EL18" s="2" t="str">
        <f t="shared" si="20"/>
        <v>Low</v>
      </c>
      <c r="EM18" s="2" t="str">
        <f t="shared" si="20"/>
        <v>Low</v>
      </c>
      <c r="EN18" s="2" t="str">
        <f t="shared" si="20"/>
        <v>Low</v>
      </c>
      <c r="EO18" s="2" t="str">
        <f t="shared" si="20"/>
        <v>Low</v>
      </c>
      <c r="EP18" s="2" t="str">
        <f t="shared" si="20"/>
        <v>Low</v>
      </c>
      <c r="EQ18" s="2" t="str">
        <f t="shared" si="20"/>
        <v>Low</v>
      </c>
      <c r="ER18" s="2" t="str">
        <f t="shared" si="20"/>
        <v>High</v>
      </c>
      <c r="ES18" s="2" t="str">
        <f t="shared" si="20"/>
        <v>High</v>
      </c>
      <c r="ET18" s="2" t="str">
        <f t="shared" si="20"/>
        <v>Low</v>
      </c>
      <c r="EU18" s="2" t="str">
        <f t="shared" si="20"/>
        <v>Low</v>
      </c>
      <c r="EV18" s="2" t="str">
        <f t="shared" si="20"/>
        <v>Low</v>
      </c>
      <c r="EW18" s="2" t="str">
        <f t="shared" si="20"/>
        <v>Low</v>
      </c>
      <c r="EX18" s="2" t="str">
        <f t="shared" si="20"/>
        <v>Low</v>
      </c>
      <c r="EY18" s="2" t="str">
        <f t="shared" si="20"/>
        <v>High</v>
      </c>
      <c r="EZ18" s="2" t="str">
        <f t="shared" si="20"/>
        <v>Low</v>
      </c>
      <c r="FA18" s="2" t="str">
        <f t="shared" si="20"/>
        <v>High</v>
      </c>
      <c r="FB18" s="2" t="str">
        <f t="shared" si="20"/>
        <v>Low</v>
      </c>
      <c r="FC18" s="2" t="str">
        <f t="shared" si="20"/>
        <v>High</v>
      </c>
      <c r="FD18" s="2" t="str">
        <f t="shared" si="20"/>
        <v>High</v>
      </c>
      <c r="FE18" s="2" t="str">
        <f t="shared" si="20"/>
        <v>High</v>
      </c>
      <c r="FF18" s="2" t="str">
        <f t="shared" si="20"/>
        <v>Low</v>
      </c>
      <c r="FG18" s="2" t="str">
        <f t="shared" si="20"/>
        <v>Low</v>
      </c>
      <c r="FH18" s="2" t="str">
        <f t="shared" si="20"/>
        <v>Low</v>
      </c>
      <c r="FI18" s="2" t="str">
        <f t="shared" si="20"/>
        <v>Low</v>
      </c>
      <c r="FJ18" s="2" t="str">
        <f t="shared" si="20"/>
        <v>Low</v>
      </c>
      <c r="FK18" s="2" t="str">
        <f t="shared" si="20"/>
        <v>High</v>
      </c>
      <c r="FL18" s="2" t="str">
        <f t="shared" si="20"/>
        <v>Low</v>
      </c>
      <c r="FM18" s="2" t="str">
        <f t="shared" si="20"/>
        <v>Low</v>
      </c>
      <c r="FN18" s="2" t="str">
        <f t="shared" si="20"/>
        <v>Low</v>
      </c>
      <c r="FO18" s="2" t="str">
        <f t="shared" si="20"/>
        <v>Low</v>
      </c>
      <c r="FP18" s="2" t="str">
        <f t="shared" si="20"/>
        <v>Low</v>
      </c>
      <c r="FQ18" s="2" t="str">
        <f t="shared" si="20"/>
        <v>Low</v>
      </c>
      <c r="FR18" s="2" t="str">
        <f t="shared" si="20"/>
        <v>Low</v>
      </c>
      <c r="FS18" s="2" t="str">
        <f t="shared" si="20"/>
        <v>Low</v>
      </c>
      <c r="FT18" s="2" t="str">
        <f t="shared" si="20"/>
        <v>Low</v>
      </c>
      <c r="FU18" s="2" t="str">
        <f t="shared" si="20"/>
        <v>Low</v>
      </c>
      <c r="FV18" s="2" t="str">
        <f t="shared" si="20"/>
        <v>Low</v>
      </c>
      <c r="FW18" s="2" t="str">
        <f t="shared" si="20"/>
        <v>Low</v>
      </c>
      <c r="FX18" s="2" t="str">
        <f t="shared" si="20"/>
        <v>Low</v>
      </c>
      <c r="FY18" s="2" t="str">
        <f t="shared" si="20"/>
        <v>High</v>
      </c>
      <c r="FZ18" s="2" t="str">
        <f t="shared" si="20"/>
        <v>Low</v>
      </c>
      <c r="GA18" s="2" t="str">
        <f t="shared" si="20"/>
        <v>Low</v>
      </c>
      <c r="GB18" s="2" t="str">
        <f t="shared" si="20"/>
        <v>Low</v>
      </c>
      <c r="GC18" s="2" t="str">
        <f t="shared" si="20"/>
        <v>Low</v>
      </c>
      <c r="GD18" s="2" t="str">
        <f t="shared" si="20"/>
        <v>High</v>
      </c>
      <c r="GE18" s="2" t="str">
        <f t="shared" si="20"/>
        <v>High</v>
      </c>
      <c r="GF18" s="2" t="str">
        <f t="shared" si="20"/>
        <v>Low</v>
      </c>
      <c r="GG18" s="2" t="str">
        <f t="shared" si="20"/>
        <v>Low</v>
      </c>
      <c r="GH18" s="2" t="str">
        <f t="shared" si="20"/>
        <v>Low</v>
      </c>
      <c r="GI18" s="2" t="str">
        <f t="shared" si="20"/>
        <v>High</v>
      </c>
      <c r="GJ18" s="2" t="str">
        <f t="shared" si="20"/>
        <v>High</v>
      </c>
      <c r="GK18" s="2" t="str">
        <f t="shared" si="20"/>
        <v>Low</v>
      </c>
      <c r="GL18" s="2" t="str">
        <f t="shared" ref="GL18:IW18" si="21">IF(GL17&gt;=10000,"High","Low")</f>
        <v>Low</v>
      </c>
      <c r="GM18" s="2" t="str">
        <f t="shared" si="21"/>
        <v>Low</v>
      </c>
      <c r="GN18" s="2" t="str">
        <f t="shared" si="21"/>
        <v>Low</v>
      </c>
      <c r="GO18" s="2" t="str">
        <f t="shared" si="21"/>
        <v>High</v>
      </c>
      <c r="GP18" s="2" t="str">
        <f t="shared" si="21"/>
        <v>Low</v>
      </c>
      <c r="GQ18" s="2" t="str">
        <f t="shared" si="21"/>
        <v>High</v>
      </c>
      <c r="GR18" s="2" t="str">
        <f t="shared" si="21"/>
        <v>High</v>
      </c>
      <c r="GS18" s="2" t="str">
        <f t="shared" si="21"/>
        <v>Low</v>
      </c>
      <c r="GT18" s="2" t="str">
        <f t="shared" si="21"/>
        <v>Low</v>
      </c>
      <c r="GU18" s="2" t="str">
        <f t="shared" si="21"/>
        <v>High</v>
      </c>
      <c r="GV18" s="2" t="str">
        <f t="shared" si="21"/>
        <v>Low</v>
      </c>
      <c r="GW18" s="2" t="str">
        <f t="shared" si="21"/>
        <v>Low</v>
      </c>
      <c r="GX18" s="2" t="str">
        <f t="shared" si="21"/>
        <v>Low</v>
      </c>
      <c r="GY18" s="2" t="str">
        <f t="shared" si="21"/>
        <v>High</v>
      </c>
      <c r="GZ18" s="2" t="str">
        <f t="shared" si="21"/>
        <v>Low</v>
      </c>
      <c r="HA18" s="2" t="str">
        <f t="shared" si="21"/>
        <v>Low</v>
      </c>
      <c r="HB18" s="2" t="str">
        <f t="shared" si="21"/>
        <v>Low</v>
      </c>
      <c r="HC18" s="2" t="str">
        <f t="shared" si="21"/>
        <v>High</v>
      </c>
      <c r="HD18" s="2" t="str">
        <f t="shared" si="21"/>
        <v>Low</v>
      </c>
      <c r="HE18" s="2" t="str">
        <f t="shared" si="21"/>
        <v>Low</v>
      </c>
      <c r="HF18" s="2" t="str">
        <f t="shared" si="21"/>
        <v>Low</v>
      </c>
      <c r="HG18" s="2" t="str">
        <f t="shared" si="21"/>
        <v>Low</v>
      </c>
      <c r="HH18" s="2" t="str">
        <f t="shared" si="21"/>
        <v>High</v>
      </c>
      <c r="HI18" s="2" t="str">
        <f t="shared" si="21"/>
        <v>High</v>
      </c>
      <c r="HJ18" s="2" t="str">
        <f t="shared" si="21"/>
        <v>Low</v>
      </c>
      <c r="HK18" s="2" t="str">
        <f t="shared" si="21"/>
        <v>High</v>
      </c>
      <c r="HL18" s="2" t="str">
        <f t="shared" si="21"/>
        <v>Low</v>
      </c>
      <c r="HM18" s="2" t="str">
        <f t="shared" si="21"/>
        <v>High</v>
      </c>
      <c r="HN18" s="2" t="str">
        <f t="shared" si="21"/>
        <v>Low</v>
      </c>
      <c r="HO18" s="2" t="str">
        <f t="shared" si="21"/>
        <v>Low</v>
      </c>
      <c r="HP18" s="2" t="str">
        <f t="shared" si="21"/>
        <v>Low</v>
      </c>
      <c r="HQ18" s="2" t="str">
        <f t="shared" si="21"/>
        <v>Low</v>
      </c>
      <c r="HR18" s="2" t="str">
        <f t="shared" si="21"/>
        <v>High</v>
      </c>
      <c r="HS18" s="2" t="str">
        <f t="shared" si="21"/>
        <v>High</v>
      </c>
      <c r="HT18" s="2" t="str">
        <f t="shared" si="21"/>
        <v>Low</v>
      </c>
      <c r="HU18" s="2" t="str">
        <f t="shared" si="21"/>
        <v>High</v>
      </c>
      <c r="HV18" s="2" t="str">
        <f t="shared" si="21"/>
        <v>Low</v>
      </c>
      <c r="HW18" s="2" t="str">
        <f t="shared" si="21"/>
        <v>Low</v>
      </c>
      <c r="HX18" s="2" t="str">
        <f t="shared" si="21"/>
        <v>High</v>
      </c>
      <c r="HY18" s="2" t="str">
        <f t="shared" si="21"/>
        <v>High</v>
      </c>
      <c r="HZ18" s="2" t="str">
        <f t="shared" si="21"/>
        <v>Low</v>
      </c>
      <c r="IA18" s="2" t="str">
        <f t="shared" si="21"/>
        <v>Low</v>
      </c>
      <c r="IB18" s="2" t="str">
        <f t="shared" si="21"/>
        <v>Low</v>
      </c>
      <c r="IC18" s="2" t="str">
        <f t="shared" si="21"/>
        <v>Low</v>
      </c>
      <c r="ID18" s="2" t="str">
        <f t="shared" si="21"/>
        <v>Low</v>
      </c>
      <c r="IE18" s="2" t="str">
        <f t="shared" si="21"/>
        <v>High</v>
      </c>
      <c r="IF18" s="2" t="str">
        <f t="shared" si="21"/>
        <v>High</v>
      </c>
      <c r="IG18" s="2" t="str">
        <f t="shared" si="21"/>
        <v>Low</v>
      </c>
      <c r="IH18" s="2" t="str">
        <f t="shared" si="21"/>
        <v>High</v>
      </c>
      <c r="II18" s="2" t="str">
        <f t="shared" si="21"/>
        <v>Low</v>
      </c>
      <c r="IJ18" s="2" t="str">
        <f t="shared" si="21"/>
        <v>High</v>
      </c>
      <c r="IK18" s="2" t="str">
        <f t="shared" si="21"/>
        <v>High</v>
      </c>
      <c r="IL18" s="2" t="str">
        <f t="shared" si="21"/>
        <v>Low</v>
      </c>
      <c r="IM18" s="2" t="str">
        <f t="shared" si="21"/>
        <v>Low</v>
      </c>
      <c r="IN18" s="2" t="str">
        <f t="shared" si="21"/>
        <v>High</v>
      </c>
      <c r="IO18" s="2" t="str">
        <f t="shared" si="21"/>
        <v>Low</v>
      </c>
      <c r="IP18" s="2" t="str">
        <f t="shared" si="21"/>
        <v>Low</v>
      </c>
      <c r="IQ18" s="2" t="str">
        <f t="shared" si="21"/>
        <v>Low</v>
      </c>
      <c r="IR18" s="2" t="str">
        <f t="shared" si="21"/>
        <v>Low</v>
      </c>
      <c r="IS18" s="2" t="str">
        <f t="shared" si="21"/>
        <v>Low</v>
      </c>
      <c r="IT18" s="2" t="str">
        <f t="shared" si="21"/>
        <v>Low</v>
      </c>
      <c r="IU18" s="2" t="str">
        <f t="shared" si="21"/>
        <v>High</v>
      </c>
      <c r="IV18" s="2" t="str">
        <f t="shared" si="21"/>
        <v>Low</v>
      </c>
      <c r="IW18" s="2" t="str">
        <f t="shared" si="21"/>
        <v>Low</v>
      </c>
      <c r="IX18" s="2" t="str">
        <f t="shared" ref="IX18:LI18" si="22">IF(IX17&gt;=10000,"High","Low")</f>
        <v>Low</v>
      </c>
      <c r="IY18" s="2" t="str">
        <f t="shared" si="22"/>
        <v>Low</v>
      </c>
      <c r="IZ18" s="2" t="str">
        <f t="shared" si="22"/>
        <v>Low</v>
      </c>
      <c r="JA18" s="2" t="str">
        <f t="shared" si="22"/>
        <v>High</v>
      </c>
      <c r="JB18" s="2" t="str">
        <f t="shared" si="22"/>
        <v>High</v>
      </c>
      <c r="JC18" s="2" t="str">
        <f t="shared" si="22"/>
        <v>Low</v>
      </c>
      <c r="JD18" s="2" t="str">
        <f t="shared" si="22"/>
        <v>Low</v>
      </c>
      <c r="JE18" s="2" t="str">
        <f t="shared" si="22"/>
        <v>High</v>
      </c>
      <c r="JF18" s="2" t="str">
        <f t="shared" si="22"/>
        <v>High</v>
      </c>
      <c r="JG18" s="2" t="str">
        <f t="shared" si="22"/>
        <v>Low</v>
      </c>
      <c r="JH18" s="2" t="str">
        <f t="shared" si="22"/>
        <v>High</v>
      </c>
      <c r="JI18" s="2" t="str">
        <f t="shared" si="22"/>
        <v>Low</v>
      </c>
      <c r="JJ18" s="2" t="str">
        <f t="shared" si="22"/>
        <v>Low</v>
      </c>
      <c r="JK18" s="2" t="str">
        <f t="shared" si="22"/>
        <v>High</v>
      </c>
      <c r="JL18" s="2" t="str">
        <f t="shared" si="22"/>
        <v>Low</v>
      </c>
      <c r="JM18" s="2" t="str">
        <f t="shared" si="22"/>
        <v>Low</v>
      </c>
      <c r="JN18" s="2" t="str">
        <f t="shared" si="22"/>
        <v>High</v>
      </c>
      <c r="JO18" s="2" t="str">
        <f t="shared" si="22"/>
        <v>Low</v>
      </c>
      <c r="JP18" s="2" t="str">
        <f t="shared" si="22"/>
        <v>Low</v>
      </c>
      <c r="JQ18" s="2" t="str">
        <f t="shared" si="22"/>
        <v>Low</v>
      </c>
      <c r="JR18" s="2" t="str">
        <f t="shared" si="22"/>
        <v>High</v>
      </c>
      <c r="JS18" s="2" t="str">
        <f t="shared" si="22"/>
        <v>Low</v>
      </c>
      <c r="JT18" s="2" t="str">
        <f t="shared" si="22"/>
        <v>Low</v>
      </c>
      <c r="JU18" s="2" t="str">
        <f t="shared" si="22"/>
        <v>Low</v>
      </c>
      <c r="JV18" s="2" t="str">
        <f t="shared" si="22"/>
        <v>Low</v>
      </c>
      <c r="JW18" s="2" t="str">
        <f t="shared" si="22"/>
        <v>Low</v>
      </c>
      <c r="JX18" s="2" t="str">
        <f t="shared" si="22"/>
        <v>Low</v>
      </c>
      <c r="JY18" s="2" t="str">
        <f t="shared" si="22"/>
        <v>Low</v>
      </c>
      <c r="JZ18" s="2" t="str">
        <f t="shared" si="22"/>
        <v>Low</v>
      </c>
      <c r="KA18" s="2" t="str">
        <f t="shared" si="22"/>
        <v>Low</v>
      </c>
      <c r="KB18" s="2" t="str">
        <f t="shared" si="22"/>
        <v>High</v>
      </c>
      <c r="KC18" s="2" t="str">
        <f t="shared" si="22"/>
        <v>Low</v>
      </c>
      <c r="KD18" s="2" t="str">
        <f t="shared" si="22"/>
        <v>High</v>
      </c>
      <c r="KE18" s="2" t="str">
        <f t="shared" si="22"/>
        <v>High</v>
      </c>
      <c r="KF18" s="2" t="str">
        <f t="shared" si="22"/>
        <v>Low</v>
      </c>
      <c r="KG18" s="2" t="str">
        <f t="shared" si="22"/>
        <v>Low</v>
      </c>
      <c r="KH18" s="2" t="str">
        <f t="shared" si="22"/>
        <v>Low</v>
      </c>
      <c r="KI18" s="2" t="str">
        <f t="shared" si="22"/>
        <v>High</v>
      </c>
      <c r="KJ18" s="2" t="str">
        <f t="shared" si="22"/>
        <v>High</v>
      </c>
      <c r="KK18" s="2" t="str">
        <f t="shared" si="22"/>
        <v>High</v>
      </c>
      <c r="KL18" s="2" t="str">
        <f t="shared" si="22"/>
        <v>High</v>
      </c>
      <c r="KM18" s="2" t="str">
        <f t="shared" si="22"/>
        <v>Low</v>
      </c>
      <c r="KN18" s="2" t="str">
        <f t="shared" si="22"/>
        <v>High</v>
      </c>
      <c r="KO18" s="2" t="str">
        <f t="shared" si="22"/>
        <v>Low</v>
      </c>
      <c r="KP18" s="2" t="str">
        <f t="shared" si="22"/>
        <v>Low</v>
      </c>
      <c r="KQ18" s="2" t="str">
        <f t="shared" si="22"/>
        <v>Low</v>
      </c>
      <c r="KR18" s="2" t="str">
        <f t="shared" si="22"/>
        <v>Low</v>
      </c>
      <c r="KS18" s="2" t="str">
        <f t="shared" si="22"/>
        <v>Low</v>
      </c>
      <c r="KT18" s="2" t="str">
        <f t="shared" si="22"/>
        <v>Low</v>
      </c>
      <c r="KU18" s="2" t="str">
        <f t="shared" si="22"/>
        <v>Low</v>
      </c>
      <c r="KV18" s="2" t="str">
        <f t="shared" si="22"/>
        <v>Low</v>
      </c>
      <c r="KW18" s="2" t="str">
        <f t="shared" si="22"/>
        <v>Low</v>
      </c>
      <c r="KX18" s="2" t="str">
        <f t="shared" si="22"/>
        <v>Low</v>
      </c>
      <c r="KY18" s="2" t="str">
        <f t="shared" si="22"/>
        <v>Low</v>
      </c>
      <c r="KZ18" s="2" t="str">
        <f t="shared" si="22"/>
        <v>Low</v>
      </c>
      <c r="LA18" s="2" t="str">
        <f t="shared" si="22"/>
        <v>Low</v>
      </c>
      <c r="LB18" s="2" t="str">
        <f t="shared" si="22"/>
        <v>Low</v>
      </c>
      <c r="LC18" s="2" t="str">
        <f t="shared" si="22"/>
        <v>High</v>
      </c>
      <c r="LD18" s="2" t="str">
        <f t="shared" si="22"/>
        <v>High</v>
      </c>
      <c r="LE18" s="2" t="str">
        <f t="shared" si="22"/>
        <v>Low</v>
      </c>
      <c r="LF18" s="2" t="str">
        <f t="shared" si="22"/>
        <v>High</v>
      </c>
      <c r="LG18" s="2" t="str">
        <f t="shared" si="22"/>
        <v>High</v>
      </c>
      <c r="LH18" s="2" t="str">
        <f t="shared" si="22"/>
        <v>Low</v>
      </c>
      <c r="LI18" s="2" t="str">
        <f t="shared" si="22"/>
        <v>Low</v>
      </c>
      <c r="LJ18" s="2" t="str">
        <f t="shared" ref="LJ18:NI18" si="23">IF(LJ17&gt;=10000,"High","Low")</f>
        <v>Low</v>
      </c>
      <c r="LK18" s="2" t="str">
        <f t="shared" si="23"/>
        <v>Low</v>
      </c>
      <c r="LL18" s="2" t="str">
        <f t="shared" si="23"/>
        <v>High</v>
      </c>
      <c r="LM18" s="2" t="str">
        <f t="shared" si="23"/>
        <v>Low</v>
      </c>
      <c r="LN18" s="2" t="str">
        <f t="shared" si="23"/>
        <v>Low</v>
      </c>
      <c r="LO18" s="2" t="str">
        <f t="shared" si="23"/>
        <v>High</v>
      </c>
      <c r="LP18" s="2" t="str">
        <f t="shared" si="23"/>
        <v>Low</v>
      </c>
      <c r="LQ18" s="2" t="str">
        <f t="shared" si="23"/>
        <v>Low</v>
      </c>
      <c r="LR18" s="2" t="str">
        <f t="shared" si="23"/>
        <v>High</v>
      </c>
      <c r="LS18" s="2" t="str">
        <f t="shared" si="23"/>
        <v>Low</v>
      </c>
      <c r="LT18" s="2" t="str">
        <f t="shared" si="23"/>
        <v>High</v>
      </c>
      <c r="LU18" s="2" t="str">
        <f t="shared" si="23"/>
        <v>High</v>
      </c>
      <c r="LV18" s="2" t="str">
        <f t="shared" si="23"/>
        <v>High</v>
      </c>
      <c r="LW18" s="2" t="str">
        <f t="shared" si="23"/>
        <v>Low</v>
      </c>
      <c r="LX18" s="2" t="str">
        <f t="shared" si="23"/>
        <v>High</v>
      </c>
      <c r="LY18" s="2" t="str">
        <f t="shared" si="23"/>
        <v>Low</v>
      </c>
      <c r="LZ18" s="2" t="str">
        <f t="shared" si="23"/>
        <v>High</v>
      </c>
      <c r="MA18" s="2" t="str">
        <f t="shared" si="23"/>
        <v>Low</v>
      </c>
      <c r="MB18" s="2" t="str">
        <f t="shared" si="23"/>
        <v>Low</v>
      </c>
      <c r="MC18" s="2" t="str">
        <f t="shared" si="23"/>
        <v>Low</v>
      </c>
      <c r="MD18" s="2" t="str">
        <f t="shared" si="23"/>
        <v>High</v>
      </c>
      <c r="ME18" s="2" t="str">
        <f t="shared" si="23"/>
        <v>Low</v>
      </c>
      <c r="MF18" s="2" t="str">
        <f t="shared" si="23"/>
        <v>High</v>
      </c>
      <c r="MG18" s="2" t="str">
        <f t="shared" si="23"/>
        <v>High</v>
      </c>
      <c r="MH18" s="2" t="str">
        <f t="shared" si="23"/>
        <v>Low</v>
      </c>
      <c r="MI18" s="2" t="str">
        <f t="shared" si="23"/>
        <v>High</v>
      </c>
      <c r="MJ18" s="2" t="str">
        <f t="shared" si="23"/>
        <v>Low</v>
      </c>
      <c r="MK18" s="2" t="str">
        <f t="shared" si="23"/>
        <v>Low</v>
      </c>
      <c r="ML18" s="2" t="str">
        <f t="shared" si="23"/>
        <v>Low</v>
      </c>
      <c r="MM18" s="2" t="str">
        <f t="shared" si="23"/>
        <v>Low</v>
      </c>
      <c r="MN18" s="2" t="str">
        <f t="shared" si="23"/>
        <v>Low</v>
      </c>
      <c r="MO18" s="2" t="str">
        <f t="shared" si="23"/>
        <v>Low</v>
      </c>
      <c r="MP18" s="2" t="str">
        <f t="shared" si="23"/>
        <v>High</v>
      </c>
      <c r="MQ18" s="2" t="str">
        <f t="shared" si="23"/>
        <v>High</v>
      </c>
      <c r="MR18" s="2" t="str">
        <f t="shared" si="23"/>
        <v>Low</v>
      </c>
      <c r="MS18" s="2" t="str">
        <f t="shared" si="23"/>
        <v>High</v>
      </c>
      <c r="MT18" s="2" t="str">
        <f t="shared" si="23"/>
        <v>Low</v>
      </c>
      <c r="MU18" s="2" t="str">
        <f t="shared" si="23"/>
        <v>Low</v>
      </c>
      <c r="MV18" s="2" t="str">
        <f t="shared" si="23"/>
        <v>High</v>
      </c>
      <c r="MW18" s="2" t="str">
        <f t="shared" si="23"/>
        <v>Low</v>
      </c>
      <c r="MX18" s="2" t="str">
        <f t="shared" si="23"/>
        <v>Low</v>
      </c>
      <c r="MY18" s="2" t="str">
        <f t="shared" si="23"/>
        <v>Low</v>
      </c>
      <c r="MZ18" s="2" t="str">
        <f t="shared" si="23"/>
        <v>High</v>
      </c>
      <c r="NA18" s="2" t="str">
        <f t="shared" si="23"/>
        <v>High</v>
      </c>
      <c r="NB18" s="2" t="str">
        <f t="shared" si="23"/>
        <v>Low</v>
      </c>
      <c r="NC18" s="2" t="str">
        <f t="shared" si="23"/>
        <v>Low</v>
      </c>
      <c r="ND18" s="2" t="str">
        <f t="shared" si="23"/>
        <v>Low</v>
      </c>
      <c r="NE18" s="2" t="str">
        <f t="shared" si="23"/>
        <v>Low</v>
      </c>
      <c r="NF18" s="2" t="str">
        <f t="shared" si="23"/>
        <v>Low</v>
      </c>
      <c r="NG18" s="2" t="str">
        <f t="shared" si="23"/>
        <v>Low</v>
      </c>
      <c r="NH18" s="2" t="str">
        <f t="shared" si="23"/>
        <v>High</v>
      </c>
      <c r="NI18" s="2" t="str">
        <f t="shared" si="23"/>
        <v>Low</v>
      </c>
    </row>
    <row r="19" spans="1:373" x14ac:dyDescent="0.3">
      <c r="A19" s="4" t="s">
        <v>17</v>
      </c>
      <c r="B19" s="2" t="str" cm="1">
        <f t="array" ref="B19">_xlfn.IFS(B12&gt;=8,"High",B12&gt;=5,"Medium",B12&lt;5,"Low")</f>
        <v>Medium</v>
      </c>
      <c r="C19" s="2" t="str" cm="1">
        <f t="array" ref="C19">_xlfn.IFS(C12&gt;=8,"High",C12&gt;=5,"Medium",C12&lt;5,"Low")</f>
        <v>High</v>
      </c>
      <c r="D19" s="2" t="str" cm="1">
        <f t="array" ref="D19">_xlfn.IFS(D12&gt;=8,"High",D12&gt;=5,"Medium",D12&lt;5,"Low")</f>
        <v>Medium</v>
      </c>
      <c r="E19" s="2" t="str" cm="1">
        <f t="array" ref="E19">_xlfn.IFS(E12&gt;=8,"High",E12&gt;=5,"Medium",E12&lt;5,"Low")</f>
        <v>Low</v>
      </c>
      <c r="F19" s="2" t="str" cm="1">
        <f t="array" ref="F19">_xlfn.IFS(F12&gt;=8,"High",F12&gt;=5,"Medium",F12&lt;5,"Low")</f>
        <v>Medium</v>
      </c>
      <c r="G19" s="2" t="str" cm="1">
        <f t="array" ref="G19">_xlfn.IFS(G12&gt;=8,"High",G12&gt;=5,"Medium",G12&lt;5,"Low")</f>
        <v>Low</v>
      </c>
      <c r="H19" s="2" t="str" cm="1">
        <f t="array" ref="H19">_xlfn.IFS(H12&gt;=8,"High",H12&gt;=5,"Medium",H12&lt;5,"Low")</f>
        <v>Medium</v>
      </c>
      <c r="I19" s="2" t="str" cm="1">
        <f t="array" ref="I19">_xlfn.IFS(I12&gt;=8,"High",I12&gt;=5,"Medium",I12&lt;5,"Low")</f>
        <v>Low</v>
      </c>
      <c r="J19" s="2" t="str" cm="1">
        <f t="array" ref="J19">_xlfn.IFS(J12&gt;=8,"High",J12&gt;=5,"Medium",J12&lt;5,"Low")</f>
        <v>Medium</v>
      </c>
      <c r="K19" s="2" t="str" cm="1">
        <f t="array" ref="K19">_xlfn.IFS(K12&gt;=8,"High",K12&gt;=5,"Medium",K12&lt;5,"Low")</f>
        <v>Medium</v>
      </c>
      <c r="L19" s="2" t="str" cm="1">
        <f t="array" ref="L19">_xlfn.IFS(L12&gt;=8,"High",L12&gt;=5,"Medium",L12&lt;5,"Low")</f>
        <v>Medium</v>
      </c>
      <c r="M19" s="2" t="str" cm="1">
        <f t="array" ref="M19">_xlfn.IFS(M12&gt;=8,"High",M12&gt;=5,"Medium",M12&lt;5,"Low")</f>
        <v>Medium</v>
      </c>
      <c r="N19" s="2" t="str" cm="1">
        <f t="array" ref="N19">_xlfn.IFS(N12&gt;=8,"High",N12&gt;=5,"Medium",N12&lt;5,"Low")</f>
        <v>High</v>
      </c>
      <c r="O19" s="2" t="str" cm="1">
        <f t="array" ref="O19">_xlfn.IFS(O12&gt;=8,"High",O12&gt;=5,"Medium",O12&lt;5,"Low")</f>
        <v>High</v>
      </c>
      <c r="P19" s="2" t="str" cm="1">
        <f t="array" ref="P19">_xlfn.IFS(P12&gt;=8,"High",P12&gt;=5,"Medium",P12&lt;5,"Low")</f>
        <v>High</v>
      </c>
      <c r="Q19" s="2" t="str" cm="1">
        <f t="array" ref="Q19">_xlfn.IFS(Q12&gt;=8,"High",Q12&gt;=5,"Medium",Q12&lt;5,"Low")</f>
        <v>High</v>
      </c>
      <c r="R19" s="2" t="str" cm="1">
        <f t="array" ref="R19">_xlfn.IFS(R12&gt;=8,"High",R12&gt;=5,"Medium",R12&lt;5,"Low")</f>
        <v>Low</v>
      </c>
      <c r="S19" s="2" t="str" cm="1">
        <f t="array" ref="S19">_xlfn.IFS(S12&gt;=8,"High",S12&gt;=5,"Medium",S12&lt;5,"Low")</f>
        <v>Low</v>
      </c>
      <c r="T19" s="2" t="str" cm="1">
        <f t="array" ref="T19">_xlfn.IFS(T12&gt;=8,"High",T12&gt;=5,"Medium",T12&lt;5,"Low")</f>
        <v>Low</v>
      </c>
      <c r="U19" s="2" t="str" cm="1">
        <f t="array" ref="U19">_xlfn.IFS(U12&gt;=8,"High",U12&gt;=5,"Medium",U12&lt;5,"Low")</f>
        <v>Low</v>
      </c>
      <c r="V19" s="2" t="str" cm="1">
        <f t="array" ref="V19">_xlfn.IFS(V12&gt;=8,"High",V12&gt;=5,"Medium",V12&lt;5,"Low")</f>
        <v>Low</v>
      </c>
      <c r="W19" s="2" t="str" cm="1">
        <f t="array" ref="W19">_xlfn.IFS(W12&gt;=8,"High",W12&gt;=5,"Medium",W12&lt;5,"Low")</f>
        <v>Medium</v>
      </c>
      <c r="X19" s="2" t="str" cm="1">
        <f t="array" ref="X19">_xlfn.IFS(X12&gt;=8,"High",X12&gt;=5,"Medium",X12&lt;5,"Low")</f>
        <v>Low</v>
      </c>
      <c r="Y19" s="2" t="str" cm="1">
        <f t="array" ref="Y19">_xlfn.IFS(Y12&gt;=8,"High",Y12&gt;=5,"Medium",Y12&lt;5,"Low")</f>
        <v>Low</v>
      </c>
      <c r="Z19" s="2" t="str" cm="1">
        <f t="array" ref="Z19">_xlfn.IFS(Z12&gt;=8,"High",Z12&gt;=5,"Medium",Z12&lt;5,"Low")</f>
        <v>Medium</v>
      </c>
      <c r="AA19" s="2" t="str" cm="1">
        <f t="array" ref="AA19">_xlfn.IFS(AA12&gt;=8,"High",AA12&gt;=5,"Medium",AA12&lt;5,"Low")</f>
        <v>High</v>
      </c>
      <c r="AB19" s="2" t="str" cm="1">
        <f t="array" ref="AB19">_xlfn.IFS(AB12&gt;=8,"High",AB12&gt;=5,"Medium",AB12&lt;5,"Low")</f>
        <v>Low</v>
      </c>
      <c r="AC19" s="2" t="str" cm="1">
        <f t="array" ref="AC19">_xlfn.IFS(AC12&gt;=8,"High",AC12&gt;=5,"Medium",AC12&lt;5,"Low")</f>
        <v>Medium</v>
      </c>
      <c r="AD19" s="2" t="str" cm="1">
        <f t="array" ref="AD19">_xlfn.IFS(AD12&gt;=8,"High",AD12&gt;=5,"Medium",AD12&lt;5,"Low")</f>
        <v>Low</v>
      </c>
      <c r="AE19" s="2" t="str" cm="1">
        <f t="array" ref="AE19">_xlfn.IFS(AE12&gt;=8,"High",AE12&gt;=5,"Medium",AE12&lt;5,"Low")</f>
        <v>Low</v>
      </c>
      <c r="AF19" s="2" t="str" cm="1">
        <f t="array" ref="AF19">_xlfn.IFS(AF12&gt;=8,"High",AF12&gt;=5,"Medium",AF12&lt;5,"Low")</f>
        <v>Medium</v>
      </c>
      <c r="AG19" s="2" t="str" cm="1">
        <f t="array" ref="AG19">_xlfn.IFS(AG12&gt;=8,"High",AG12&gt;=5,"Medium",AG12&lt;5,"Low")</f>
        <v>Low</v>
      </c>
      <c r="AH19" s="2" t="str" cm="1">
        <f t="array" ref="AH19">_xlfn.IFS(AH12&gt;=8,"High",AH12&gt;=5,"Medium",AH12&lt;5,"Low")</f>
        <v>Medium</v>
      </c>
      <c r="AI19" s="2" t="str" cm="1">
        <f t="array" ref="AI19">_xlfn.IFS(AI12&gt;=8,"High",AI12&gt;=5,"Medium",AI12&lt;5,"Low")</f>
        <v>Medium</v>
      </c>
      <c r="AJ19" s="2" t="str" cm="1">
        <f t="array" ref="AJ19">_xlfn.IFS(AJ12&gt;=8,"High",AJ12&gt;=5,"Medium",AJ12&lt;5,"Low")</f>
        <v>Medium</v>
      </c>
      <c r="AK19" s="2" t="str" cm="1">
        <f t="array" ref="AK19">_xlfn.IFS(AK12&gt;=8,"High",AK12&gt;=5,"Medium",AK12&lt;5,"Low")</f>
        <v>Medium</v>
      </c>
      <c r="AL19" s="2" t="str" cm="1">
        <f t="array" ref="AL19">_xlfn.IFS(AL12&gt;=8,"High",AL12&gt;=5,"Medium",AL12&lt;5,"Low")</f>
        <v>Low</v>
      </c>
      <c r="AM19" s="2" t="str" cm="1">
        <f t="array" ref="AM19">_xlfn.IFS(AM12&gt;=8,"High",AM12&gt;=5,"Medium",AM12&lt;5,"Low")</f>
        <v>Medium</v>
      </c>
      <c r="AN19" s="2" t="str" cm="1">
        <f t="array" ref="AN19">_xlfn.IFS(AN12&gt;=8,"High",AN12&gt;=5,"Medium",AN12&lt;5,"Low")</f>
        <v>Medium</v>
      </c>
      <c r="AO19" s="2" t="str" cm="1">
        <f t="array" ref="AO19">_xlfn.IFS(AO12&gt;=8,"High",AO12&gt;=5,"Medium",AO12&lt;5,"Low")</f>
        <v>Medium</v>
      </c>
      <c r="AP19" s="2" t="str" cm="1">
        <f t="array" ref="AP19">_xlfn.IFS(AP12&gt;=8,"High",AP12&gt;=5,"Medium",AP12&lt;5,"Low")</f>
        <v>High</v>
      </c>
      <c r="AQ19" s="2" t="str" cm="1">
        <f t="array" ref="AQ19">_xlfn.IFS(AQ12&gt;=8,"High",AQ12&gt;=5,"Medium",AQ12&lt;5,"Low")</f>
        <v>Low</v>
      </c>
      <c r="AR19" s="2" t="str" cm="1">
        <f t="array" ref="AR19">_xlfn.IFS(AR12&gt;=8,"High",AR12&gt;=5,"Medium",AR12&lt;5,"Low")</f>
        <v>Medium</v>
      </c>
      <c r="AS19" s="2" t="str" cm="1">
        <f t="array" ref="AS19">_xlfn.IFS(AS12&gt;=8,"High",AS12&gt;=5,"Medium",AS12&lt;5,"Low")</f>
        <v>Low</v>
      </c>
      <c r="AT19" s="2" t="str" cm="1">
        <f t="array" ref="AT19">_xlfn.IFS(AT12&gt;=8,"High",AT12&gt;=5,"Medium",AT12&lt;5,"Low")</f>
        <v>Low</v>
      </c>
      <c r="AU19" s="2" t="str" cm="1">
        <f t="array" ref="AU19">_xlfn.IFS(AU12&gt;=8,"High",AU12&gt;=5,"Medium",AU12&lt;5,"Low")</f>
        <v>High</v>
      </c>
      <c r="AV19" s="2" t="str" cm="1">
        <f t="array" ref="AV19">_xlfn.IFS(AV12&gt;=8,"High",AV12&gt;=5,"Medium",AV12&lt;5,"Low")</f>
        <v>Low</v>
      </c>
      <c r="AW19" s="2" t="str" cm="1">
        <f t="array" ref="AW19">_xlfn.IFS(AW12&gt;=8,"High",AW12&gt;=5,"Medium",AW12&lt;5,"Low")</f>
        <v>Medium</v>
      </c>
      <c r="AX19" s="2" t="str" cm="1">
        <f t="array" ref="AX19">_xlfn.IFS(AX12&gt;=8,"High",AX12&gt;=5,"Medium",AX12&lt;5,"Low")</f>
        <v>Medium</v>
      </c>
      <c r="AY19" s="2" t="str" cm="1">
        <f t="array" ref="AY19">_xlfn.IFS(AY12&gt;=8,"High",AY12&gt;=5,"Medium",AY12&lt;5,"Low")</f>
        <v>Medium</v>
      </c>
      <c r="AZ19" s="2" t="str" cm="1">
        <f t="array" ref="AZ19">_xlfn.IFS(AZ12&gt;=8,"High",AZ12&gt;=5,"Medium",AZ12&lt;5,"Low")</f>
        <v>Low</v>
      </c>
      <c r="BA19" s="2" t="str" cm="1">
        <f t="array" ref="BA19">_xlfn.IFS(BA12&gt;=8,"High",BA12&gt;=5,"Medium",BA12&lt;5,"Low")</f>
        <v>Medium</v>
      </c>
      <c r="BB19" s="2" t="str" cm="1">
        <f t="array" ref="BB19">_xlfn.IFS(BB12&gt;=8,"High",BB12&gt;=5,"Medium",BB12&lt;5,"Low")</f>
        <v>High</v>
      </c>
      <c r="BC19" s="2" t="str" cm="1">
        <f t="array" ref="BC19">_xlfn.IFS(BC12&gt;=8,"High",BC12&gt;=5,"Medium",BC12&lt;5,"Low")</f>
        <v>Low</v>
      </c>
      <c r="BD19" s="2" t="str" cm="1">
        <f t="array" ref="BD19">_xlfn.IFS(BD12&gt;=8,"High",BD12&gt;=5,"Medium",BD12&lt;5,"Low")</f>
        <v>Medium</v>
      </c>
      <c r="BE19" s="2" t="str" cm="1">
        <f t="array" ref="BE19">_xlfn.IFS(BE12&gt;=8,"High",BE12&gt;=5,"Medium",BE12&lt;5,"Low")</f>
        <v>High</v>
      </c>
      <c r="BF19" s="2" t="str" cm="1">
        <f t="array" ref="BF19">_xlfn.IFS(BF12&gt;=8,"High",BF12&gt;=5,"Medium",BF12&lt;5,"Low")</f>
        <v>High</v>
      </c>
      <c r="BG19" s="2" t="str" cm="1">
        <f t="array" ref="BG19">_xlfn.IFS(BG12&gt;=8,"High",BG12&gt;=5,"Medium",BG12&lt;5,"Low")</f>
        <v>High</v>
      </c>
      <c r="BH19" s="2" t="str" cm="1">
        <f t="array" ref="BH19">_xlfn.IFS(BH12&gt;=8,"High",BH12&gt;=5,"Medium",BH12&lt;5,"Low")</f>
        <v>Medium</v>
      </c>
      <c r="BI19" s="2" t="str" cm="1">
        <f t="array" ref="BI19">_xlfn.IFS(BI12&gt;=8,"High",BI12&gt;=5,"Medium",BI12&lt;5,"Low")</f>
        <v>Medium</v>
      </c>
      <c r="BJ19" s="2" t="str" cm="1">
        <f t="array" ref="BJ19">_xlfn.IFS(BJ12&gt;=8,"High",BJ12&gt;=5,"Medium",BJ12&lt;5,"Low")</f>
        <v>Low</v>
      </c>
      <c r="BK19" s="2" t="str" cm="1">
        <f t="array" ref="BK19">_xlfn.IFS(BK12&gt;=8,"High",BK12&gt;=5,"Medium",BK12&lt;5,"Low")</f>
        <v>Low</v>
      </c>
      <c r="BL19" s="2" t="str" cm="1">
        <f t="array" ref="BL19">_xlfn.IFS(BL12&gt;=8,"High",BL12&gt;=5,"Medium",BL12&lt;5,"Low")</f>
        <v>High</v>
      </c>
      <c r="BM19" s="2" t="str" cm="1">
        <f t="array" ref="BM19">_xlfn.IFS(BM12&gt;=8,"High",BM12&gt;=5,"Medium",BM12&lt;5,"Low")</f>
        <v>Low</v>
      </c>
      <c r="BN19" s="2" t="str" cm="1">
        <f t="array" ref="BN19">_xlfn.IFS(BN12&gt;=8,"High",BN12&gt;=5,"Medium",BN12&lt;5,"Low")</f>
        <v>Medium</v>
      </c>
      <c r="BO19" s="2" t="str" cm="1">
        <f t="array" ref="BO19">_xlfn.IFS(BO12&gt;=8,"High",BO12&gt;=5,"Medium",BO12&lt;5,"Low")</f>
        <v>Medium</v>
      </c>
      <c r="BP19" s="2" t="str" cm="1">
        <f t="array" ref="BP19">_xlfn.IFS(BP12&gt;=8,"High",BP12&gt;=5,"Medium",BP12&lt;5,"Low")</f>
        <v>Low</v>
      </c>
      <c r="BQ19" s="2" t="str" cm="1">
        <f t="array" ref="BQ19">_xlfn.IFS(BQ12&gt;=8,"High",BQ12&gt;=5,"Medium",BQ12&lt;5,"Low")</f>
        <v>Low</v>
      </c>
      <c r="BR19" s="2" t="str" cm="1">
        <f t="array" ref="BR19">_xlfn.IFS(BR12&gt;=8,"High",BR12&gt;=5,"Medium",BR12&lt;5,"Low")</f>
        <v>Low</v>
      </c>
      <c r="BS19" s="2" t="str" cm="1">
        <f t="array" ref="BS19">_xlfn.IFS(BS12&gt;=8,"High",BS12&gt;=5,"Medium",BS12&lt;5,"Low")</f>
        <v>Low</v>
      </c>
      <c r="BT19" s="2" t="str" cm="1">
        <f t="array" ref="BT19">_xlfn.IFS(BT12&gt;=8,"High",BT12&gt;=5,"Medium",BT12&lt;5,"Low")</f>
        <v>Low</v>
      </c>
      <c r="BU19" s="2" t="str" cm="1">
        <f t="array" ref="BU19">_xlfn.IFS(BU12&gt;=8,"High",BU12&gt;=5,"Medium",BU12&lt;5,"Low")</f>
        <v>Low</v>
      </c>
      <c r="BV19" s="2" t="str" cm="1">
        <f t="array" ref="BV19">_xlfn.IFS(BV12&gt;=8,"High",BV12&gt;=5,"Medium",BV12&lt;5,"Low")</f>
        <v>Medium</v>
      </c>
      <c r="BW19" s="2" t="str" cm="1">
        <f t="array" ref="BW19">_xlfn.IFS(BW12&gt;=8,"High",BW12&gt;=5,"Medium",BW12&lt;5,"Low")</f>
        <v>Low</v>
      </c>
      <c r="BX19" s="2" t="str" cm="1">
        <f t="array" ref="BX19">_xlfn.IFS(BX12&gt;=8,"High",BX12&gt;=5,"Medium",BX12&lt;5,"Low")</f>
        <v>Medium</v>
      </c>
      <c r="BY19" s="2" t="str" cm="1">
        <f t="array" ref="BY19">_xlfn.IFS(BY12&gt;=8,"High",BY12&gt;=5,"Medium",BY12&lt;5,"Low")</f>
        <v>Low</v>
      </c>
      <c r="BZ19" s="2" t="str" cm="1">
        <f t="array" ref="BZ19">_xlfn.IFS(BZ12&gt;=8,"High",BZ12&gt;=5,"Medium",BZ12&lt;5,"Low")</f>
        <v>Medium</v>
      </c>
      <c r="CA19" s="2" t="str" cm="1">
        <f t="array" ref="CA19">_xlfn.IFS(CA12&gt;=8,"High",CA12&gt;=5,"Medium",CA12&lt;5,"Low")</f>
        <v>Medium</v>
      </c>
      <c r="CB19" s="2" t="str" cm="1">
        <f t="array" ref="CB19">_xlfn.IFS(CB12&gt;=8,"High",CB12&gt;=5,"Medium",CB12&lt;5,"Low")</f>
        <v>High</v>
      </c>
      <c r="CC19" s="2" t="str" cm="1">
        <f t="array" ref="CC19">_xlfn.IFS(CC12&gt;=8,"High",CC12&gt;=5,"Medium",CC12&lt;5,"Low")</f>
        <v>Low</v>
      </c>
      <c r="CD19" s="2" t="str" cm="1">
        <f t="array" ref="CD19">_xlfn.IFS(CD12&gt;=8,"High",CD12&gt;=5,"Medium",CD12&lt;5,"Low")</f>
        <v>Low</v>
      </c>
      <c r="CE19" s="2" t="str" cm="1">
        <f t="array" ref="CE19">_xlfn.IFS(CE12&gt;=8,"High",CE12&gt;=5,"Medium",CE12&lt;5,"Low")</f>
        <v>Low</v>
      </c>
      <c r="CF19" s="2" t="str" cm="1">
        <f t="array" ref="CF19">_xlfn.IFS(CF12&gt;=8,"High",CF12&gt;=5,"Medium",CF12&lt;5,"Low")</f>
        <v>Medium</v>
      </c>
      <c r="CG19" s="2" t="str" cm="1">
        <f t="array" ref="CG19">_xlfn.IFS(CG12&gt;=8,"High",CG12&gt;=5,"Medium",CG12&lt;5,"Low")</f>
        <v>Low</v>
      </c>
      <c r="CH19" s="2" t="str" cm="1">
        <f t="array" ref="CH19">_xlfn.IFS(CH12&gt;=8,"High",CH12&gt;=5,"Medium",CH12&lt;5,"Low")</f>
        <v>Medium</v>
      </c>
      <c r="CI19" s="2" t="str" cm="1">
        <f t="array" ref="CI19">_xlfn.IFS(CI12&gt;=8,"High",CI12&gt;=5,"Medium",CI12&lt;5,"Low")</f>
        <v>Low</v>
      </c>
      <c r="CJ19" s="2" t="str" cm="1">
        <f t="array" ref="CJ19">_xlfn.IFS(CJ12&gt;=8,"High",CJ12&gt;=5,"Medium",CJ12&lt;5,"Low")</f>
        <v>High</v>
      </c>
      <c r="CK19" s="2" t="str" cm="1">
        <f t="array" ref="CK19">_xlfn.IFS(CK12&gt;=8,"High",CK12&gt;=5,"Medium",CK12&lt;5,"Low")</f>
        <v>Low</v>
      </c>
      <c r="CL19" s="2" t="str" cm="1">
        <f t="array" ref="CL19">_xlfn.IFS(CL12&gt;=8,"High",CL12&gt;=5,"Medium",CL12&lt;5,"Low")</f>
        <v>Low</v>
      </c>
      <c r="CM19" s="2" t="str" cm="1">
        <f t="array" ref="CM19">_xlfn.IFS(CM12&gt;=8,"High",CM12&gt;=5,"Medium",CM12&lt;5,"Low")</f>
        <v>Low</v>
      </c>
      <c r="CN19" s="2" t="str" cm="1">
        <f t="array" ref="CN19">_xlfn.IFS(CN12&gt;=8,"High",CN12&gt;=5,"Medium",CN12&lt;5,"Low")</f>
        <v>High</v>
      </c>
      <c r="CO19" s="2" t="str" cm="1">
        <f t="array" ref="CO19">_xlfn.IFS(CO12&gt;=8,"High",CO12&gt;=5,"Medium",CO12&lt;5,"Low")</f>
        <v>Low</v>
      </c>
      <c r="CP19" s="2" t="str" cm="1">
        <f t="array" ref="CP19">_xlfn.IFS(CP12&gt;=8,"High",CP12&gt;=5,"Medium",CP12&lt;5,"Low")</f>
        <v>Low</v>
      </c>
      <c r="CQ19" s="2" t="str" cm="1">
        <f t="array" ref="CQ19">_xlfn.IFS(CQ12&gt;=8,"High",CQ12&gt;=5,"Medium",CQ12&lt;5,"Low")</f>
        <v>Medium</v>
      </c>
      <c r="CR19" s="2" t="str" cm="1">
        <f t="array" ref="CR19">_xlfn.IFS(CR12&gt;=8,"High",CR12&gt;=5,"Medium",CR12&lt;5,"Low")</f>
        <v>High</v>
      </c>
      <c r="CS19" s="2" t="str" cm="1">
        <f t="array" ref="CS19">_xlfn.IFS(CS12&gt;=8,"High",CS12&gt;=5,"Medium",CS12&lt;5,"Low")</f>
        <v>Low</v>
      </c>
      <c r="CT19" s="2" t="str" cm="1">
        <f t="array" ref="CT19">_xlfn.IFS(CT12&gt;=8,"High",CT12&gt;=5,"Medium",CT12&lt;5,"Low")</f>
        <v>Medium</v>
      </c>
      <c r="CU19" s="2" t="str" cm="1">
        <f t="array" ref="CU19">_xlfn.IFS(CU12&gt;=8,"High",CU12&gt;=5,"Medium",CU12&lt;5,"Low")</f>
        <v>Medium</v>
      </c>
      <c r="CV19" s="2" t="str" cm="1">
        <f t="array" ref="CV19">_xlfn.IFS(CV12&gt;=8,"High",CV12&gt;=5,"Medium",CV12&lt;5,"Low")</f>
        <v>Low</v>
      </c>
      <c r="CW19" s="2" t="str" cm="1">
        <f t="array" ref="CW19">_xlfn.IFS(CW12&gt;=8,"High",CW12&gt;=5,"Medium",CW12&lt;5,"Low")</f>
        <v>Medium</v>
      </c>
      <c r="CX19" s="2" t="str" cm="1">
        <f t="array" ref="CX19">_xlfn.IFS(CX12&gt;=8,"High",CX12&gt;=5,"Medium",CX12&lt;5,"Low")</f>
        <v>Low</v>
      </c>
      <c r="CY19" s="2" t="str" cm="1">
        <f t="array" ref="CY19">_xlfn.IFS(CY12&gt;=8,"High",CY12&gt;=5,"Medium",CY12&lt;5,"Low")</f>
        <v>Medium</v>
      </c>
      <c r="CZ19" s="2" t="str" cm="1">
        <f t="array" ref="CZ19">_xlfn.IFS(CZ12&gt;=8,"High",CZ12&gt;=5,"Medium",CZ12&lt;5,"Low")</f>
        <v>Low</v>
      </c>
      <c r="DA19" s="2" t="str" cm="1">
        <f t="array" ref="DA19">_xlfn.IFS(DA12&gt;=8,"High",DA12&gt;=5,"Medium",DA12&lt;5,"Low")</f>
        <v>Low</v>
      </c>
      <c r="DB19" s="2" t="str" cm="1">
        <f t="array" ref="DB19">_xlfn.IFS(DB12&gt;=8,"High",DB12&gt;=5,"Medium",DB12&lt;5,"Low")</f>
        <v>Medium</v>
      </c>
      <c r="DC19" s="2" t="str" cm="1">
        <f t="array" ref="DC19">_xlfn.IFS(DC12&gt;=8,"High",DC12&gt;=5,"Medium",DC12&lt;5,"Low")</f>
        <v>High</v>
      </c>
      <c r="DD19" s="2" t="str" cm="1">
        <f t="array" ref="DD19">_xlfn.IFS(DD12&gt;=8,"High",DD12&gt;=5,"Medium",DD12&lt;5,"Low")</f>
        <v>Low</v>
      </c>
      <c r="DE19" s="2" t="str" cm="1">
        <f t="array" ref="DE19">_xlfn.IFS(DE12&gt;=8,"High",DE12&gt;=5,"Medium",DE12&lt;5,"Low")</f>
        <v>Medium</v>
      </c>
      <c r="DF19" s="2" t="str" cm="1">
        <f t="array" ref="DF19">_xlfn.IFS(DF12&gt;=8,"High",DF12&gt;=5,"Medium",DF12&lt;5,"Low")</f>
        <v>Medium</v>
      </c>
      <c r="DG19" s="2" t="str" cm="1">
        <f t="array" ref="DG19">_xlfn.IFS(DG12&gt;=8,"High",DG12&gt;=5,"Medium",DG12&lt;5,"Low")</f>
        <v>Low</v>
      </c>
      <c r="DH19" s="2" t="str" cm="1">
        <f t="array" ref="DH19">_xlfn.IFS(DH12&gt;=8,"High",DH12&gt;=5,"Medium",DH12&lt;5,"Low")</f>
        <v>High</v>
      </c>
      <c r="DI19" s="2" t="str" cm="1">
        <f t="array" ref="DI19">_xlfn.IFS(DI12&gt;=8,"High",DI12&gt;=5,"Medium",DI12&lt;5,"Low")</f>
        <v>Medium</v>
      </c>
      <c r="DJ19" s="2" t="str" cm="1">
        <f t="array" ref="DJ19">_xlfn.IFS(DJ12&gt;=8,"High",DJ12&gt;=5,"Medium",DJ12&lt;5,"Low")</f>
        <v>Medium</v>
      </c>
      <c r="DK19" s="2" t="str" cm="1">
        <f t="array" ref="DK19">_xlfn.IFS(DK12&gt;=8,"High",DK12&gt;=5,"Medium",DK12&lt;5,"Low")</f>
        <v>Medium</v>
      </c>
      <c r="DL19" s="2" t="str" cm="1">
        <f t="array" ref="DL19">_xlfn.IFS(DL12&gt;=8,"High",DL12&gt;=5,"Medium",DL12&lt;5,"Low")</f>
        <v>Medium</v>
      </c>
      <c r="DM19" s="2" t="str" cm="1">
        <f t="array" ref="DM19">_xlfn.IFS(DM12&gt;=8,"High",DM12&gt;=5,"Medium",DM12&lt;5,"Low")</f>
        <v>High</v>
      </c>
      <c r="DN19" s="2" t="str" cm="1">
        <f t="array" ref="DN19">_xlfn.IFS(DN12&gt;=8,"High",DN12&gt;=5,"Medium",DN12&lt;5,"Low")</f>
        <v>High</v>
      </c>
      <c r="DO19" s="2" t="str" cm="1">
        <f t="array" ref="DO19">_xlfn.IFS(DO12&gt;=8,"High",DO12&gt;=5,"Medium",DO12&lt;5,"Low")</f>
        <v>High</v>
      </c>
      <c r="DP19" s="2" t="str" cm="1">
        <f t="array" ref="DP19">_xlfn.IFS(DP12&gt;=8,"High",DP12&gt;=5,"Medium",DP12&lt;5,"Low")</f>
        <v>Medium</v>
      </c>
      <c r="DQ19" s="2" t="str" cm="1">
        <f t="array" ref="DQ19">_xlfn.IFS(DQ12&gt;=8,"High",DQ12&gt;=5,"Medium",DQ12&lt;5,"Low")</f>
        <v>Medium</v>
      </c>
      <c r="DR19" s="2" t="str" cm="1">
        <f t="array" ref="DR19">_xlfn.IFS(DR12&gt;=8,"High",DR12&gt;=5,"Medium",DR12&lt;5,"Low")</f>
        <v>Low</v>
      </c>
      <c r="DS19" s="2" t="str" cm="1">
        <f t="array" ref="DS19">_xlfn.IFS(DS12&gt;=8,"High",DS12&gt;=5,"Medium",DS12&lt;5,"Low")</f>
        <v>Low</v>
      </c>
      <c r="DT19" s="2" t="str" cm="1">
        <f t="array" ref="DT19">_xlfn.IFS(DT12&gt;=8,"High",DT12&gt;=5,"Medium",DT12&lt;5,"Low")</f>
        <v>Medium</v>
      </c>
      <c r="DU19" s="2" t="str" cm="1">
        <f t="array" ref="DU19">_xlfn.IFS(DU12&gt;=8,"High",DU12&gt;=5,"Medium",DU12&lt;5,"Low")</f>
        <v>Low</v>
      </c>
      <c r="DV19" s="2" t="str" cm="1">
        <f t="array" ref="DV19">_xlfn.IFS(DV12&gt;=8,"High",DV12&gt;=5,"Medium",DV12&lt;5,"Low")</f>
        <v>Low</v>
      </c>
      <c r="DW19" s="2" t="str" cm="1">
        <f t="array" ref="DW19">_xlfn.IFS(DW12&gt;=8,"High",DW12&gt;=5,"Medium",DW12&lt;5,"Low")</f>
        <v>Medium</v>
      </c>
      <c r="DX19" s="2" t="str" cm="1">
        <f t="array" ref="DX19">_xlfn.IFS(DX12&gt;=8,"High",DX12&gt;=5,"Medium",DX12&lt;5,"Low")</f>
        <v>Medium</v>
      </c>
      <c r="DY19" s="2" t="str" cm="1">
        <f t="array" ref="DY19">_xlfn.IFS(DY12&gt;=8,"High",DY12&gt;=5,"Medium",DY12&lt;5,"Low")</f>
        <v>Low</v>
      </c>
      <c r="DZ19" s="2" t="str" cm="1">
        <f t="array" ref="DZ19">_xlfn.IFS(DZ12&gt;=8,"High",DZ12&gt;=5,"Medium",DZ12&lt;5,"Low")</f>
        <v>Low</v>
      </c>
      <c r="EA19" s="2" t="str" cm="1">
        <f t="array" ref="EA19">_xlfn.IFS(EA12&gt;=8,"High",EA12&gt;=5,"Medium",EA12&lt;5,"Low")</f>
        <v>Low</v>
      </c>
      <c r="EB19" s="2" t="str" cm="1">
        <f t="array" ref="EB19">_xlfn.IFS(EB12&gt;=8,"High",EB12&gt;=5,"Medium",EB12&lt;5,"Low")</f>
        <v>Low</v>
      </c>
      <c r="EC19" s="2" t="str" cm="1">
        <f t="array" ref="EC19">_xlfn.IFS(EC12&gt;=8,"High",EC12&gt;=5,"Medium",EC12&lt;5,"Low")</f>
        <v>Low</v>
      </c>
      <c r="ED19" s="2" t="str" cm="1">
        <f t="array" ref="ED19">_xlfn.IFS(ED12&gt;=8,"High",ED12&gt;=5,"Medium",ED12&lt;5,"Low")</f>
        <v>Medium</v>
      </c>
      <c r="EE19" s="2" t="str" cm="1">
        <f t="array" ref="EE19">_xlfn.IFS(EE12&gt;=8,"High",EE12&gt;=5,"Medium",EE12&lt;5,"Low")</f>
        <v>High</v>
      </c>
      <c r="EF19" s="2" t="str" cm="1">
        <f t="array" ref="EF19">_xlfn.IFS(EF12&gt;=8,"High",EF12&gt;=5,"Medium",EF12&lt;5,"Low")</f>
        <v>Medium</v>
      </c>
      <c r="EG19" s="2" t="str" cm="1">
        <f t="array" ref="EG19">_xlfn.IFS(EG12&gt;=8,"High",EG12&gt;=5,"Medium",EG12&lt;5,"Low")</f>
        <v>Low</v>
      </c>
      <c r="EH19" s="2" t="str" cm="1">
        <f t="array" ref="EH19">_xlfn.IFS(EH12&gt;=8,"High",EH12&gt;=5,"Medium",EH12&lt;5,"Low")</f>
        <v>Medium</v>
      </c>
      <c r="EI19" s="2" t="str" cm="1">
        <f t="array" ref="EI19">_xlfn.IFS(EI12&gt;=8,"High",EI12&gt;=5,"Medium",EI12&lt;5,"Low")</f>
        <v>Low</v>
      </c>
      <c r="EJ19" s="2" t="str" cm="1">
        <f t="array" ref="EJ19">_xlfn.IFS(EJ12&gt;=8,"High",EJ12&gt;=5,"Medium",EJ12&lt;5,"Low")</f>
        <v>High</v>
      </c>
      <c r="EK19" s="2" t="str" cm="1">
        <f t="array" ref="EK19">_xlfn.IFS(EK12&gt;=8,"High",EK12&gt;=5,"Medium",EK12&lt;5,"Low")</f>
        <v>Low</v>
      </c>
      <c r="EL19" s="2" t="str" cm="1">
        <f t="array" ref="EL19">_xlfn.IFS(EL12&gt;=8,"High",EL12&gt;=5,"Medium",EL12&lt;5,"Low")</f>
        <v>Medium</v>
      </c>
      <c r="EM19" s="2" t="str" cm="1">
        <f t="array" ref="EM19">_xlfn.IFS(EM12&gt;=8,"High",EM12&gt;=5,"Medium",EM12&lt;5,"Low")</f>
        <v>Low</v>
      </c>
      <c r="EN19" s="2" t="str" cm="1">
        <f t="array" ref="EN19">_xlfn.IFS(EN12&gt;=8,"High",EN12&gt;=5,"Medium",EN12&lt;5,"Low")</f>
        <v>Low</v>
      </c>
      <c r="EO19" s="2" t="str" cm="1">
        <f t="array" ref="EO19">_xlfn.IFS(EO12&gt;=8,"High",EO12&gt;=5,"Medium",EO12&lt;5,"Low")</f>
        <v>Low</v>
      </c>
      <c r="EP19" s="2" t="str" cm="1">
        <f t="array" ref="EP19">_xlfn.IFS(EP12&gt;=8,"High",EP12&gt;=5,"Medium",EP12&lt;5,"Low")</f>
        <v>Medium</v>
      </c>
      <c r="EQ19" s="2" t="str" cm="1">
        <f t="array" ref="EQ19">_xlfn.IFS(EQ12&gt;=8,"High",EQ12&gt;=5,"Medium",EQ12&lt;5,"Low")</f>
        <v>High</v>
      </c>
      <c r="ER19" s="2" t="str" cm="1">
        <f t="array" ref="ER19">_xlfn.IFS(ER12&gt;=8,"High",ER12&gt;=5,"Medium",ER12&lt;5,"Low")</f>
        <v>High</v>
      </c>
      <c r="ES19" s="2" t="str" cm="1">
        <f t="array" ref="ES19">_xlfn.IFS(ES12&gt;=8,"High",ES12&gt;=5,"Medium",ES12&lt;5,"Low")</f>
        <v>Medium</v>
      </c>
      <c r="ET19" s="2" t="str" cm="1">
        <f t="array" ref="ET19">_xlfn.IFS(ET12&gt;=8,"High",ET12&gt;=5,"Medium",ET12&lt;5,"Low")</f>
        <v>Low</v>
      </c>
      <c r="EU19" s="2" t="str" cm="1">
        <f t="array" ref="EU19">_xlfn.IFS(EU12&gt;=8,"High",EU12&gt;=5,"Medium",EU12&lt;5,"Low")</f>
        <v>High</v>
      </c>
      <c r="EV19" s="2" t="str" cm="1">
        <f t="array" ref="EV19">_xlfn.IFS(EV12&gt;=8,"High",EV12&gt;=5,"Medium",EV12&lt;5,"Low")</f>
        <v>High</v>
      </c>
      <c r="EW19" s="2" t="str" cm="1">
        <f t="array" ref="EW19">_xlfn.IFS(EW12&gt;=8,"High",EW12&gt;=5,"Medium",EW12&lt;5,"Low")</f>
        <v>Low</v>
      </c>
      <c r="EX19" s="2" t="str" cm="1">
        <f t="array" ref="EX19">_xlfn.IFS(EX12&gt;=8,"High",EX12&gt;=5,"Medium",EX12&lt;5,"Low")</f>
        <v>Low</v>
      </c>
      <c r="EY19" s="2" t="str" cm="1">
        <f t="array" ref="EY19">_xlfn.IFS(EY12&gt;=8,"High",EY12&gt;=5,"Medium",EY12&lt;5,"Low")</f>
        <v>Low</v>
      </c>
      <c r="EZ19" s="2" t="str" cm="1">
        <f t="array" ref="EZ19">_xlfn.IFS(EZ12&gt;=8,"High",EZ12&gt;=5,"Medium",EZ12&lt;5,"Low")</f>
        <v>Medium</v>
      </c>
      <c r="FA19" s="2" t="str" cm="1">
        <f t="array" ref="FA19">_xlfn.IFS(FA12&gt;=8,"High",FA12&gt;=5,"Medium",FA12&lt;5,"Low")</f>
        <v>Medium</v>
      </c>
      <c r="FB19" s="2" t="str" cm="1">
        <f t="array" ref="FB19">_xlfn.IFS(FB12&gt;=8,"High",FB12&gt;=5,"Medium",FB12&lt;5,"Low")</f>
        <v>High</v>
      </c>
      <c r="FC19" s="2" t="str" cm="1">
        <f t="array" ref="FC19">_xlfn.IFS(FC12&gt;=8,"High",FC12&gt;=5,"Medium",FC12&lt;5,"Low")</f>
        <v>Medium</v>
      </c>
      <c r="FD19" s="2" t="str" cm="1">
        <f t="array" ref="FD19">_xlfn.IFS(FD12&gt;=8,"High",FD12&gt;=5,"Medium",FD12&lt;5,"Low")</f>
        <v>High</v>
      </c>
      <c r="FE19" s="2" t="str" cm="1">
        <f t="array" ref="FE19">_xlfn.IFS(FE12&gt;=8,"High",FE12&gt;=5,"Medium",FE12&lt;5,"Low")</f>
        <v>High</v>
      </c>
      <c r="FF19" s="2" t="str" cm="1">
        <f t="array" ref="FF19">_xlfn.IFS(FF12&gt;=8,"High",FF12&gt;=5,"Medium",FF12&lt;5,"Low")</f>
        <v>Low</v>
      </c>
      <c r="FG19" s="2" t="str" cm="1">
        <f t="array" ref="FG19">_xlfn.IFS(FG12&gt;=8,"High",FG12&gt;=5,"Medium",FG12&lt;5,"Low")</f>
        <v>Low</v>
      </c>
      <c r="FH19" s="2" t="str" cm="1">
        <f t="array" ref="FH19">_xlfn.IFS(FH12&gt;=8,"High",FH12&gt;=5,"Medium",FH12&lt;5,"Low")</f>
        <v>Low</v>
      </c>
      <c r="FI19" s="2" t="str" cm="1">
        <f t="array" ref="FI19">_xlfn.IFS(FI12&gt;=8,"High",FI12&gt;=5,"Medium",FI12&lt;5,"Low")</f>
        <v>Medium</v>
      </c>
      <c r="FJ19" s="2" t="str" cm="1">
        <f t="array" ref="FJ19">_xlfn.IFS(FJ12&gt;=8,"High",FJ12&gt;=5,"Medium",FJ12&lt;5,"Low")</f>
        <v>High</v>
      </c>
      <c r="FK19" s="2" t="str" cm="1">
        <f t="array" ref="FK19">_xlfn.IFS(FK12&gt;=8,"High",FK12&gt;=5,"Medium",FK12&lt;5,"Low")</f>
        <v>High</v>
      </c>
      <c r="FL19" s="2" t="str" cm="1">
        <f t="array" ref="FL19">_xlfn.IFS(FL12&gt;=8,"High",FL12&gt;=5,"Medium",FL12&lt;5,"Low")</f>
        <v>Medium</v>
      </c>
      <c r="FM19" s="2" t="str" cm="1">
        <f t="array" ref="FM19">_xlfn.IFS(FM12&gt;=8,"High",FM12&gt;=5,"Medium",FM12&lt;5,"Low")</f>
        <v>Medium</v>
      </c>
      <c r="FN19" s="2" t="str" cm="1">
        <f t="array" ref="FN19">_xlfn.IFS(FN12&gt;=8,"High",FN12&gt;=5,"Medium",FN12&lt;5,"Low")</f>
        <v>Medium</v>
      </c>
      <c r="FO19" s="2" t="str" cm="1">
        <f t="array" ref="FO19">_xlfn.IFS(FO12&gt;=8,"High",FO12&gt;=5,"Medium",FO12&lt;5,"Low")</f>
        <v>Medium</v>
      </c>
      <c r="FP19" s="2" t="str" cm="1">
        <f t="array" ref="FP19">_xlfn.IFS(FP12&gt;=8,"High",FP12&gt;=5,"Medium",FP12&lt;5,"Low")</f>
        <v>Low</v>
      </c>
      <c r="FQ19" s="2" t="str" cm="1">
        <f t="array" ref="FQ19">_xlfn.IFS(FQ12&gt;=8,"High",FQ12&gt;=5,"Medium",FQ12&lt;5,"Low")</f>
        <v>Low</v>
      </c>
      <c r="FR19" s="2" t="str" cm="1">
        <f t="array" ref="FR19">_xlfn.IFS(FR12&gt;=8,"High",FR12&gt;=5,"Medium",FR12&lt;5,"Low")</f>
        <v>Low</v>
      </c>
      <c r="FS19" s="2" t="str" cm="1">
        <f t="array" ref="FS19">_xlfn.IFS(FS12&gt;=8,"High",FS12&gt;=5,"Medium",FS12&lt;5,"Low")</f>
        <v>Low</v>
      </c>
      <c r="FT19" s="2" t="str" cm="1">
        <f t="array" ref="FT19">_xlfn.IFS(FT12&gt;=8,"High",FT12&gt;=5,"Medium",FT12&lt;5,"Low")</f>
        <v>Medium</v>
      </c>
      <c r="FU19" s="2" t="str" cm="1">
        <f t="array" ref="FU19">_xlfn.IFS(FU12&gt;=8,"High",FU12&gt;=5,"Medium",FU12&lt;5,"Low")</f>
        <v>Low</v>
      </c>
      <c r="FV19" s="2" t="str" cm="1">
        <f t="array" ref="FV19">_xlfn.IFS(FV12&gt;=8,"High",FV12&gt;=5,"Medium",FV12&lt;5,"Low")</f>
        <v>Low</v>
      </c>
      <c r="FW19" s="2" t="str" cm="1">
        <f t="array" ref="FW19">_xlfn.IFS(FW12&gt;=8,"High",FW12&gt;=5,"Medium",FW12&lt;5,"Low")</f>
        <v>Low</v>
      </c>
      <c r="FX19" s="2" t="str" cm="1">
        <f t="array" ref="FX19">_xlfn.IFS(FX12&gt;=8,"High",FX12&gt;=5,"Medium",FX12&lt;5,"Low")</f>
        <v>Medium</v>
      </c>
      <c r="FY19" s="2" t="str" cm="1">
        <f t="array" ref="FY19">_xlfn.IFS(FY12&gt;=8,"High",FY12&gt;=5,"Medium",FY12&lt;5,"Low")</f>
        <v>High</v>
      </c>
      <c r="FZ19" s="2" t="str" cm="1">
        <f t="array" ref="FZ19">_xlfn.IFS(FZ12&gt;=8,"High",FZ12&gt;=5,"Medium",FZ12&lt;5,"Low")</f>
        <v>Low</v>
      </c>
      <c r="GA19" s="2" t="str" cm="1">
        <f t="array" ref="GA19">_xlfn.IFS(GA12&gt;=8,"High",GA12&gt;=5,"Medium",GA12&lt;5,"Low")</f>
        <v>Medium</v>
      </c>
      <c r="GB19" s="2" t="str" cm="1">
        <f t="array" ref="GB19">_xlfn.IFS(GB12&gt;=8,"High",GB12&gt;=5,"Medium",GB12&lt;5,"Low")</f>
        <v>Low</v>
      </c>
      <c r="GC19" s="2" t="str" cm="1">
        <f t="array" ref="GC19">_xlfn.IFS(GC12&gt;=8,"High",GC12&gt;=5,"Medium",GC12&lt;5,"Low")</f>
        <v>Low</v>
      </c>
      <c r="GD19" s="2" t="str" cm="1">
        <f t="array" ref="GD19">_xlfn.IFS(GD12&gt;=8,"High",GD12&gt;=5,"Medium",GD12&lt;5,"Low")</f>
        <v>Medium</v>
      </c>
      <c r="GE19" s="2" t="str" cm="1">
        <f t="array" ref="GE19">_xlfn.IFS(GE12&gt;=8,"High",GE12&gt;=5,"Medium",GE12&lt;5,"Low")</f>
        <v>High</v>
      </c>
      <c r="GF19" s="2" t="str" cm="1">
        <f t="array" ref="GF19">_xlfn.IFS(GF12&gt;=8,"High",GF12&gt;=5,"Medium",GF12&lt;5,"Low")</f>
        <v>Medium</v>
      </c>
      <c r="GG19" s="2" t="str" cm="1">
        <f t="array" ref="GG19">_xlfn.IFS(GG12&gt;=8,"High",GG12&gt;=5,"Medium",GG12&lt;5,"Low")</f>
        <v>High</v>
      </c>
      <c r="GH19" s="2" t="str" cm="1">
        <f t="array" ref="GH19">_xlfn.IFS(GH12&gt;=8,"High",GH12&gt;=5,"Medium",GH12&lt;5,"Low")</f>
        <v>High</v>
      </c>
      <c r="GI19" s="2" t="str" cm="1">
        <f t="array" ref="GI19">_xlfn.IFS(GI12&gt;=8,"High",GI12&gt;=5,"Medium",GI12&lt;5,"Low")</f>
        <v>High</v>
      </c>
      <c r="GJ19" s="2" t="str" cm="1">
        <f t="array" ref="GJ19">_xlfn.IFS(GJ12&gt;=8,"High",GJ12&gt;=5,"Medium",GJ12&lt;5,"Low")</f>
        <v>Medium</v>
      </c>
      <c r="GK19" s="2" t="str" cm="1">
        <f t="array" ref="GK19">_xlfn.IFS(GK12&gt;=8,"High",GK12&gt;=5,"Medium",GK12&lt;5,"Low")</f>
        <v>Low</v>
      </c>
      <c r="GL19" s="2" t="str" cm="1">
        <f t="array" ref="GL19">_xlfn.IFS(GL12&gt;=8,"High",GL12&gt;=5,"Medium",GL12&lt;5,"Low")</f>
        <v>Low</v>
      </c>
      <c r="GM19" s="2" t="str" cm="1">
        <f t="array" ref="GM19">_xlfn.IFS(GM12&gt;=8,"High",GM12&gt;=5,"Medium",GM12&lt;5,"Low")</f>
        <v>Medium</v>
      </c>
      <c r="GN19" s="2" t="str" cm="1">
        <f t="array" ref="GN19">_xlfn.IFS(GN12&gt;=8,"High",GN12&gt;=5,"Medium",GN12&lt;5,"Low")</f>
        <v>Medium</v>
      </c>
      <c r="GO19" s="2" t="str" cm="1">
        <f t="array" ref="GO19">_xlfn.IFS(GO12&gt;=8,"High",GO12&gt;=5,"Medium",GO12&lt;5,"Low")</f>
        <v>Low</v>
      </c>
      <c r="GP19" s="2" t="str" cm="1">
        <f t="array" ref="GP19">_xlfn.IFS(GP12&gt;=8,"High",GP12&gt;=5,"Medium",GP12&lt;5,"Low")</f>
        <v>Low</v>
      </c>
      <c r="GQ19" s="2" t="str" cm="1">
        <f t="array" ref="GQ19">_xlfn.IFS(GQ12&gt;=8,"High",GQ12&gt;=5,"Medium",GQ12&lt;5,"Low")</f>
        <v>High</v>
      </c>
      <c r="GR19" s="2" t="str" cm="1">
        <f t="array" ref="GR19">_xlfn.IFS(GR12&gt;=8,"High",GR12&gt;=5,"Medium",GR12&lt;5,"Low")</f>
        <v>Medium</v>
      </c>
      <c r="GS19" s="2" t="str" cm="1">
        <f t="array" ref="GS19">_xlfn.IFS(GS12&gt;=8,"High",GS12&gt;=5,"Medium",GS12&lt;5,"Low")</f>
        <v>Medium</v>
      </c>
      <c r="GT19" s="2" t="str" cm="1">
        <f t="array" ref="GT19">_xlfn.IFS(GT12&gt;=8,"High",GT12&gt;=5,"Medium",GT12&lt;5,"Low")</f>
        <v>Medium</v>
      </c>
      <c r="GU19" s="2" t="str" cm="1">
        <f t="array" ref="GU19">_xlfn.IFS(GU12&gt;=8,"High",GU12&gt;=5,"Medium",GU12&lt;5,"Low")</f>
        <v>High</v>
      </c>
      <c r="GV19" s="2" t="str" cm="1">
        <f t="array" ref="GV19">_xlfn.IFS(GV12&gt;=8,"High",GV12&gt;=5,"Medium",GV12&lt;5,"Low")</f>
        <v>Low</v>
      </c>
      <c r="GW19" s="2" t="str" cm="1">
        <f t="array" ref="GW19">_xlfn.IFS(GW12&gt;=8,"High",GW12&gt;=5,"Medium",GW12&lt;5,"Low")</f>
        <v>Low</v>
      </c>
      <c r="GX19" s="2" t="str" cm="1">
        <f t="array" ref="GX19">_xlfn.IFS(GX12&gt;=8,"High",GX12&gt;=5,"Medium",GX12&lt;5,"Low")</f>
        <v>Medium</v>
      </c>
      <c r="GY19" s="2" t="str" cm="1">
        <f t="array" ref="GY19">_xlfn.IFS(GY12&gt;=8,"High",GY12&gt;=5,"Medium",GY12&lt;5,"Low")</f>
        <v>High</v>
      </c>
      <c r="GZ19" s="2" t="str" cm="1">
        <f t="array" ref="GZ19">_xlfn.IFS(GZ12&gt;=8,"High",GZ12&gt;=5,"Medium",GZ12&lt;5,"Low")</f>
        <v>High</v>
      </c>
      <c r="HA19" s="2" t="str" cm="1">
        <f t="array" ref="HA19">_xlfn.IFS(HA12&gt;=8,"High",HA12&gt;=5,"Medium",HA12&lt;5,"Low")</f>
        <v>Low</v>
      </c>
      <c r="HB19" s="2" t="str" cm="1">
        <f t="array" ref="HB19">_xlfn.IFS(HB12&gt;=8,"High",HB12&gt;=5,"Medium",HB12&lt;5,"Low")</f>
        <v>High</v>
      </c>
      <c r="HC19" s="2" t="str" cm="1">
        <f t="array" ref="HC19">_xlfn.IFS(HC12&gt;=8,"High",HC12&gt;=5,"Medium",HC12&lt;5,"Low")</f>
        <v>Medium</v>
      </c>
      <c r="HD19" s="2" t="str" cm="1">
        <f t="array" ref="HD19">_xlfn.IFS(HD12&gt;=8,"High",HD12&gt;=5,"Medium",HD12&lt;5,"Low")</f>
        <v>Low</v>
      </c>
      <c r="HE19" s="2" t="str" cm="1">
        <f t="array" ref="HE19">_xlfn.IFS(HE12&gt;=8,"High",HE12&gt;=5,"Medium",HE12&lt;5,"Low")</f>
        <v>Low</v>
      </c>
      <c r="HF19" s="2" t="str" cm="1">
        <f t="array" ref="HF19">_xlfn.IFS(HF12&gt;=8,"High",HF12&gt;=5,"Medium",HF12&lt;5,"Low")</f>
        <v>High</v>
      </c>
      <c r="HG19" s="2" t="str" cm="1">
        <f t="array" ref="HG19">_xlfn.IFS(HG12&gt;=8,"High",HG12&gt;=5,"Medium",HG12&lt;5,"Low")</f>
        <v>Low</v>
      </c>
      <c r="HH19" s="2" t="str" cm="1">
        <f t="array" ref="HH19">_xlfn.IFS(HH12&gt;=8,"High",HH12&gt;=5,"Medium",HH12&lt;5,"Low")</f>
        <v>Medium</v>
      </c>
      <c r="HI19" s="2" t="str" cm="1">
        <f t="array" ref="HI19">_xlfn.IFS(HI12&gt;=8,"High",HI12&gt;=5,"Medium",HI12&lt;5,"Low")</f>
        <v>Medium</v>
      </c>
      <c r="HJ19" s="2" t="str" cm="1">
        <f t="array" ref="HJ19">_xlfn.IFS(HJ12&gt;=8,"High",HJ12&gt;=5,"Medium",HJ12&lt;5,"Low")</f>
        <v>Low</v>
      </c>
      <c r="HK19" s="2" t="str" cm="1">
        <f t="array" ref="HK19">_xlfn.IFS(HK12&gt;=8,"High",HK12&gt;=5,"Medium",HK12&lt;5,"Low")</f>
        <v>High</v>
      </c>
      <c r="HL19" s="2" t="str" cm="1">
        <f t="array" ref="HL19">_xlfn.IFS(HL12&gt;=8,"High",HL12&gt;=5,"Medium",HL12&lt;5,"Low")</f>
        <v>Low</v>
      </c>
      <c r="HM19" s="2" t="str" cm="1">
        <f t="array" ref="HM19">_xlfn.IFS(HM12&gt;=8,"High",HM12&gt;=5,"Medium",HM12&lt;5,"Low")</f>
        <v>Medium</v>
      </c>
      <c r="HN19" s="2" t="str" cm="1">
        <f t="array" ref="HN19">_xlfn.IFS(HN12&gt;=8,"High",HN12&gt;=5,"Medium",HN12&lt;5,"Low")</f>
        <v>Low</v>
      </c>
      <c r="HO19" s="2" t="str" cm="1">
        <f t="array" ref="HO19">_xlfn.IFS(HO12&gt;=8,"High",HO12&gt;=5,"Medium",HO12&lt;5,"Low")</f>
        <v>Low</v>
      </c>
      <c r="HP19" s="2" t="str" cm="1">
        <f t="array" ref="HP19">_xlfn.IFS(HP12&gt;=8,"High",HP12&gt;=5,"Medium",HP12&lt;5,"Low")</f>
        <v>Low</v>
      </c>
      <c r="HQ19" s="2" t="str" cm="1">
        <f t="array" ref="HQ19">_xlfn.IFS(HQ12&gt;=8,"High",HQ12&gt;=5,"Medium",HQ12&lt;5,"Low")</f>
        <v>Low</v>
      </c>
      <c r="HR19" s="2" t="str" cm="1">
        <f t="array" ref="HR19">_xlfn.IFS(HR12&gt;=8,"High",HR12&gt;=5,"Medium",HR12&lt;5,"Low")</f>
        <v>Medium</v>
      </c>
      <c r="HS19" s="2" t="str" cm="1">
        <f t="array" ref="HS19">_xlfn.IFS(HS12&gt;=8,"High",HS12&gt;=5,"Medium",HS12&lt;5,"Low")</f>
        <v>Medium</v>
      </c>
      <c r="HT19" s="2" t="str" cm="1">
        <f t="array" ref="HT19">_xlfn.IFS(HT12&gt;=8,"High",HT12&gt;=5,"Medium",HT12&lt;5,"Low")</f>
        <v>Low</v>
      </c>
      <c r="HU19" s="2" t="str" cm="1">
        <f t="array" ref="HU19">_xlfn.IFS(HU12&gt;=8,"High",HU12&gt;=5,"Medium",HU12&lt;5,"Low")</f>
        <v>High</v>
      </c>
      <c r="HV19" s="2" t="str" cm="1">
        <f t="array" ref="HV19">_xlfn.IFS(HV12&gt;=8,"High",HV12&gt;=5,"Medium",HV12&lt;5,"Low")</f>
        <v>Low</v>
      </c>
      <c r="HW19" s="2" t="str" cm="1">
        <f t="array" ref="HW19">_xlfn.IFS(HW12&gt;=8,"High",HW12&gt;=5,"Medium",HW12&lt;5,"Low")</f>
        <v>Low</v>
      </c>
      <c r="HX19" s="2" t="str" cm="1">
        <f t="array" ref="HX19">_xlfn.IFS(HX12&gt;=8,"High",HX12&gt;=5,"Medium",HX12&lt;5,"Low")</f>
        <v>Medium</v>
      </c>
      <c r="HY19" s="2" t="str" cm="1">
        <f t="array" ref="HY19">_xlfn.IFS(HY12&gt;=8,"High",HY12&gt;=5,"Medium",HY12&lt;5,"Low")</f>
        <v>Medium</v>
      </c>
      <c r="HZ19" s="2" t="str" cm="1">
        <f t="array" ref="HZ19">_xlfn.IFS(HZ12&gt;=8,"High",HZ12&gt;=5,"Medium",HZ12&lt;5,"Low")</f>
        <v>Low</v>
      </c>
      <c r="IA19" s="2" t="str" cm="1">
        <f t="array" ref="IA19">_xlfn.IFS(IA12&gt;=8,"High",IA12&gt;=5,"Medium",IA12&lt;5,"Low")</f>
        <v>Medium</v>
      </c>
      <c r="IB19" s="2" t="str" cm="1">
        <f t="array" ref="IB19">_xlfn.IFS(IB12&gt;=8,"High",IB12&gt;=5,"Medium",IB12&lt;5,"Low")</f>
        <v>Low</v>
      </c>
      <c r="IC19" s="2" t="str" cm="1">
        <f t="array" ref="IC19">_xlfn.IFS(IC12&gt;=8,"High",IC12&gt;=5,"Medium",IC12&lt;5,"Low")</f>
        <v>Medium</v>
      </c>
      <c r="ID19" s="2" t="str" cm="1">
        <f t="array" ref="ID19">_xlfn.IFS(ID12&gt;=8,"High",ID12&gt;=5,"Medium",ID12&lt;5,"Low")</f>
        <v>High</v>
      </c>
      <c r="IE19" s="2" t="str" cm="1">
        <f t="array" ref="IE19">_xlfn.IFS(IE12&gt;=8,"High",IE12&gt;=5,"Medium",IE12&lt;5,"Low")</f>
        <v>High</v>
      </c>
      <c r="IF19" s="2" t="str" cm="1">
        <f t="array" ref="IF19">_xlfn.IFS(IF12&gt;=8,"High",IF12&gt;=5,"Medium",IF12&lt;5,"Low")</f>
        <v>Medium</v>
      </c>
      <c r="IG19" s="2" t="str" cm="1">
        <f t="array" ref="IG19">_xlfn.IFS(IG12&gt;=8,"High",IG12&gt;=5,"Medium",IG12&lt;5,"Low")</f>
        <v>Medium</v>
      </c>
      <c r="IH19" s="2" t="str" cm="1">
        <f t="array" ref="IH19">_xlfn.IFS(IH12&gt;=8,"High",IH12&gt;=5,"Medium",IH12&lt;5,"Low")</f>
        <v>Medium</v>
      </c>
      <c r="II19" s="2" t="str" cm="1">
        <f t="array" ref="II19">_xlfn.IFS(II12&gt;=8,"High",II12&gt;=5,"Medium",II12&lt;5,"Low")</f>
        <v>Medium</v>
      </c>
      <c r="IJ19" s="2" t="str" cm="1">
        <f t="array" ref="IJ19">_xlfn.IFS(IJ12&gt;=8,"High",IJ12&gt;=5,"Medium",IJ12&lt;5,"Low")</f>
        <v>High</v>
      </c>
      <c r="IK19" s="2" t="str" cm="1">
        <f t="array" ref="IK19">_xlfn.IFS(IK12&gt;=8,"High",IK12&gt;=5,"Medium",IK12&lt;5,"Low")</f>
        <v>High</v>
      </c>
      <c r="IL19" s="2" t="str" cm="1">
        <f t="array" ref="IL19">_xlfn.IFS(IL12&gt;=8,"High",IL12&gt;=5,"Medium",IL12&lt;5,"Low")</f>
        <v>Low</v>
      </c>
      <c r="IM19" s="2" t="str" cm="1">
        <f t="array" ref="IM19">_xlfn.IFS(IM12&gt;=8,"High",IM12&gt;=5,"Medium",IM12&lt;5,"Low")</f>
        <v>Low</v>
      </c>
      <c r="IN19" s="2" t="str" cm="1">
        <f t="array" ref="IN19">_xlfn.IFS(IN12&gt;=8,"High",IN12&gt;=5,"Medium",IN12&lt;5,"Low")</f>
        <v>Medium</v>
      </c>
      <c r="IO19" s="2" t="str" cm="1">
        <f t="array" ref="IO19">_xlfn.IFS(IO12&gt;=8,"High",IO12&gt;=5,"Medium",IO12&lt;5,"Low")</f>
        <v>Medium</v>
      </c>
      <c r="IP19" s="2" t="str" cm="1">
        <f t="array" ref="IP19">_xlfn.IFS(IP12&gt;=8,"High",IP12&gt;=5,"Medium",IP12&lt;5,"Low")</f>
        <v>Medium</v>
      </c>
      <c r="IQ19" s="2" t="str" cm="1">
        <f t="array" ref="IQ19">_xlfn.IFS(IQ12&gt;=8,"High",IQ12&gt;=5,"Medium",IQ12&lt;5,"Low")</f>
        <v>Low</v>
      </c>
      <c r="IR19" s="2" t="str" cm="1">
        <f t="array" ref="IR19">_xlfn.IFS(IR12&gt;=8,"High",IR12&gt;=5,"Medium",IR12&lt;5,"Low")</f>
        <v>Low</v>
      </c>
      <c r="IS19" s="2" t="str" cm="1">
        <f t="array" ref="IS19">_xlfn.IFS(IS12&gt;=8,"High",IS12&gt;=5,"Medium",IS12&lt;5,"Low")</f>
        <v>Low</v>
      </c>
      <c r="IT19" s="2" t="str" cm="1">
        <f t="array" ref="IT19">_xlfn.IFS(IT12&gt;=8,"High",IT12&gt;=5,"Medium",IT12&lt;5,"Low")</f>
        <v>Low</v>
      </c>
      <c r="IU19" s="2" t="str" cm="1">
        <f t="array" ref="IU19">_xlfn.IFS(IU12&gt;=8,"High",IU12&gt;=5,"Medium",IU12&lt;5,"Low")</f>
        <v>Low</v>
      </c>
      <c r="IV19" s="2" t="str" cm="1">
        <f t="array" ref="IV19">_xlfn.IFS(IV12&gt;=8,"High",IV12&gt;=5,"Medium",IV12&lt;5,"Low")</f>
        <v>Low</v>
      </c>
      <c r="IW19" s="2" t="str" cm="1">
        <f t="array" ref="IW19">_xlfn.IFS(IW12&gt;=8,"High",IW12&gt;=5,"Medium",IW12&lt;5,"Low")</f>
        <v>Low</v>
      </c>
      <c r="IX19" s="2" t="str" cm="1">
        <f t="array" ref="IX19">_xlfn.IFS(IX12&gt;=8,"High",IX12&gt;=5,"Medium",IX12&lt;5,"Low")</f>
        <v>Low</v>
      </c>
      <c r="IY19" s="2" t="str" cm="1">
        <f t="array" ref="IY19">_xlfn.IFS(IY12&gt;=8,"High",IY12&gt;=5,"Medium",IY12&lt;5,"Low")</f>
        <v>Low</v>
      </c>
      <c r="IZ19" s="2" t="str" cm="1">
        <f t="array" ref="IZ19">_xlfn.IFS(IZ12&gt;=8,"High",IZ12&gt;=5,"Medium",IZ12&lt;5,"Low")</f>
        <v>Low</v>
      </c>
      <c r="JA19" s="2" t="str" cm="1">
        <f t="array" ref="JA19">_xlfn.IFS(JA12&gt;=8,"High",JA12&gt;=5,"Medium",JA12&lt;5,"Low")</f>
        <v>High</v>
      </c>
      <c r="JB19" s="2" t="str" cm="1">
        <f t="array" ref="JB19">_xlfn.IFS(JB12&gt;=8,"High",JB12&gt;=5,"Medium",JB12&lt;5,"Low")</f>
        <v>High</v>
      </c>
      <c r="JC19" s="2" t="str" cm="1">
        <f t="array" ref="JC19">_xlfn.IFS(JC12&gt;=8,"High",JC12&gt;=5,"Medium",JC12&lt;5,"Low")</f>
        <v>Low</v>
      </c>
      <c r="JD19" s="2" t="str" cm="1">
        <f t="array" ref="JD19">_xlfn.IFS(JD12&gt;=8,"High",JD12&gt;=5,"Medium",JD12&lt;5,"Low")</f>
        <v>Medium</v>
      </c>
      <c r="JE19" s="2" t="str" cm="1">
        <f t="array" ref="JE19">_xlfn.IFS(JE12&gt;=8,"High",JE12&gt;=5,"Medium",JE12&lt;5,"Low")</f>
        <v>High</v>
      </c>
      <c r="JF19" s="2" t="str" cm="1">
        <f t="array" ref="JF19">_xlfn.IFS(JF12&gt;=8,"High",JF12&gt;=5,"Medium",JF12&lt;5,"Low")</f>
        <v>Medium</v>
      </c>
      <c r="JG19" s="2" t="str" cm="1">
        <f t="array" ref="JG19">_xlfn.IFS(JG12&gt;=8,"High",JG12&gt;=5,"Medium",JG12&lt;5,"Low")</f>
        <v>Medium</v>
      </c>
      <c r="JH19" s="2" t="str" cm="1">
        <f t="array" ref="JH19">_xlfn.IFS(JH12&gt;=8,"High",JH12&gt;=5,"Medium",JH12&lt;5,"Low")</f>
        <v>High</v>
      </c>
      <c r="JI19" s="2" t="str" cm="1">
        <f t="array" ref="JI19">_xlfn.IFS(JI12&gt;=8,"High",JI12&gt;=5,"Medium",JI12&lt;5,"Low")</f>
        <v>Medium</v>
      </c>
      <c r="JJ19" s="2" t="str" cm="1">
        <f t="array" ref="JJ19">_xlfn.IFS(JJ12&gt;=8,"High",JJ12&gt;=5,"Medium",JJ12&lt;5,"Low")</f>
        <v>Low</v>
      </c>
      <c r="JK19" s="2" t="str" cm="1">
        <f t="array" ref="JK19">_xlfn.IFS(JK12&gt;=8,"High",JK12&gt;=5,"Medium",JK12&lt;5,"Low")</f>
        <v>Medium</v>
      </c>
      <c r="JL19" s="2" t="str" cm="1">
        <f t="array" ref="JL19">_xlfn.IFS(JL12&gt;=8,"High",JL12&gt;=5,"Medium",JL12&lt;5,"Low")</f>
        <v>Low</v>
      </c>
      <c r="JM19" s="2" t="str" cm="1">
        <f t="array" ref="JM19">_xlfn.IFS(JM12&gt;=8,"High",JM12&gt;=5,"Medium",JM12&lt;5,"Low")</f>
        <v>Low</v>
      </c>
      <c r="JN19" s="2" t="str" cm="1">
        <f t="array" ref="JN19">_xlfn.IFS(JN12&gt;=8,"High",JN12&gt;=5,"Medium",JN12&lt;5,"Low")</f>
        <v>Medium</v>
      </c>
      <c r="JO19" s="2" t="str" cm="1">
        <f t="array" ref="JO19">_xlfn.IFS(JO12&gt;=8,"High",JO12&gt;=5,"Medium",JO12&lt;5,"Low")</f>
        <v>Low</v>
      </c>
      <c r="JP19" s="2" t="str" cm="1">
        <f t="array" ref="JP19">_xlfn.IFS(JP12&gt;=8,"High",JP12&gt;=5,"Medium",JP12&lt;5,"Low")</f>
        <v>Low</v>
      </c>
      <c r="JQ19" s="2" t="str" cm="1">
        <f t="array" ref="JQ19">_xlfn.IFS(JQ12&gt;=8,"High",JQ12&gt;=5,"Medium",JQ12&lt;5,"Low")</f>
        <v>Low</v>
      </c>
      <c r="JR19" s="2" t="str" cm="1">
        <f t="array" ref="JR19">_xlfn.IFS(JR12&gt;=8,"High",JR12&gt;=5,"Medium",JR12&lt;5,"Low")</f>
        <v>Low</v>
      </c>
      <c r="JS19" s="2" t="str" cm="1">
        <f t="array" ref="JS19">_xlfn.IFS(JS12&gt;=8,"High",JS12&gt;=5,"Medium",JS12&lt;5,"Low")</f>
        <v>Low</v>
      </c>
      <c r="JT19" s="2" t="str" cm="1">
        <f t="array" ref="JT19">_xlfn.IFS(JT12&gt;=8,"High",JT12&gt;=5,"Medium",JT12&lt;5,"Low")</f>
        <v>Medium</v>
      </c>
      <c r="JU19" s="2" t="str" cm="1">
        <f t="array" ref="JU19">_xlfn.IFS(JU12&gt;=8,"High",JU12&gt;=5,"Medium",JU12&lt;5,"Low")</f>
        <v>Medium</v>
      </c>
      <c r="JV19" s="2" t="str" cm="1">
        <f t="array" ref="JV19">_xlfn.IFS(JV12&gt;=8,"High",JV12&gt;=5,"Medium",JV12&lt;5,"Low")</f>
        <v>Low</v>
      </c>
      <c r="JW19" s="2" t="str" cm="1">
        <f t="array" ref="JW19">_xlfn.IFS(JW12&gt;=8,"High",JW12&gt;=5,"Medium",JW12&lt;5,"Low")</f>
        <v>Low</v>
      </c>
      <c r="JX19" s="2" t="str" cm="1">
        <f t="array" ref="JX19">_xlfn.IFS(JX12&gt;=8,"High",JX12&gt;=5,"Medium",JX12&lt;5,"Low")</f>
        <v>Low</v>
      </c>
      <c r="JY19" s="2" t="str" cm="1">
        <f t="array" ref="JY19">_xlfn.IFS(JY12&gt;=8,"High",JY12&gt;=5,"Medium",JY12&lt;5,"Low")</f>
        <v>Low</v>
      </c>
      <c r="JZ19" s="2" t="str" cm="1">
        <f t="array" ref="JZ19">_xlfn.IFS(JZ12&gt;=8,"High",JZ12&gt;=5,"Medium",JZ12&lt;5,"Low")</f>
        <v>Low</v>
      </c>
      <c r="KA19" s="2" t="str" cm="1">
        <f t="array" ref="KA19">_xlfn.IFS(KA12&gt;=8,"High",KA12&gt;=5,"Medium",KA12&lt;5,"Low")</f>
        <v>Low</v>
      </c>
      <c r="KB19" s="2" t="str" cm="1">
        <f t="array" ref="KB19">_xlfn.IFS(KB12&gt;=8,"High",KB12&gt;=5,"Medium",KB12&lt;5,"Low")</f>
        <v>High</v>
      </c>
      <c r="KC19" s="2" t="str" cm="1">
        <f t="array" ref="KC19">_xlfn.IFS(KC12&gt;=8,"High",KC12&gt;=5,"Medium",KC12&lt;5,"Low")</f>
        <v>High</v>
      </c>
      <c r="KD19" s="2" t="str" cm="1">
        <f t="array" ref="KD19">_xlfn.IFS(KD12&gt;=8,"High",KD12&gt;=5,"Medium",KD12&lt;5,"Low")</f>
        <v>High</v>
      </c>
      <c r="KE19" s="2" t="str" cm="1">
        <f t="array" ref="KE19">_xlfn.IFS(KE12&gt;=8,"High",KE12&gt;=5,"Medium",KE12&lt;5,"Low")</f>
        <v>High</v>
      </c>
      <c r="KF19" s="2" t="str" cm="1">
        <f t="array" ref="KF19">_xlfn.IFS(KF12&gt;=8,"High",KF12&gt;=5,"Medium",KF12&lt;5,"Low")</f>
        <v>Low</v>
      </c>
      <c r="KG19" s="2" t="str" cm="1">
        <f t="array" ref="KG19">_xlfn.IFS(KG12&gt;=8,"High",KG12&gt;=5,"Medium",KG12&lt;5,"Low")</f>
        <v>High</v>
      </c>
      <c r="KH19" s="2" t="str" cm="1">
        <f t="array" ref="KH19">_xlfn.IFS(KH12&gt;=8,"High",KH12&gt;=5,"Medium",KH12&lt;5,"Low")</f>
        <v>Low</v>
      </c>
      <c r="KI19" s="2" t="str" cm="1">
        <f t="array" ref="KI19">_xlfn.IFS(KI12&gt;=8,"High",KI12&gt;=5,"Medium",KI12&lt;5,"Low")</f>
        <v>Medium</v>
      </c>
      <c r="KJ19" s="2" t="str" cm="1">
        <f t="array" ref="KJ19">_xlfn.IFS(KJ12&gt;=8,"High",KJ12&gt;=5,"Medium",KJ12&lt;5,"Low")</f>
        <v>Medium</v>
      </c>
      <c r="KK19" s="2" t="str" cm="1">
        <f t="array" ref="KK19">_xlfn.IFS(KK12&gt;=8,"High",KK12&gt;=5,"Medium",KK12&lt;5,"Low")</f>
        <v>High</v>
      </c>
      <c r="KL19" s="2" t="str" cm="1">
        <f t="array" ref="KL19">_xlfn.IFS(KL12&gt;=8,"High",KL12&gt;=5,"Medium",KL12&lt;5,"Low")</f>
        <v>High</v>
      </c>
      <c r="KM19" s="2" t="str" cm="1">
        <f t="array" ref="KM19">_xlfn.IFS(KM12&gt;=8,"High",KM12&gt;=5,"Medium",KM12&lt;5,"Low")</f>
        <v>Medium</v>
      </c>
      <c r="KN19" s="2" t="str" cm="1">
        <f t="array" ref="KN19">_xlfn.IFS(KN12&gt;=8,"High",KN12&gt;=5,"Medium",KN12&lt;5,"Low")</f>
        <v>Medium</v>
      </c>
      <c r="KO19" s="2" t="str" cm="1">
        <f t="array" ref="KO19">_xlfn.IFS(KO12&gt;=8,"High",KO12&gt;=5,"Medium",KO12&lt;5,"Low")</f>
        <v>Low</v>
      </c>
      <c r="KP19" s="2" t="str" cm="1">
        <f t="array" ref="KP19">_xlfn.IFS(KP12&gt;=8,"High",KP12&gt;=5,"Medium",KP12&lt;5,"Low")</f>
        <v>Medium</v>
      </c>
      <c r="KQ19" s="2" t="str" cm="1">
        <f t="array" ref="KQ19">_xlfn.IFS(KQ12&gt;=8,"High",KQ12&gt;=5,"Medium",KQ12&lt;5,"Low")</f>
        <v>Medium</v>
      </c>
      <c r="KR19" s="2" t="str" cm="1">
        <f t="array" ref="KR19">_xlfn.IFS(KR12&gt;=8,"High",KR12&gt;=5,"Medium",KR12&lt;5,"Low")</f>
        <v>Medium</v>
      </c>
      <c r="KS19" s="2" t="str" cm="1">
        <f t="array" ref="KS19">_xlfn.IFS(KS12&gt;=8,"High",KS12&gt;=5,"Medium",KS12&lt;5,"Low")</f>
        <v>Low</v>
      </c>
      <c r="KT19" s="2" t="str" cm="1">
        <f t="array" ref="KT19">_xlfn.IFS(KT12&gt;=8,"High",KT12&gt;=5,"Medium",KT12&lt;5,"Low")</f>
        <v>Low</v>
      </c>
      <c r="KU19" s="2" t="str" cm="1">
        <f t="array" ref="KU19">_xlfn.IFS(KU12&gt;=8,"High",KU12&gt;=5,"Medium",KU12&lt;5,"Low")</f>
        <v>Low</v>
      </c>
      <c r="KV19" s="2" t="str" cm="1">
        <f t="array" ref="KV19">_xlfn.IFS(KV12&gt;=8,"High",KV12&gt;=5,"Medium",KV12&lt;5,"Low")</f>
        <v>Medium</v>
      </c>
      <c r="KW19" s="2" t="str" cm="1">
        <f t="array" ref="KW19">_xlfn.IFS(KW12&gt;=8,"High",KW12&gt;=5,"Medium",KW12&lt;5,"Low")</f>
        <v>Low</v>
      </c>
      <c r="KX19" s="2" t="str" cm="1">
        <f t="array" ref="KX19">_xlfn.IFS(KX12&gt;=8,"High",KX12&gt;=5,"Medium",KX12&lt;5,"Low")</f>
        <v>Low</v>
      </c>
      <c r="KY19" s="2" t="str" cm="1">
        <f t="array" ref="KY19">_xlfn.IFS(KY12&gt;=8,"High",KY12&gt;=5,"Medium",KY12&lt;5,"Low")</f>
        <v>High</v>
      </c>
      <c r="KZ19" s="2" t="str" cm="1">
        <f t="array" ref="KZ19">_xlfn.IFS(KZ12&gt;=8,"High",KZ12&gt;=5,"Medium",KZ12&lt;5,"Low")</f>
        <v>Low</v>
      </c>
      <c r="LA19" s="2" t="str" cm="1">
        <f t="array" ref="LA19">_xlfn.IFS(LA12&gt;=8,"High",LA12&gt;=5,"Medium",LA12&lt;5,"Low")</f>
        <v>Low</v>
      </c>
      <c r="LB19" s="2" t="str" cm="1">
        <f t="array" ref="LB19">_xlfn.IFS(LB12&gt;=8,"High",LB12&gt;=5,"Medium",LB12&lt;5,"Low")</f>
        <v>Low</v>
      </c>
      <c r="LC19" s="2" t="str" cm="1">
        <f t="array" ref="LC19">_xlfn.IFS(LC12&gt;=8,"High",LC12&gt;=5,"Medium",LC12&lt;5,"Low")</f>
        <v>High</v>
      </c>
      <c r="LD19" s="2" t="str" cm="1">
        <f t="array" ref="LD19">_xlfn.IFS(LD12&gt;=8,"High",LD12&gt;=5,"Medium",LD12&lt;5,"Low")</f>
        <v>Medium</v>
      </c>
      <c r="LE19" s="2" t="str" cm="1">
        <f t="array" ref="LE19">_xlfn.IFS(LE12&gt;=8,"High",LE12&gt;=5,"Medium",LE12&lt;5,"Low")</f>
        <v>Low</v>
      </c>
      <c r="LF19" s="2" t="str" cm="1">
        <f t="array" ref="LF19">_xlfn.IFS(LF12&gt;=8,"High",LF12&gt;=5,"Medium",LF12&lt;5,"Low")</f>
        <v>Medium</v>
      </c>
      <c r="LG19" s="2" t="str" cm="1">
        <f t="array" ref="LG19">_xlfn.IFS(LG12&gt;=8,"High",LG12&gt;=5,"Medium",LG12&lt;5,"Low")</f>
        <v>Medium</v>
      </c>
      <c r="LH19" s="2" t="str" cm="1">
        <f t="array" ref="LH19">_xlfn.IFS(LH12&gt;=8,"High",LH12&gt;=5,"Medium",LH12&lt;5,"Low")</f>
        <v>Low</v>
      </c>
      <c r="LI19" s="2" t="str" cm="1">
        <f t="array" ref="LI19">_xlfn.IFS(LI12&gt;=8,"High",LI12&gt;=5,"Medium",LI12&lt;5,"Low")</f>
        <v>Low</v>
      </c>
      <c r="LJ19" s="2" t="str" cm="1">
        <f t="array" ref="LJ19">_xlfn.IFS(LJ12&gt;=8,"High",LJ12&gt;=5,"Medium",LJ12&lt;5,"Low")</f>
        <v>Low</v>
      </c>
      <c r="LK19" s="2" t="str" cm="1">
        <f t="array" ref="LK19">_xlfn.IFS(LK12&gt;=8,"High",LK12&gt;=5,"Medium",LK12&lt;5,"Low")</f>
        <v>Low</v>
      </c>
      <c r="LL19" s="2" t="str" cm="1">
        <f t="array" ref="LL19">_xlfn.IFS(LL12&gt;=8,"High",LL12&gt;=5,"Medium",LL12&lt;5,"Low")</f>
        <v>High</v>
      </c>
      <c r="LM19" s="2" t="str" cm="1">
        <f t="array" ref="LM19">_xlfn.IFS(LM12&gt;=8,"High",LM12&gt;=5,"Medium",LM12&lt;5,"Low")</f>
        <v>Medium</v>
      </c>
      <c r="LN19" s="2" t="str" cm="1">
        <f t="array" ref="LN19">_xlfn.IFS(LN12&gt;=8,"High",LN12&gt;=5,"Medium",LN12&lt;5,"Low")</f>
        <v>Low</v>
      </c>
      <c r="LO19" s="2" t="str" cm="1">
        <f t="array" ref="LO19">_xlfn.IFS(LO12&gt;=8,"High",LO12&gt;=5,"Medium",LO12&lt;5,"Low")</f>
        <v>High</v>
      </c>
      <c r="LP19" s="2" t="str" cm="1">
        <f t="array" ref="LP19">_xlfn.IFS(LP12&gt;=8,"High",LP12&gt;=5,"Medium",LP12&lt;5,"Low")</f>
        <v>Low</v>
      </c>
      <c r="LQ19" s="2" t="str" cm="1">
        <f t="array" ref="LQ19">_xlfn.IFS(LQ12&gt;=8,"High",LQ12&gt;=5,"Medium",LQ12&lt;5,"Low")</f>
        <v>Low</v>
      </c>
      <c r="LR19" s="2" t="str" cm="1">
        <f t="array" ref="LR19">_xlfn.IFS(LR12&gt;=8,"High",LR12&gt;=5,"Medium",LR12&lt;5,"Low")</f>
        <v>High</v>
      </c>
      <c r="LS19" s="2" t="str" cm="1">
        <f t="array" ref="LS19">_xlfn.IFS(LS12&gt;=8,"High",LS12&gt;=5,"Medium",LS12&lt;5,"Low")</f>
        <v>Medium</v>
      </c>
      <c r="LT19" s="2" t="str" cm="1">
        <f t="array" ref="LT19">_xlfn.IFS(LT12&gt;=8,"High",LT12&gt;=5,"Medium",LT12&lt;5,"Low")</f>
        <v>High</v>
      </c>
      <c r="LU19" s="2" t="str" cm="1">
        <f t="array" ref="LU19">_xlfn.IFS(LU12&gt;=8,"High",LU12&gt;=5,"Medium",LU12&lt;5,"Low")</f>
        <v>High</v>
      </c>
      <c r="LV19" s="2" t="str" cm="1">
        <f t="array" ref="LV19">_xlfn.IFS(LV12&gt;=8,"High",LV12&gt;=5,"Medium",LV12&lt;5,"Low")</f>
        <v>Medium</v>
      </c>
      <c r="LW19" s="2" t="str" cm="1">
        <f t="array" ref="LW19">_xlfn.IFS(LW12&gt;=8,"High",LW12&gt;=5,"Medium",LW12&lt;5,"Low")</f>
        <v>High</v>
      </c>
      <c r="LX19" s="2" t="str" cm="1">
        <f t="array" ref="LX19">_xlfn.IFS(LX12&gt;=8,"High",LX12&gt;=5,"Medium",LX12&lt;5,"Low")</f>
        <v>Low</v>
      </c>
      <c r="LY19" s="2" t="str" cm="1">
        <f t="array" ref="LY19">_xlfn.IFS(LY12&gt;=8,"High",LY12&gt;=5,"Medium",LY12&lt;5,"Low")</f>
        <v>Low</v>
      </c>
      <c r="LZ19" s="2" t="str" cm="1">
        <f t="array" ref="LZ19">_xlfn.IFS(LZ12&gt;=8,"High",LZ12&gt;=5,"Medium",LZ12&lt;5,"Low")</f>
        <v>Medium</v>
      </c>
      <c r="MA19" s="2" t="str" cm="1">
        <f t="array" ref="MA19">_xlfn.IFS(MA12&gt;=8,"High",MA12&gt;=5,"Medium",MA12&lt;5,"Low")</f>
        <v>Low</v>
      </c>
      <c r="MB19" s="2" t="str" cm="1">
        <f t="array" ref="MB19">_xlfn.IFS(MB12&gt;=8,"High",MB12&gt;=5,"Medium",MB12&lt;5,"Low")</f>
        <v>Low</v>
      </c>
      <c r="MC19" s="2" t="str" cm="1">
        <f t="array" ref="MC19">_xlfn.IFS(MC12&gt;=8,"High",MC12&gt;=5,"Medium",MC12&lt;5,"Low")</f>
        <v>Low</v>
      </c>
      <c r="MD19" s="2" t="str" cm="1">
        <f t="array" ref="MD19">_xlfn.IFS(MD12&gt;=8,"High",MD12&gt;=5,"Medium",MD12&lt;5,"Low")</f>
        <v>High</v>
      </c>
      <c r="ME19" s="2" t="str" cm="1">
        <f t="array" ref="ME19">_xlfn.IFS(ME12&gt;=8,"High",ME12&gt;=5,"Medium",ME12&lt;5,"Low")</f>
        <v>Low</v>
      </c>
      <c r="MF19" s="2" t="str" cm="1">
        <f t="array" ref="MF19">_xlfn.IFS(MF12&gt;=8,"High",MF12&gt;=5,"Medium",MF12&lt;5,"Low")</f>
        <v>Low</v>
      </c>
      <c r="MG19" s="2" t="str" cm="1">
        <f t="array" ref="MG19">_xlfn.IFS(MG12&gt;=8,"High",MG12&gt;=5,"Medium",MG12&lt;5,"Low")</f>
        <v>Medium</v>
      </c>
      <c r="MH19" s="2" t="str" cm="1">
        <f t="array" ref="MH19">_xlfn.IFS(MH12&gt;=8,"High",MH12&gt;=5,"Medium",MH12&lt;5,"Low")</f>
        <v>Low</v>
      </c>
      <c r="MI19" s="2" t="str" cm="1">
        <f t="array" ref="MI19">_xlfn.IFS(MI12&gt;=8,"High",MI12&gt;=5,"Medium",MI12&lt;5,"Low")</f>
        <v>High</v>
      </c>
      <c r="MJ19" s="2" t="str" cm="1">
        <f t="array" ref="MJ19">_xlfn.IFS(MJ12&gt;=8,"High",MJ12&gt;=5,"Medium",MJ12&lt;5,"Low")</f>
        <v>Low</v>
      </c>
      <c r="MK19" s="2" t="str" cm="1">
        <f t="array" ref="MK19">_xlfn.IFS(MK12&gt;=8,"High",MK12&gt;=5,"Medium",MK12&lt;5,"Low")</f>
        <v>Medium</v>
      </c>
      <c r="ML19" s="2" t="str" cm="1">
        <f t="array" ref="ML19">_xlfn.IFS(ML12&gt;=8,"High",ML12&gt;=5,"Medium",ML12&lt;5,"Low")</f>
        <v>Low</v>
      </c>
      <c r="MM19" s="2" t="str" cm="1">
        <f t="array" ref="MM19">_xlfn.IFS(MM12&gt;=8,"High",MM12&gt;=5,"Medium",MM12&lt;5,"Low")</f>
        <v>Medium</v>
      </c>
      <c r="MN19" s="2" t="str" cm="1">
        <f t="array" ref="MN19">_xlfn.IFS(MN12&gt;=8,"High",MN12&gt;=5,"Medium",MN12&lt;5,"Low")</f>
        <v>Low</v>
      </c>
      <c r="MO19" s="2" t="str" cm="1">
        <f t="array" ref="MO19">_xlfn.IFS(MO12&gt;=8,"High",MO12&gt;=5,"Medium",MO12&lt;5,"Low")</f>
        <v>Low</v>
      </c>
      <c r="MP19" s="2" t="str" cm="1">
        <f t="array" ref="MP19">_xlfn.IFS(MP12&gt;=8,"High",MP12&gt;=5,"Medium",MP12&lt;5,"Low")</f>
        <v>Medium</v>
      </c>
      <c r="MQ19" s="2" t="str" cm="1">
        <f t="array" ref="MQ19">_xlfn.IFS(MQ12&gt;=8,"High",MQ12&gt;=5,"Medium",MQ12&lt;5,"Low")</f>
        <v>High</v>
      </c>
      <c r="MR19" s="2" t="str" cm="1">
        <f t="array" ref="MR19">_xlfn.IFS(MR12&gt;=8,"High",MR12&gt;=5,"Medium",MR12&lt;5,"Low")</f>
        <v>High</v>
      </c>
      <c r="MS19" s="2" t="str" cm="1">
        <f t="array" ref="MS19">_xlfn.IFS(MS12&gt;=8,"High",MS12&gt;=5,"Medium",MS12&lt;5,"Low")</f>
        <v>Medium</v>
      </c>
      <c r="MT19" s="2" t="str" cm="1">
        <f t="array" ref="MT19">_xlfn.IFS(MT12&gt;=8,"High",MT12&gt;=5,"Medium",MT12&lt;5,"Low")</f>
        <v>Medium</v>
      </c>
      <c r="MU19" s="2" t="str" cm="1">
        <f t="array" ref="MU19">_xlfn.IFS(MU12&gt;=8,"High",MU12&gt;=5,"Medium",MU12&lt;5,"Low")</f>
        <v>High</v>
      </c>
      <c r="MV19" s="2" t="str" cm="1">
        <f t="array" ref="MV19">_xlfn.IFS(MV12&gt;=8,"High",MV12&gt;=5,"Medium",MV12&lt;5,"Low")</f>
        <v>Medium</v>
      </c>
      <c r="MW19" s="2" t="str" cm="1">
        <f t="array" ref="MW19">_xlfn.IFS(MW12&gt;=8,"High",MW12&gt;=5,"Medium",MW12&lt;5,"Low")</f>
        <v>Low</v>
      </c>
      <c r="MX19" s="2" t="str" cm="1">
        <f t="array" ref="MX19">_xlfn.IFS(MX12&gt;=8,"High",MX12&gt;=5,"Medium",MX12&lt;5,"Low")</f>
        <v>High</v>
      </c>
      <c r="MY19" s="2" t="str" cm="1">
        <f t="array" ref="MY19">_xlfn.IFS(MY12&gt;=8,"High",MY12&gt;=5,"Medium",MY12&lt;5,"Low")</f>
        <v>Low</v>
      </c>
      <c r="MZ19" s="2" t="str" cm="1">
        <f t="array" ref="MZ19">_xlfn.IFS(MZ12&gt;=8,"High",MZ12&gt;=5,"Medium",MZ12&lt;5,"Low")</f>
        <v>High</v>
      </c>
      <c r="NA19" s="2" t="str" cm="1">
        <f t="array" ref="NA19">_xlfn.IFS(NA12&gt;=8,"High",NA12&gt;=5,"Medium",NA12&lt;5,"Low")</f>
        <v>Medium</v>
      </c>
      <c r="NB19" s="2" t="str" cm="1">
        <f t="array" ref="NB19">_xlfn.IFS(NB12&gt;=8,"High",NB12&gt;=5,"Medium",NB12&lt;5,"Low")</f>
        <v>Medium</v>
      </c>
      <c r="NC19" s="2" t="str" cm="1">
        <f t="array" ref="NC19">_xlfn.IFS(NC12&gt;=8,"High",NC12&gt;=5,"Medium",NC12&lt;5,"Low")</f>
        <v>Medium</v>
      </c>
      <c r="ND19" s="2" t="str" cm="1">
        <f t="array" ref="ND19">_xlfn.IFS(ND12&gt;=8,"High",ND12&gt;=5,"Medium",ND12&lt;5,"Low")</f>
        <v>Medium</v>
      </c>
      <c r="NE19" s="2" t="str" cm="1">
        <f t="array" ref="NE19">_xlfn.IFS(NE12&gt;=8,"High",NE12&gt;=5,"Medium",NE12&lt;5,"Low")</f>
        <v>High</v>
      </c>
      <c r="NF19" s="2" t="str" cm="1">
        <f t="array" ref="NF19">_xlfn.IFS(NF12&gt;=8,"High",NF12&gt;=5,"Medium",NF12&lt;5,"Low")</f>
        <v>Medium</v>
      </c>
      <c r="NG19" s="2" t="str" cm="1">
        <f t="array" ref="NG19">_xlfn.IFS(NG12&gt;=8,"High",NG12&gt;=5,"Medium",NG12&lt;5,"Low")</f>
        <v>Medium</v>
      </c>
      <c r="NH19" s="2" t="str" cm="1">
        <f t="array" ref="NH19">_xlfn.IFS(NH12&gt;=8,"High",NH12&gt;=5,"Medium",NH12&lt;5,"Low")</f>
        <v>High</v>
      </c>
      <c r="NI19" s="2" t="str" cm="1">
        <f t="array" ref="NI19">_xlfn.IFS(NI12&gt;=8,"High",NI12&gt;=5,"Medium",NI12&lt;5,"Low")</f>
        <v>Low</v>
      </c>
    </row>
    <row r="20" spans="1:373" x14ac:dyDescent="0.3">
      <c r="A20" s="4" t="s">
        <v>16</v>
      </c>
      <c r="B20" s="2" t="str">
        <f t="shared" ref="B20:BM20" si="24">IF(B16&gt;=3000,"High",IF(B16&gt;=1500,"Medium","Low"))</f>
        <v>Low</v>
      </c>
      <c r="C20" s="2" t="str">
        <f t="shared" si="24"/>
        <v>Low</v>
      </c>
      <c r="D20" s="2" t="str">
        <f t="shared" si="24"/>
        <v>High</v>
      </c>
      <c r="E20" s="2" t="str">
        <f t="shared" si="24"/>
        <v>Low</v>
      </c>
      <c r="F20" s="2" t="str">
        <f t="shared" si="24"/>
        <v>High</v>
      </c>
      <c r="G20" s="2" t="str">
        <f t="shared" si="24"/>
        <v>Low</v>
      </c>
      <c r="H20" s="2" t="str">
        <f t="shared" si="24"/>
        <v>Medium</v>
      </c>
      <c r="I20" s="2" t="str">
        <f t="shared" si="24"/>
        <v>Low</v>
      </c>
      <c r="J20" s="2" t="str">
        <f t="shared" si="24"/>
        <v>Low</v>
      </c>
      <c r="K20" s="2" t="str">
        <f t="shared" si="24"/>
        <v>Medium</v>
      </c>
      <c r="L20" s="2" t="str">
        <f t="shared" si="24"/>
        <v>Low</v>
      </c>
      <c r="M20" s="2" t="str">
        <f t="shared" si="24"/>
        <v>Low</v>
      </c>
      <c r="N20" s="2" t="str">
        <f t="shared" si="24"/>
        <v>Low</v>
      </c>
      <c r="O20" s="2" t="str">
        <f t="shared" si="24"/>
        <v>Low</v>
      </c>
      <c r="P20" s="2" t="str">
        <f t="shared" si="24"/>
        <v>Low</v>
      </c>
      <c r="Q20" s="2" t="str">
        <f t="shared" si="24"/>
        <v>Low</v>
      </c>
      <c r="R20" s="2" t="str">
        <f t="shared" si="24"/>
        <v>Low</v>
      </c>
      <c r="S20" s="2" t="str">
        <f t="shared" si="24"/>
        <v>Low</v>
      </c>
      <c r="T20" s="2" t="str">
        <f t="shared" si="24"/>
        <v>Low</v>
      </c>
      <c r="U20" s="2" t="str">
        <f t="shared" si="24"/>
        <v>Low</v>
      </c>
      <c r="V20" s="2" t="str">
        <f t="shared" si="24"/>
        <v>Low</v>
      </c>
      <c r="W20" s="2" t="str">
        <f t="shared" si="24"/>
        <v>Low</v>
      </c>
      <c r="X20" s="2" t="str">
        <f t="shared" si="24"/>
        <v>Low</v>
      </c>
      <c r="Y20" s="2" t="str">
        <f t="shared" si="24"/>
        <v>Low</v>
      </c>
      <c r="Z20" s="2" t="str">
        <f t="shared" si="24"/>
        <v>Low</v>
      </c>
      <c r="AA20" s="2" t="str">
        <f t="shared" si="24"/>
        <v>Low</v>
      </c>
      <c r="AB20" s="2" t="str">
        <f t="shared" si="24"/>
        <v>Low</v>
      </c>
      <c r="AC20" s="2" t="str">
        <f t="shared" si="24"/>
        <v>High</v>
      </c>
      <c r="AD20" s="2" t="str">
        <f t="shared" si="24"/>
        <v>Low</v>
      </c>
      <c r="AE20" s="2" t="str">
        <f t="shared" si="24"/>
        <v>Low</v>
      </c>
      <c r="AF20" s="2" t="str">
        <f t="shared" si="24"/>
        <v>Medium</v>
      </c>
      <c r="AG20" s="2" t="str">
        <f t="shared" si="24"/>
        <v>Low</v>
      </c>
      <c r="AH20" s="2" t="str">
        <f t="shared" si="24"/>
        <v>High</v>
      </c>
      <c r="AI20" s="2" t="str">
        <f t="shared" si="24"/>
        <v>Low</v>
      </c>
      <c r="AJ20" s="2" t="str">
        <f t="shared" si="24"/>
        <v>Low</v>
      </c>
      <c r="AK20" s="2" t="str">
        <f t="shared" si="24"/>
        <v>Low</v>
      </c>
      <c r="AL20" s="2" t="str">
        <f t="shared" si="24"/>
        <v>Low</v>
      </c>
      <c r="AM20" s="2" t="str">
        <f t="shared" si="24"/>
        <v>Low</v>
      </c>
      <c r="AN20" s="2" t="str">
        <f t="shared" si="24"/>
        <v>Medium</v>
      </c>
      <c r="AO20" s="2" t="str">
        <f t="shared" si="24"/>
        <v>Medium</v>
      </c>
      <c r="AP20" s="2" t="str">
        <f t="shared" si="24"/>
        <v>Low</v>
      </c>
      <c r="AQ20" s="2" t="str">
        <f t="shared" si="24"/>
        <v>Low</v>
      </c>
      <c r="AR20" s="2" t="str">
        <f t="shared" si="24"/>
        <v>Low</v>
      </c>
      <c r="AS20" s="2" t="str">
        <f t="shared" si="24"/>
        <v>Low</v>
      </c>
      <c r="AT20" s="2" t="str">
        <f t="shared" si="24"/>
        <v>Low</v>
      </c>
      <c r="AU20" s="2" t="str">
        <f t="shared" si="24"/>
        <v>Low</v>
      </c>
      <c r="AV20" s="2" t="str">
        <f t="shared" si="24"/>
        <v>Low</v>
      </c>
      <c r="AW20" s="2" t="str">
        <f t="shared" si="24"/>
        <v>Low</v>
      </c>
      <c r="AX20" s="2" t="str">
        <f t="shared" si="24"/>
        <v>High</v>
      </c>
      <c r="AY20" s="2" t="str">
        <f t="shared" si="24"/>
        <v>Medium</v>
      </c>
      <c r="AZ20" s="2" t="str">
        <f t="shared" si="24"/>
        <v>Low</v>
      </c>
      <c r="BA20" s="2" t="str">
        <f t="shared" si="24"/>
        <v>Low</v>
      </c>
      <c r="BB20" s="2" t="str">
        <f t="shared" si="24"/>
        <v>Low</v>
      </c>
      <c r="BC20" s="2" t="str">
        <f t="shared" si="24"/>
        <v>Low</v>
      </c>
      <c r="BD20" s="2" t="str">
        <f t="shared" si="24"/>
        <v>High</v>
      </c>
      <c r="BE20" s="2" t="str">
        <f t="shared" si="24"/>
        <v>Medium</v>
      </c>
      <c r="BF20" s="2" t="str">
        <f t="shared" si="24"/>
        <v>Low</v>
      </c>
      <c r="BG20" s="2" t="str">
        <f t="shared" si="24"/>
        <v>High</v>
      </c>
      <c r="BH20" s="2" t="str">
        <f t="shared" si="24"/>
        <v>Low</v>
      </c>
      <c r="BI20" s="2" t="str">
        <f t="shared" si="24"/>
        <v>Medium</v>
      </c>
      <c r="BJ20" s="2" t="str">
        <f t="shared" si="24"/>
        <v>Low</v>
      </c>
      <c r="BK20" s="2" t="str">
        <f t="shared" si="24"/>
        <v>Low</v>
      </c>
      <c r="BL20" s="2" t="str">
        <f t="shared" si="24"/>
        <v>Medium</v>
      </c>
      <c r="BM20" s="2" t="str">
        <f t="shared" si="24"/>
        <v>Low</v>
      </c>
      <c r="BN20" s="2" t="str">
        <f t="shared" ref="BN20:DY20" si="25">IF(BN16&gt;=3000,"High",IF(BN16&gt;=1500,"Medium","Low"))</f>
        <v>Low</v>
      </c>
      <c r="BO20" s="2" t="str">
        <f t="shared" si="25"/>
        <v>Low</v>
      </c>
      <c r="BP20" s="2" t="str">
        <f t="shared" si="25"/>
        <v>Medium</v>
      </c>
      <c r="BQ20" s="2" t="str">
        <f t="shared" si="25"/>
        <v>Low</v>
      </c>
      <c r="BR20" s="2" t="str">
        <f t="shared" si="25"/>
        <v>Low</v>
      </c>
      <c r="BS20" s="2" t="str">
        <f t="shared" si="25"/>
        <v>Low</v>
      </c>
      <c r="BT20" s="2" t="str">
        <f t="shared" si="25"/>
        <v>Low</v>
      </c>
      <c r="BU20" s="2" t="str">
        <f t="shared" si="25"/>
        <v>Low</v>
      </c>
      <c r="BV20" s="2" t="str">
        <f t="shared" si="25"/>
        <v>Low</v>
      </c>
      <c r="BW20" s="2" t="str">
        <f t="shared" si="25"/>
        <v>Low</v>
      </c>
      <c r="BX20" s="2" t="str">
        <f t="shared" si="25"/>
        <v>Medium</v>
      </c>
      <c r="BY20" s="2" t="str">
        <f t="shared" si="25"/>
        <v>Low</v>
      </c>
      <c r="BZ20" s="2" t="str">
        <f t="shared" si="25"/>
        <v>Low</v>
      </c>
      <c r="CA20" s="2" t="str">
        <f t="shared" si="25"/>
        <v>Low</v>
      </c>
      <c r="CB20" s="2" t="str">
        <f t="shared" si="25"/>
        <v>Low</v>
      </c>
      <c r="CC20" s="2" t="str">
        <f t="shared" si="25"/>
        <v>Low</v>
      </c>
      <c r="CD20" s="2" t="str">
        <f t="shared" si="25"/>
        <v>Low</v>
      </c>
      <c r="CE20" s="2" t="str">
        <f t="shared" si="25"/>
        <v>Low</v>
      </c>
      <c r="CF20" s="2" t="str">
        <f t="shared" si="25"/>
        <v>Low</v>
      </c>
      <c r="CG20" s="2" t="str">
        <f t="shared" si="25"/>
        <v>Medium</v>
      </c>
      <c r="CH20" s="2" t="str">
        <f t="shared" si="25"/>
        <v>Medium</v>
      </c>
      <c r="CI20" s="2" t="str">
        <f t="shared" si="25"/>
        <v>Low</v>
      </c>
      <c r="CJ20" s="2" t="str">
        <f t="shared" si="25"/>
        <v>High</v>
      </c>
      <c r="CK20" s="2" t="str">
        <f t="shared" si="25"/>
        <v>Low</v>
      </c>
      <c r="CL20" s="2" t="str">
        <f t="shared" si="25"/>
        <v>Low</v>
      </c>
      <c r="CM20" s="2" t="str">
        <f t="shared" si="25"/>
        <v>Low</v>
      </c>
      <c r="CN20" s="2" t="str">
        <f t="shared" si="25"/>
        <v>Low</v>
      </c>
      <c r="CO20" s="2" t="str">
        <f t="shared" si="25"/>
        <v>Low</v>
      </c>
      <c r="CP20" s="2" t="str">
        <f t="shared" si="25"/>
        <v>Low</v>
      </c>
      <c r="CQ20" s="2" t="str">
        <f t="shared" si="25"/>
        <v>Medium</v>
      </c>
      <c r="CR20" s="2" t="str">
        <f t="shared" si="25"/>
        <v>Medium</v>
      </c>
      <c r="CS20" s="2" t="str">
        <f t="shared" si="25"/>
        <v>Low</v>
      </c>
      <c r="CT20" s="2" t="str">
        <f t="shared" si="25"/>
        <v>High</v>
      </c>
      <c r="CU20" s="2" t="str">
        <f t="shared" si="25"/>
        <v>Low</v>
      </c>
      <c r="CV20" s="2" t="str">
        <f t="shared" si="25"/>
        <v>Low</v>
      </c>
      <c r="CW20" s="2" t="str">
        <f t="shared" si="25"/>
        <v>Low</v>
      </c>
      <c r="CX20" s="2" t="str">
        <f t="shared" si="25"/>
        <v>Low</v>
      </c>
      <c r="CY20" s="2" t="str">
        <f t="shared" si="25"/>
        <v>Medium</v>
      </c>
      <c r="CZ20" s="2" t="str">
        <f t="shared" si="25"/>
        <v>Low</v>
      </c>
      <c r="DA20" s="2" t="str">
        <f t="shared" si="25"/>
        <v>Low</v>
      </c>
      <c r="DB20" s="2" t="str">
        <f t="shared" si="25"/>
        <v>Medium</v>
      </c>
      <c r="DC20" s="2" t="str">
        <f t="shared" si="25"/>
        <v>Low</v>
      </c>
      <c r="DD20" s="2" t="str">
        <f t="shared" si="25"/>
        <v>Low</v>
      </c>
      <c r="DE20" s="2" t="str">
        <f t="shared" si="25"/>
        <v>Low</v>
      </c>
      <c r="DF20" s="2" t="str">
        <f t="shared" si="25"/>
        <v>High</v>
      </c>
      <c r="DG20" s="2" t="str">
        <f t="shared" si="25"/>
        <v>Low</v>
      </c>
      <c r="DH20" s="2" t="str">
        <f t="shared" si="25"/>
        <v>Low</v>
      </c>
      <c r="DI20" s="2" t="str">
        <f t="shared" si="25"/>
        <v>Low</v>
      </c>
      <c r="DJ20" s="2" t="str">
        <f t="shared" si="25"/>
        <v>Low</v>
      </c>
      <c r="DK20" s="2" t="str">
        <f t="shared" si="25"/>
        <v>Low</v>
      </c>
      <c r="DL20" s="2" t="str">
        <f t="shared" si="25"/>
        <v>Low</v>
      </c>
      <c r="DM20" s="2" t="str">
        <f t="shared" si="25"/>
        <v>Low</v>
      </c>
      <c r="DN20" s="2" t="str">
        <f t="shared" si="25"/>
        <v>Low</v>
      </c>
      <c r="DO20" s="2" t="str">
        <f t="shared" si="25"/>
        <v>Low</v>
      </c>
      <c r="DP20" s="2" t="str">
        <f t="shared" si="25"/>
        <v>Low</v>
      </c>
      <c r="DQ20" s="2" t="str">
        <f t="shared" si="25"/>
        <v>Low</v>
      </c>
      <c r="DR20" s="2" t="str">
        <f t="shared" si="25"/>
        <v>Low</v>
      </c>
      <c r="DS20" s="2" t="str">
        <f t="shared" si="25"/>
        <v>Low</v>
      </c>
      <c r="DT20" s="2" t="str">
        <f t="shared" si="25"/>
        <v>Medium</v>
      </c>
      <c r="DU20" s="2" t="str">
        <f t="shared" si="25"/>
        <v>Low</v>
      </c>
      <c r="DV20" s="2" t="str">
        <f t="shared" si="25"/>
        <v>Low</v>
      </c>
      <c r="DW20" s="2" t="str">
        <f t="shared" si="25"/>
        <v>Low</v>
      </c>
      <c r="DX20" s="2" t="str">
        <f t="shared" si="25"/>
        <v>Low</v>
      </c>
      <c r="DY20" s="2" t="str">
        <f t="shared" si="25"/>
        <v>Low</v>
      </c>
      <c r="DZ20" s="2" t="str">
        <f t="shared" ref="DZ20:GK20" si="26">IF(DZ16&gt;=3000,"High",IF(DZ16&gt;=1500,"Medium","Low"))</f>
        <v>Low</v>
      </c>
      <c r="EA20" s="2" t="str">
        <f t="shared" si="26"/>
        <v>Medium</v>
      </c>
      <c r="EB20" s="2" t="str">
        <f t="shared" si="26"/>
        <v>Low</v>
      </c>
      <c r="EC20" s="2" t="str">
        <f t="shared" si="26"/>
        <v>Low</v>
      </c>
      <c r="ED20" s="2" t="str">
        <f t="shared" si="26"/>
        <v>Low</v>
      </c>
      <c r="EE20" s="2" t="str">
        <f t="shared" si="26"/>
        <v>High</v>
      </c>
      <c r="EF20" s="2" t="str">
        <f t="shared" si="26"/>
        <v>Low</v>
      </c>
      <c r="EG20" s="2" t="str">
        <f t="shared" si="26"/>
        <v>Low</v>
      </c>
      <c r="EH20" s="2" t="str">
        <f t="shared" si="26"/>
        <v>Low</v>
      </c>
      <c r="EI20" s="2" t="str">
        <f t="shared" si="26"/>
        <v>Low</v>
      </c>
      <c r="EJ20" s="2" t="str">
        <f t="shared" si="26"/>
        <v>High</v>
      </c>
      <c r="EK20" s="2" t="str">
        <f t="shared" si="26"/>
        <v>Low</v>
      </c>
      <c r="EL20" s="2" t="str">
        <f t="shared" si="26"/>
        <v>Low</v>
      </c>
      <c r="EM20" s="2" t="str">
        <f t="shared" si="26"/>
        <v>Low</v>
      </c>
      <c r="EN20" s="2" t="str">
        <f t="shared" si="26"/>
        <v>Low</v>
      </c>
      <c r="EO20" s="2" t="str">
        <f t="shared" si="26"/>
        <v>Low</v>
      </c>
      <c r="EP20" s="2" t="str">
        <f t="shared" si="26"/>
        <v>Low</v>
      </c>
      <c r="EQ20" s="2" t="str">
        <f t="shared" si="26"/>
        <v>Low</v>
      </c>
      <c r="ER20" s="2" t="str">
        <f t="shared" si="26"/>
        <v>High</v>
      </c>
      <c r="ES20" s="2" t="str">
        <f t="shared" si="26"/>
        <v>Low</v>
      </c>
      <c r="ET20" s="2" t="str">
        <f t="shared" si="26"/>
        <v>Low</v>
      </c>
      <c r="EU20" s="2" t="str">
        <f t="shared" si="26"/>
        <v>Low</v>
      </c>
      <c r="EV20" s="2" t="str">
        <f t="shared" si="26"/>
        <v>Low</v>
      </c>
      <c r="EW20" s="2" t="str">
        <f t="shared" si="26"/>
        <v>Low</v>
      </c>
      <c r="EX20" s="2" t="str">
        <f t="shared" si="26"/>
        <v>Low</v>
      </c>
      <c r="EY20" s="2" t="str">
        <f t="shared" si="26"/>
        <v>Medium</v>
      </c>
      <c r="EZ20" s="2" t="str">
        <f t="shared" si="26"/>
        <v>Low</v>
      </c>
      <c r="FA20" s="2" t="str">
        <f t="shared" si="26"/>
        <v>Medium</v>
      </c>
      <c r="FB20" s="2" t="str">
        <f t="shared" si="26"/>
        <v>Low</v>
      </c>
      <c r="FC20" s="2" t="str">
        <f t="shared" si="26"/>
        <v>Low</v>
      </c>
      <c r="FD20" s="2" t="str">
        <f t="shared" si="26"/>
        <v>Medium</v>
      </c>
      <c r="FE20" s="2" t="str">
        <f t="shared" si="26"/>
        <v>High</v>
      </c>
      <c r="FF20" s="2" t="str">
        <f t="shared" si="26"/>
        <v>Low</v>
      </c>
      <c r="FG20" s="2" t="str">
        <f t="shared" si="26"/>
        <v>Low</v>
      </c>
      <c r="FH20" s="2" t="str">
        <f t="shared" si="26"/>
        <v>Medium</v>
      </c>
      <c r="FI20" s="2" t="str">
        <f t="shared" si="26"/>
        <v>Low</v>
      </c>
      <c r="FJ20" s="2" t="str">
        <f t="shared" si="26"/>
        <v>Low</v>
      </c>
      <c r="FK20" s="2" t="str">
        <f t="shared" si="26"/>
        <v>Medium</v>
      </c>
      <c r="FL20" s="2" t="str">
        <f t="shared" si="26"/>
        <v>Medium</v>
      </c>
      <c r="FM20" s="2" t="str">
        <f t="shared" si="26"/>
        <v>Low</v>
      </c>
      <c r="FN20" s="2" t="str">
        <f t="shared" si="26"/>
        <v>Medium</v>
      </c>
      <c r="FO20" s="2" t="str">
        <f t="shared" si="26"/>
        <v>Low</v>
      </c>
      <c r="FP20" s="2" t="str">
        <f t="shared" si="26"/>
        <v>Low</v>
      </c>
      <c r="FQ20" s="2" t="str">
        <f t="shared" si="26"/>
        <v>Low</v>
      </c>
      <c r="FR20" s="2" t="str">
        <f t="shared" si="26"/>
        <v>Low</v>
      </c>
      <c r="FS20" s="2" t="str">
        <f t="shared" si="26"/>
        <v>Low</v>
      </c>
      <c r="FT20" s="2" t="str">
        <f t="shared" si="26"/>
        <v>Low</v>
      </c>
      <c r="FU20" s="2" t="str">
        <f t="shared" si="26"/>
        <v>Low</v>
      </c>
      <c r="FV20" s="2" t="str">
        <f t="shared" si="26"/>
        <v>Low</v>
      </c>
      <c r="FW20" s="2" t="str">
        <f t="shared" si="26"/>
        <v>Low</v>
      </c>
      <c r="FX20" s="2" t="str">
        <f t="shared" si="26"/>
        <v>Low</v>
      </c>
      <c r="FY20" s="2" t="str">
        <f t="shared" si="26"/>
        <v>Low</v>
      </c>
      <c r="FZ20" s="2" t="str">
        <f t="shared" si="26"/>
        <v>Low</v>
      </c>
      <c r="GA20" s="2" t="str">
        <f t="shared" si="26"/>
        <v>Low</v>
      </c>
      <c r="GB20" s="2" t="str">
        <f t="shared" si="26"/>
        <v>Low</v>
      </c>
      <c r="GC20" s="2" t="str">
        <f t="shared" si="26"/>
        <v>Low</v>
      </c>
      <c r="GD20" s="2" t="str">
        <f t="shared" si="26"/>
        <v>High</v>
      </c>
      <c r="GE20" s="2" t="str">
        <f t="shared" si="26"/>
        <v>Low</v>
      </c>
      <c r="GF20" s="2" t="str">
        <f t="shared" si="26"/>
        <v>Low</v>
      </c>
      <c r="GG20" s="2" t="str">
        <f t="shared" si="26"/>
        <v>Medium</v>
      </c>
      <c r="GH20" s="2" t="str">
        <f t="shared" si="26"/>
        <v>Medium</v>
      </c>
      <c r="GI20" s="2" t="str">
        <f t="shared" si="26"/>
        <v>High</v>
      </c>
      <c r="GJ20" s="2" t="str">
        <f t="shared" si="26"/>
        <v>Medium</v>
      </c>
      <c r="GK20" s="2" t="str">
        <f t="shared" si="26"/>
        <v>Low</v>
      </c>
      <c r="GL20" s="2" t="str">
        <f t="shared" ref="GL20:IW20" si="27">IF(GL16&gt;=3000,"High",IF(GL16&gt;=1500,"Medium","Low"))</f>
        <v>Low</v>
      </c>
      <c r="GM20" s="2" t="str">
        <f t="shared" si="27"/>
        <v>Low</v>
      </c>
      <c r="GN20" s="2" t="str">
        <f t="shared" si="27"/>
        <v>Low</v>
      </c>
      <c r="GO20" s="2" t="str">
        <f t="shared" si="27"/>
        <v>Medium</v>
      </c>
      <c r="GP20" s="2" t="str">
        <f t="shared" si="27"/>
        <v>Low</v>
      </c>
      <c r="GQ20" s="2" t="str">
        <f t="shared" si="27"/>
        <v>Low</v>
      </c>
      <c r="GR20" s="2" t="str">
        <f t="shared" si="27"/>
        <v>Medium</v>
      </c>
      <c r="GS20" s="2" t="str">
        <f t="shared" si="27"/>
        <v>Low</v>
      </c>
      <c r="GT20" s="2" t="str">
        <f t="shared" si="27"/>
        <v>Low</v>
      </c>
      <c r="GU20" s="2" t="str">
        <f t="shared" si="27"/>
        <v>Low</v>
      </c>
      <c r="GV20" s="2" t="str">
        <f t="shared" si="27"/>
        <v>Low</v>
      </c>
      <c r="GW20" s="2" t="str">
        <f t="shared" si="27"/>
        <v>Low</v>
      </c>
      <c r="GX20" s="2" t="str">
        <f t="shared" si="27"/>
        <v>Low</v>
      </c>
      <c r="GY20" s="2" t="str">
        <f t="shared" si="27"/>
        <v>Medium</v>
      </c>
      <c r="GZ20" s="2" t="str">
        <f t="shared" si="27"/>
        <v>Low</v>
      </c>
      <c r="HA20" s="2" t="str">
        <f t="shared" si="27"/>
        <v>Low</v>
      </c>
      <c r="HB20" s="2" t="str">
        <f t="shared" si="27"/>
        <v>Low</v>
      </c>
      <c r="HC20" s="2" t="str">
        <f t="shared" si="27"/>
        <v>Low</v>
      </c>
      <c r="HD20" s="2" t="str">
        <f t="shared" si="27"/>
        <v>Low</v>
      </c>
      <c r="HE20" s="2" t="str">
        <f t="shared" si="27"/>
        <v>Low</v>
      </c>
      <c r="HF20" s="2" t="str">
        <f t="shared" si="27"/>
        <v>Medium</v>
      </c>
      <c r="HG20" s="2" t="str">
        <f t="shared" si="27"/>
        <v>Low</v>
      </c>
      <c r="HH20" s="2" t="str">
        <f t="shared" si="27"/>
        <v>Medium</v>
      </c>
      <c r="HI20" s="2" t="str">
        <f t="shared" si="27"/>
        <v>High</v>
      </c>
      <c r="HJ20" s="2" t="str">
        <f t="shared" si="27"/>
        <v>Low</v>
      </c>
      <c r="HK20" s="2" t="str">
        <f t="shared" si="27"/>
        <v>Medium</v>
      </c>
      <c r="HL20" s="2" t="str">
        <f t="shared" si="27"/>
        <v>Low</v>
      </c>
      <c r="HM20" s="2" t="str">
        <f t="shared" si="27"/>
        <v>Medium</v>
      </c>
      <c r="HN20" s="2" t="str">
        <f t="shared" si="27"/>
        <v>Low</v>
      </c>
      <c r="HO20" s="2" t="str">
        <f t="shared" si="27"/>
        <v>Low</v>
      </c>
      <c r="HP20" s="2" t="str">
        <f t="shared" si="27"/>
        <v>Low</v>
      </c>
      <c r="HQ20" s="2" t="str">
        <f t="shared" si="27"/>
        <v>Low</v>
      </c>
      <c r="HR20" s="2" t="str">
        <f t="shared" si="27"/>
        <v>Medium</v>
      </c>
      <c r="HS20" s="2" t="str">
        <f t="shared" si="27"/>
        <v>Low</v>
      </c>
      <c r="HT20" s="2" t="str">
        <f t="shared" si="27"/>
        <v>Low</v>
      </c>
      <c r="HU20" s="2" t="str">
        <f t="shared" si="27"/>
        <v>Medium</v>
      </c>
      <c r="HV20" s="2" t="str">
        <f t="shared" si="27"/>
        <v>Low</v>
      </c>
      <c r="HW20" s="2" t="str">
        <f t="shared" si="27"/>
        <v>Low</v>
      </c>
      <c r="HX20" s="2" t="str">
        <f t="shared" si="27"/>
        <v>High</v>
      </c>
      <c r="HY20" s="2" t="str">
        <f t="shared" si="27"/>
        <v>Medium</v>
      </c>
      <c r="HZ20" s="2" t="str">
        <f t="shared" si="27"/>
        <v>Low</v>
      </c>
      <c r="IA20" s="2" t="str">
        <f t="shared" si="27"/>
        <v>Low</v>
      </c>
      <c r="IB20" s="2" t="str">
        <f t="shared" si="27"/>
        <v>Low</v>
      </c>
      <c r="IC20" s="2" t="str">
        <f t="shared" si="27"/>
        <v>Low</v>
      </c>
      <c r="ID20" s="2" t="str">
        <f t="shared" si="27"/>
        <v>Low</v>
      </c>
      <c r="IE20" s="2" t="str">
        <f t="shared" si="27"/>
        <v>High</v>
      </c>
      <c r="IF20" s="2" t="str">
        <f t="shared" si="27"/>
        <v>Low</v>
      </c>
      <c r="IG20" s="2" t="str">
        <f t="shared" si="27"/>
        <v>Low</v>
      </c>
      <c r="IH20" s="2" t="str">
        <f t="shared" si="27"/>
        <v>Low</v>
      </c>
      <c r="II20" s="2" t="str">
        <f t="shared" si="27"/>
        <v>Medium</v>
      </c>
      <c r="IJ20" s="2" t="str">
        <f t="shared" si="27"/>
        <v>Medium</v>
      </c>
      <c r="IK20" s="2" t="str">
        <f t="shared" si="27"/>
        <v>Medium</v>
      </c>
      <c r="IL20" s="2" t="str">
        <f t="shared" si="27"/>
        <v>Low</v>
      </c>
      <c r="IM20" s="2" t="str">
        <f t="shared" si="27"/>
        <v>Low</v>
      </c>
      <c r="IN20" s="2" t="str">
        <f t="shared" si="27"/>
        <v>Low</v>
      </c>
      <c r="IO20" s="2" t="str">
        <f t="shared" si="27"/>
        <v>Low</v>
      </c>
      <c r="IP20" s="2" t="str">
        <f t="shared" si="27"/>
        <v>Low</v>
      </c>
      <c r="IQ20" s="2" t="str">
        <f t="shared" si="27"/>
        <v>Medium</v>
      </c>
      <c r="IR20" s="2" t="str">
        <f t="shared" si="27"/>
        <v>Low</v>
      </c>
      <c r="IS20" s="2" t="str">
        <f t="shared" si="27"/>
        <v>Low</v>
      </c>
      <c r="IT20" s="2" t="str">
        <f t="shared" si="27"/>
        <v>Low</v>
      </c>
      <c r="IU20" s="2" t="str">
        <f t="shared" si="27"/>
        <v>Low</v>
      </c>
      <c r="IV20" s="2" t="str">
        <f t="shared" si="27"/>
        <v>Low</v>
      </c>
      <c r="IW20" s="2" t="str">
        <f t="shared" si="27"/>
        <v>Low</v>
      </c>
      <c r="IX20" s="2" t="str">
        <f t="shared" ref="IX20:LI20" si="28">IF(IX16&gt;=3000,"High",IF(IX16&gt;=1500,"Medium","Low"))</f>
        <v>Low</v>
      </c>
      <c r="IY20" s="2" t="str">
        <f t="shared" si="28"/>
        <v>Low</v>
      </c>
      <c r="IZ20" s="2" t="str">
        <f t="shared" si="28"/>
        <v>Low</v>
      </c>
      <c r="JA20" s="2" t="str">
        <f t="shared" si="28"/>
        <v>High</v>
      </c>
      <c r="JB20" s="2" t="str">
        <f t="shared" si="28"/>
        <v>Medium</v>
      </c>
      <c r="JC20" s="2" t="str">
        <f t="shared" si="28"/>
        <v>Low</v>
      </c>
      <c r="JD20" s="2" t="str">
        <f t="shared" si="28"/>
        <v>Low</v>
      </c>
      <c r="JE20" s="2" t="str">
        <f t="shared" si="28"/>
        <v>Low</v>
      </c>
      <c r="JF20" s="2" t="str">
        <f t="shared" si="28"/>
        <v>High</v>
      </c>
      <c r="JG20" s="2" t="str">
        <f t="shared" si="28"/>
        <v>Low</v>
      </c>
      <c r="JH20" s="2" t="str">
        <f t="shared" si="28"/>
        <v>High</v>
      </c>
      <c r="JI20" s="2" t="str">
        <f t="shared" si="28"/>
        <v>Low</v>
      </c>
      <c r="JJ20" s="2" t="str">
        <f t="shared" si="28"/>
        <v>Low</v>
      </c>
      <c r="JK20" s="2" t="str">
        <f t="shared" si="28"/>
        <v>Low</v>
      </c>
      <c r="JL20" s="2" t="str">
        <f t="shared" si="28"/>
        <v>Low</v>
      </c>
      <c r="JM20" s="2" t="str">
        <f t="shared" si="28"/>
        <v>Low</v>
      </c>
      <c r="JN20" s="2" t="str">
        <f t="shared" si="28"/>
        <v>High</v>
      </c>
      <c r="JO20" s="2" t="str">
        <f t="shared" si="28"/>
        <v>Low</v>
      </c>
      <c r="JP20" s="2" t="str">
        <f t="shared" si="28"/>
        <v>Low</v>
      </c>
      <c r="JQ20" s="2" t="str">
        <f t="shared" si="28"/>
        <v>Low</v>
      </c>
      <c r="JR20" s="2" t="str">
        <f t="shared" si="28"/>
        <v>Low</v>
      </c>
      <c r="JS20" s="2" t="str">
        <f t="shared" si="28"/>
        <v>Low</v>
      </c>
      <c r="JT20" s="2" t="str">
        <f t="shared" si="28"/>
        <v>Low</v>
      </c>
      <c r="JU20" s="2" t="str">
        <f t="shared" si="28"/>
        <v>Low</v>
      </c>
      <c r="JV20" s="2" t="str">
        <f t="shared" si="28"/>
        <v>Medium</v>
      </c>
      <c r="JW20" s="2" t="str">
        <f t="shared" si="28"/>
        <v>Low</v>
      </c>
      <c r="JX20" s="2" t="str">
        <f t="shared" si="28"/>
        <v>Low</v>
      </c>
      <c r="JY20" s="2" t="str">
        <f t="shared" si="28"/>
        <v>Low</v>
      </c>
      <c r="JZ20" s="2" t="str">
        <f t="shared" si="28"/>
        <v>Low</v>
      </c>
      <c r="KA20" s="2" t="str">
        <f t="shared" si="28"/>
        <v>Low</v>
      </c>
      <c r="KB20" s="2" t="str">
        <f t="shared" si="28"/>
        <v>Low</v>
      </c>
      <c r="KC20" s="2" t="str">
        <f t="shared" si="28"/>
        <v>Medium</v>
      </c>
      <c r="KD20" s="2" t="str">
        <f t="shared" si="28"/>
        <v>Low</v>
      </c>
      <c r="KE20" s="2" t="str">
        <f t="shared" si="28"/>
        <v>High</v>
      </c>
      <c r="KF20" s="2" t="str">
        <f t="shared" si="28"/>
        <v>Low</v>
      </c>
      <c r="KG20" s="2" t="str">
        <f t="shared" si="28"/>
        <v>Medium</v>
      </c>
      <c r="KH20" s="2" t="str">
        <f t="shared" si="28"/>
        <v>Low</v>
      </c>
      <c r="KI20" s="2" t="str">
        <f t="shared" si="28"/>
        <v>High</v>
      </c>
      <c r="KJ20" s="2" t="str">
        <f t="shared" si="28"/>
        <v>Low</v>
      </c>
      <c r="KK20" s="2" t="str">
        <f t="shared" si="28"/>
        <v>Low</v>
      </c>
      <c r="KL20" s="2" t="str">
        <f t="shared" si="28"/>
        <v>High</v>
      </c>
      <c r="KM20" s="2" t="str">
        <f t="shared" si="28"/>
        <v>Low</v>
      </c>
      <c r="KN20" s="2" t="str">
        <f t="shared" si="28"/>
        <v>High</v>
      </c>
      <c r="KO20" s="2" t="str">
        <f t="shared" si="28"/>
        <v>Low</v>
      </c>
      <c r="KP20" s="2" t="str">
        <f t="shared" si="28"/>
        <v>Low</v>
      </c>
      <c r="KQ20" s="2" t="str">
        <f t="shared" si="28"/>
        <v>Medium</v>
      </c>
      <c r="KR20" s="2" t="str">
        <f t="shared" si="28"/>
        <v>Low</v>
      </c>
      <c r="KS20" s="2" t="str">
        <f t="shared" si="28"/>
        <v>Low</v>
      </c>
      <c r="KT20" s="2" t="str">
        <f t="shared" si="28"/>
        <v>Low</v>
      </c>
      <c r="KU20" s="2" t="str">
        <f t="shared" si="28"/>
        <v>Low</v>
      </c>
      <c r="KV20" s="2" t="str">
        <f t="shared" si="28"/>
        <v>Medium</v>
      </c>
      <c r="KW20" s="2" t="str">
        <f t="shared" si="28"/>
        <v>Low</v>
      </c>
      <c r="KX20" s="2" t="str">
        <f t="shared" si="28"/>
        <v>Low</v>
      </c>
      <c r="KY20" s="2" t="str">
        <f t="shared" si="28"/>
        <v>Medium</v>
      </c>
      <c r="KZ20" s="2" t="str">
        <f t="shared" si="28"/>
        <v>Low</v>
      </c>
      <c r="LA20" s="2" t="str">
        <f t="shared" si="28"/>
        <v>Low</v>
      </c>
      <c r="LB20" s="2" t="str">
        <f t="shared" si="28"/>
        <v>Low</v>
      </c>
      <c r="LC20" s="2" t="str">
        <f t="shared" si="28"/>
        <v>Medium</v>
      </c>
      <c r="LD20" s="2" t="str">
        <f t="shared" si="28"/>
        <v>Low</v>
      </c>
      <c r="LE20" s="2" t="str">
        <f t="shared" si="28"/>
        <v>Low</v>
      </c>
      <c r="LF20" s="2" t="str">
        <f t="shared" si="28"/>
        <v>Medium</v>
      </c>
      <c r="LG20" s="2" t="str">
        <f t="shared" si="28"/>
        <v>Low</v>
      </c>
      <c r="LH20" s="2" t="str">
        <f t="shared" si="28"/>
        <v>Low</v>
      </c>
      <c r="LI20" s="2" t="str">
        <f t="shared" si="28"/>
        <v>Low</v>
      </c>
      <c r="LJ20" s="2" t="str">
        <f t="shared" ref="LJ20:NI20" si="29">IF(LJ16&gt;=3000,"High",IF(LJ16&gt;=1500,"Medium","Low"))</f>
        <v>Low</v>
      </c>
      <c r="LK20" s="2" t="str">
        <f t="shared" si="29"/>
        <v>Low</v>
      </c>
      <c r="LL20" s="2" t="str">
        <f t="shared" si="29"/>
        <v>High</v>
      </c>
      <c r="LM20" s="2" t="str">
        <f t="shared" si="29"/>
        <v>Low</v>
      </c>
      <c r="LN20" s="2" t="str">
        <f t="shared" si="29"/>
        <v>Low</v>
      </c>
      <c r="LO20" s="2" t="str">
        <f t="shared" si="29"/>
        <v>Low</v>
      </c>
      <c r="LP20" s="2" t="str">
        <f t="shared" si="29"/>
        <v>Low</v>
      </c>
      <c r="LQ20" s="2" t="str">
        <f t="shared" si="29"/>
        <v>Low</v>
      </c>
      <c r="LR20" s="2" t="str">
        <f t="shared" si="29"/>
        <v>High</v>
      </c>
      <c r="LS20" s="2" t="str">
        <f t="shared" si="29"/>
        <v>Low</v>
      </c>
      <c r="LT20" s="2" t="str">
        <f t="shared" si="29"/>
        <v>High</v>
      </c>
      <c r="LU20" s="2" t="str">
        <f t="shared" si="29"/>
        <v>Low</v>
      </c>
      <c r="LV20" s="2" t="str">
        <f t="shared" si="29"/>
        <v>Medium</v>
      </c>
      <c r="LW20" s="2" t="str">
        <f t="shared" si="29"/>
        <v>Low</v>
      </c>
      <c r="LX20" s="2" t="str">
        <f t="shared" si="29"/>
        <v>Low</v>
      </c>
      <c r="LY20" s="2" t="str">
        <f t="shared" si="29"/>
        <v>Medium</v>
      </c>
      <c r="LZ20" s="2" t="str">
        <f t="shared" si="29"/>
        <v>Medium</v>
      </c>
      <c r="MA20" s="2" t="str">
        <f t="shared" si="29"/>
        <v>Low</v>
      </c>
      <c r="MB20" s="2" t="str">
        <f t="shared" si="29"/>
        <v>Low</v>
      </c>
      <c r="MC20" s="2" t="str">
        <f t="shared" si="29"/>
        <v>Low</v>
      </c>
      <c r="MD20" s="2" t="str">
        <f t="shared" si="29"/>
        <v>Medium</v>
      </c>
      <c r="ME20" s="2" t="str">
        <f t="shared" si="29"/>
        <v>Low</v>
      </c>
      <c r="MF20" s="2" t="str">
        <f t="shared" si="29"/>
        <v>Medium</v>
      </c>
      <c r="MG20" s="2" t="str">
        <f t="shared" si="29"/>
        <v>Medium</v>
      </c>
      <c r="MH20" s="2" t="str">
        <f t="shared" si="29"/>
        <v>Low</v>
      </c>
      <c r="MI20" s="2" t="str">
        <f t="shared" si="29"/>
        <v>High</v>
      </c>
      <c r="MJ20" s="2" t="str">
        <f t="shared" si="29"/>
        <v>Low</v>
      </c>
      <c r="MK20" s="2" t="str">
        <f t="shared" si="29"/>
        <v>Low</v>
      </c>
      <c r="ML20" s="2" t="str">
        <f t="shared" si="29"/>
        <v>Low</v>
      </c>
      <c r="MM20" s="2" t="str">
        <f t="shared" si="29"/>
        <v>Medium</v>
      </c>
      <c r="MN20" s="2" t="str">
        <f t="shared" si="29"/>
        <v>Low</v>
      </c>
      <c r="MO20" s="2" t="str">
        <f t="shared" si="29"/>
        <v>Low</v>
      </c>
      <c r="MP20" s="2" t="str">
        <f t="shared" si="29"/>
        <v>Low</v>
      </c>
      <c r="MQ20" s="2" t="str">
        <f t="shared" si="29"/>
        <v>Medium</v>
      </c>
      <c r="MR20" s="2" t="str">
        <f t="shared" si="29"/>
        <v>Low</v>
      </c>
      <c r="MS20" s="2" t="str">
        <f t="shared" si="29"/>
        <v>Low</v>
      </c>
      <c r="MT20" s="2" t="str">
        <f t="shared" si="29"/>
        <v>Low</v>
      </c>
      <c r="MU20" s="2" t="str">
        <f t="shared" si="29"/>
        <v>Low</v>
      </c>
      <c r="MV20" s="2" t="str">
        <f t="shared" si="29"/>
        <v>High</v>
      </c>
      <c r="MW20" s="2" t="str">
        <f t="shared" si="29"/>
        <v>Low</v>
      </c>
      <c r="MX20" s="2" t="str">
        <f t="shared" si="29"/>
        <v>Low</v>
      </c>
      <c r="MY20" s="2" t="str">
        <f t="shared" si="29"/>
        <v>Medium</v>
      </c>
      <c r="MZ20" s="2" t="str">
        <f t="shared" si="29"/>
        <v>Low</v>
      </c>
      <c r="NA20" s="2" t="str">
        <f t="shared" si="29"/>
        <v>High</v>
      </c>
      <c r="NB20" s="2" t="str">
        <f t="shared" si="29"/>
        <v>Low</v>
      </c>
      <c r="NC20" s="2" t="str">
        <f t="shared" si="29"/>
        <v>Low</v>
      </c>
      <c r="ND20" s="2" t="str">
        <f t="shared" si="29"/>
        <v>Low</v>
      </c>
      <c r="NE20" s="2" t="str">
        <f t="shared" si="29"/>
        <v>Low</v>
      </c>
      <c r="NF20" s="2" t="str">
        <f t="shared" si="29"/>
        <v>Low</v>
      </c>
      <c r="NG20" s="2" t="str">
        <f t="shared" si="29"/>
        <v>Low</v>
      </c>
      <c r="NH20" s="2" t="str">
        <f t="shared" si="29"/>
        <v>High</v>
      </c>
      <c r="NI20" s="2" t="str">
        <f t="shared" si="29"/>
        <v>Low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3E52-733E-4B24-A1F5-357E49EBBC11}">
  <dimension ref="A1:Q373"/>
  <sheetViews>
    <sheetView workbookViewId="0">
      <selection activeCell="Q18" sqref="Q1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style="2" bestFit="1" customWidth="1"/>
    <col min="15" max="15" width="10.21875" bestFit="1" customWidth="1"/>
    <col min="16" max="16" width="11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</row>
    <row r="2" spans="1:17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12">
        <v>7</v>
      </c>
      <c r="M2" s="2">
        <v>2843.87</v>
      </c>
      <c r="O2" s="1" t="s">
        <v>12</v>
      </c>
      <c r="P2">
        <v>1000</v>
      </c>
    </row>
    <row r="3" spans="1:17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12">
        <v>9</v>
      </c>
      <c r="M3" s="2">
        <v>2525.23</v>
      </c>
    </row>
    <row r="4" spans="1:17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12">
        <v>6</v>
      </c>
      <c r="M4" s="2">
        <v>3474.34</v>
      </c>
    </row>
    <row r="5" spans="1:17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12">
        <v>1</v>
      </c>
      <c r="M5" s="2">
        <v>1008.79</v>
      </c>
      <c r="O5" s="1" t="s">
        <v>5</v>
      </c>
      <c r="P5" s="2" t="s">
        <v>32</v>
      </c>
    </row>
    <row r="6" spans="1:17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12">
        <v>7</v>
      </c>
      <c r="M6" s="2">
        <v>3511.47</v>
      </c>
    </row>
    <row r="7" spans="1:17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12">
        <v>3</v>
      </c>
      <c r="M7" s="2">
        <v>3189.55</v>
      </c>
    </row>
    <row r="8" spans="1:17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12">
        <v>5</v>
      </c>
      <c r="M8" s="2">
        <v>3030.42</v>
      </c>
      <c r="O8" s="1" t="s">
        <v>18</v>
      </c>
      <c r="Q8" s="1" t="s">
        <v>5</v>
      </c>
    </row>
    <row r="9" spans="1:17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12">
        <v>4</v>
      </c>
      <c r="M9" s="2">
        <v>2310.83</v>
      </c>
      <c r="O9" s="1" t="s">
        <v>25</v>
      </c>
      <c r="Q9" s="2" t="s">
        <v>41</v>
      </c>
    </row>
    <row r="10" spans="1:17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12">
        <v>5</v>
      </c>
      <c r="M10" s="2">
        <v>1098.04</v>
      </c>
      <c r="O10" s="1" t="s">
        <v>18</v>
      </c>
    </row>
    <row r="11" spans="1:17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12">
        <v>5</v>
      </c>
      <c r="M11" s="2">
        <v>1780.66</v>
      </c>
      <c r="O11" s="1" t="s">
        <v>37</v>
      </c>
    </row>
    <row r="12" spans="1:17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12">
        <v>6</v>
      </c>
      <c r="M12" s="2">
        <v>3205.25</v>
      </c>
      <c r="O12" s="1" t="s">
        <v>40</v>
      </c>
    </row>
    <row r="13" spans="1:17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12">
        <v>6</v>
      </c>
      <c r="M13" s="2">
        <v>272.35000000000002</v>
      </c>
      <c r="O13" s="1" t="s">
        <v>43</v>
      </c>
    </row>
    <row r="14" spans="1:17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12">
        <v>8</v>
      </c>
      <c r="M14" s="2">
        <v>3160.9</v>
      </c>
      <c r="O14" s="1" t="s">
        <v>37</v>
      </c>
    </row>
    <row r="15" spans="1:17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12">
        <v>8</v>
      </c>
      <c r="M15" s="2">
        <v>1074.27</v>
      </c>
    </row>
    <row r="16" spans="1:17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12">
        <v>9</v>
      </c>
      <c r="M16" s="2">
        <v>705.59</v>
      </c>
    </row>
    <row r="17" spans="1:13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12">
        <v>8</v>
      </c>
      <c r="M17" s="2">
        <v>595.45000000000005</v>
      </c>
    </row>
    <row r="18" spans="1:13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12">
        <v>2</v>
      </c>
      <c r="M18" s="2">
        <v>254.91</v>
      </c>
    </row>
    <row r="19" spans="1:13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12">
        <v>1</v>
      </c>
      <c r="M19" s="2">
        <v>2165.81</v>
      </c>
    </row>
    <row r="20" spans="1:13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12">
        <v>2</v>
      </c>
      <c r="M20" s="2">
        <v>990.3</v>
      </c>
    </row>
    <row r="21" spans="1:13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12">
        <v>2</v>
      </c>
      <c r="M21" s="2">
        <v>3959.31</v>
      </c>
    </row>
    <row r="22" spans="1:13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12">
        <v>3</v>
      </c>
      <c r="M22" s="2">
        <v>2361.58</v>
      </c>
    </row>
    <row r="23" spans="1:13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12">
        <v>7</v>
      </c>
      <c r="M23" s="2">
        <v>680.86</v>
      </c>
    </row>
    <row r="24" spans="1:13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12">
        <v>2</v>
      </c>
      <c r="M24" s="2">
        <v>2801.74</v>
      </c>
    </row>
    <row r="25" spans="1:13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12">
        <v>1</v>
      </c>
      <c r="M25" s="2">
        <v>3606.31</v>
      </c>
    </row>
    <row r="26" spans="1:13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12">
        <v>6</v>
      </c>
      <c r="M26" s="2">
        <v>3018.94</v>
      </c>
    </row>
    <row r="27" spans="1:13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12">
        <v>9</v>
      </c>
      <c r="M27" s="2">
        <v>444.29</v>
      </c>
    </row>
    <row r="28" spans="1:13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12">
        <v>3</v>
      </c>
      <c r="M28" s="2">
        <v>3599.15</v>
      </c>
    </row>
    <row r="29" spans="1:13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12">
        <v>6</v>
      </c>
      <c r="M29" s="2">
        <v>3206.63</v>
      </c>
    </row>
    <row r="30" spans="1:13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12">
        <v>3</v>
      </c>
      <c r="M30" s="2">
        <v>759.47</v>
      </c>
    </row>
    <row r="31" spans="1:13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12">
        <v>1</v>
      </c>
      <c r="M31" s="2">
        <v>349.38</v>
      </c>
    </row>
    <row r="32" spans="1:13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12">
        <v>5</v>
      </c>
      <c r="M32" s="2">
        <v>2295.65</v>
      </c>
    </row>
    <row r="33" spans="1:13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12">
        <v>4</v>
      </c>
      <c r="M33" s="2">
        <v>750.74</v>
      </c>
    </row>
    <row r="34" spans="1:13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12">
        <v>7</v>
      </c>
      <c r="M34" s="2">
        <v>3363.18</v>
      </c>
    </row>
    <row r="35" spans="1:13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12">
        <v>6</v>
      </c>
      <c r="M35" s="2">
        <v>1529.59</v>
      </c>
    </row>
    <row r="36" spans="1:13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12">
        <v>7</v>
      </c>
      <c r="M36" s="2">
        <v>3664.64</v>
      </c>
    </row>
    <row r="37" spans="1:13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12">
        <v>5</v>
      </c>
      <c r="M37" s="2">
        <v>2327.9</v>
      </c>
    </row>
    <row r="38" spans="1:13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12">
        <v>4</v>
      </c>
      <c r="M38" s="2">
        <v>853.29</v>
      </c>
    </row>
    <row r="39" spans="1:13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12">
        <v>7</v>
      </c>
      <c r="M39" s="2">
        <v>687.46</v>
      </c>
    </row>
    <row r="40" spans="1:13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12">
        <v>7</v>
      </c>
      <c r="M40" s="2">
        <v>2369.42</v>
      </c>
    </row>
    <row r="41" spans="1:13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12">
        <v>6</v>
      </c>
      <c r="M41" s="2">
        <v>3083.25</v>
      </c>
    </row>
    <row r="42" spans="1:13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12">
        <v>8</v>
      </c>
      <c r="M42" s="2">
        <v>3158.8</v>
      </c>
    </row>
    <row r="43" spans="1:13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12">
        <v>4</v>
      </c>
      <c r="M43" s="2">
        <v>1211.67</v>
      </c>
    </row>
    <row r="44" spans="1:13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12">
        <v>5</v>
      </c>
      <c r="M44" s="2">
        <v>936.35</v>
      </c>
    </row>
    <row r="45" spans="1:13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12">
        <v>4</v>
      </c>
      <c r="M45" s="2">
        <v>214.51</v>
      </c>
    </row>
    <row r="46" spans="1:13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12">
        <v>1</v>
      </c>
      <c r="M46" s="2">
        <v>2764.92</v>
      </c>
    </row>
    <row r="47" spans="1:13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12">
        <v>8</v>
      </c>
      <c r="M47" s="2">
        <v>444.79</v>
      </c>
    </row>
    <row r="48" spans="1:13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12">
        <v>1</v>
      </c>
      <c r="M48" s="2">
        <v>1769.93</v>
      </c>
    </row>
    <row r="49" spans="1:13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12">
        <v>5</v>
      </c>
      <c r="M49" s="2">
        <v>2466.48</v>
      </c>
    </row>
    <row r="50" spans="1:13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12">
        <v>6</v>
      </c>
      <c r="M50" s="2">
        <v>3757.87</v>
      </c>
    </row>
    <row r="51" spans="1:13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12">
        <v>6</v>
      </c>
      <c r="M51" s="2">
        <v>1350.44</v>
      </c>
    </row>
    <row r="52" spans="1:13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12">
        <v>3</v>
      </c>
      <c r="M52" s="2">
        <v>2668.52</v>
      </c>
    </row>
    <row r="53" spans="1:13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12">
        <v>5</v>
      </c>
      <c r="M53" s="2">
        <v>2534.0700000000002</v>
      </c>
    </row>
    <row r="54" spans="1:13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12">
        <v>8</v>
      </c>
      <c r="M54" s="2">
        <v>1428.62</v>
      </c>
    </row>
    <row r="55" spans="1:13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12">
        <v>2</v>
      </c>
      <c r="M55" s="2">
        <v>3723.19</v>
      </c>
    </row>
    <row r="56" spans="1:13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12">
        <v>6</v>
      </c>
      <c r="M56" s="2">
        <v>3402.72</v>
      </c>
    </row>
    <row r="57" spans="1:13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12">
        <v>9</v>
      </c>
      <c r="M57" s="2">
        <v>1012.33</v>
      </c>
    </row>
    <row r="58" spans="1:13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12">
        <v>8</v>
      </c>
      <c r="M58" s="2">
        <v>2122.36</v>
      </c>
    </row>
    <row r="59" spans="1:13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12">
        <v>8</v>
      </c>
      <c r="M59" s="2">
        <v>3128.25</v>
      </c>
    </row>
    <row r="60" spans="1:13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12">
        <v>7</v>
      </c>
      <c r="M60" s="2">
        <v>319.56</v>
      </c>
    </row>
    <row r="61" spans="1:13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12">
        <v>6</v>
      </c>
      <c r="M61" s="2">
        <v>2645.71</v>
      </c>
    </row>
    <row r="62" spans="1:13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12">
        <v>2</v>
      </c>
      <c r="M62" s="2">
        <v>1041.2</v>
      </c>
    </row>
    <row r="63" spans="1:13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12">
        <v>2</v>
      </c>
      <c r="M63" s="2">
        <v>2773.21</v>
      </c>
    </row>
    <row r="64" spans="1:13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12">
        <v>8</v>
      </c>
      <c r="M64" s="2">
        <v>3769.71</v>
      </c>
    </row>
    <row r="65" spans="1:13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12">
        <v>1</v>
      </c>
      <c r="M65" s="2">
        <v>330.13</v>
      </c>
    </row>
    <row r="66" spans="1:13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12">
        <v>6</v>
      </c>
      <c r="M66" s="2">
        <v>1380.66</v>
      </c>
    </row>
    <row r="67" spans="1:13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12">
        <v>6</v>
      </c>
      <c r="M67" s="2">
        <v>1836.98</v>
      </c>
    </row>
    <row r="68" spans="1:13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12">
        <v>4</v>
      </c>
      <c r="M68" s="2">
        <v>3612.15</v>
      </c>
    </row>
    <row r="69" spans="1:13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12">
        <v>3</v>
      </c>
      <c r="M69" s="2">
        <v>3854.71</v>
      </c>
    </row>
    <row r="70" spans="1:13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12">
        <v>3</v>
      </c>
      <c r="M70" s="2">
        <v>1859.84</v>
      </c>
    </row>
    <row r="71" spans="1:13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12">
        <v>1</v>
      </c>
      <c r="M71" s="2">
        <v>3037.61</v>
      </c>
    </row>
    <row r="72" spans="1:13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12">
        <v>3</v>
      </c>
      <c r="M72" s="2">
        <v>2196.89</v>
      </c>
    </row>
    <row r="73" spans="1:13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12">
        <v>4</v>
      </c>
      <c r="M73" s="2">
        <v>2220.46</v>
      </c>
    </row>
    <row r="74" spans="1:13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12">
        <v>5</v>
      </c>
      <c r="M74" s="2">
        <v>1220.68</v>
      </c>
    </row>
    <row r="75" spans="1:13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12">
        <v>3</v>
      </c>
      <c r="M75" s="2">
        <v>985.28</v>
      </c>
    </row>
    <row r="76" spans="1:13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12">
        <v>5</v>
      </c>
      <c r="M76" s="2">
        <v>2291.86</v>
      </c>
    </row>
    <row r="77" spans="1:13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12">
        <v>3</v>
      </c>
      <c r="M77" s="2">
        <v>262.25</v>
      </c>
    </row>
    <row r="78" spans="1:13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12">
        <v>6</v>
      </c>
      <c r="M78" s="2">
        <v>3642.91</v>
      </c>
    </row>
    <row r="79" spans="1:13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12">
        <v>6</v>
      </c>
      <c r="M79" s="2">
        <v>751.69</v>
      </c>
    </row>
    <row r="80" spans="1:13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12">
        <v>8</v>
      </c>
      <c r="M80" s="2">
        <v>997.34</v>
      </c>
    </row>
    <row r="81" spans="1:13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12">
        <v>2</v>
      </c>
      <c r="M81" s="2">
        <v>2145.36</v>
      </c>
    </row>
    <row r="82" spans="1:13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12">
        <v>1</v>
      </c>
      <c r="M82" s="2">
        <v>2883.94</v>
      </c>
    </row>
    <row r="83" spans="1:13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12">
        <v>4</v>
      </c>
      <c r="M83" s="2">
        <v>518.55999999999995</v>
      </c>
    </row>
    <row r="84" spans="1:13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12">
        <v>7</v>
      </c>
      <c r="M84" s="2">
        <v>1373.12</v>
      </c>
    </row>
    <row r="85" spans="1:13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12">
        <v>3</v>
      </c>
      <c r="M85" s="2">
        <v>3879.4</v>
      </c>
    </row>
    <row r="86" spans="1:13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12">
        <v>5</v>
      </c>
      <c r="M86" s="2">
        <v>3370.52</v>
      </c>
    </row>
    <row r="87" spans="1:13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12">
        <v>3</v>
      </c>
      <c r="M87" s="2">
        <v>343.33</v>
      </c>
    </row>
    <row r="88" spans="1:13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12">
        <v>9</v>
      </c>
      <c r="M88" s="2">
        <v>1938.76</v>
      </c>
    </row>
    <row r="89" spans="1:13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12">
        <v>4</v>
      </c>
      <c r="M89" s="2">
        <v>1611.52</v>
      </c>
    </row>
    <row r="90" spans="1:13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12">
        <v>3</v>
      </c>
      <c r="M90" s="2">
        <v>1368.86</v>
      </c>
    </row>
    <row r="91" spans="1:13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12">
        <v>2</v>
      </c>
      <c r="M91" s="2">
        <v>1249.94</v>
      </c>
    </row>
    <row r="92" spans="1:13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12">
        <v>9</v>
      </c>
      <c r="M92" s="2">
        <v>501.79</v>
      </c>
    </row>
    <row r="93" spans="1:13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12">
        <v>4</v>
      </c>
      <c r="M93" s="2">
        <v>1362.08</v>
      </c>
    </row>
    <row r="94" spans="1:13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12">
        <v>3</v>
      </c>
      <c r="M94" s="2">
        <v>315.75</v>
      </c>
    </row>
    <row r="95" spans="1:13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12">
        <v>7</v>
      </c>
      <c r="M95" s="2">
        <v>3156.71</v>
      </c>
    </row>
    <row r="96" spans="1:13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12">
        <v>8</v>
      </c>
      <c r="M96" s="2">
        <v>1683.18</v>
      </c>
    </row>
    <row r="97" spans="1:13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12">
        <v>2</v>
      </c>
      <c r="M97" s="2">
        <v>1859.03</v>
      </c>
    </row>
    <row r="98" spans="1:13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12">
        <v>7</v>
      </c>
      <c r="M98" s="2">
        <v>3590.34</v>
      </c>
    </row>
    <row r="99" spans="1:13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12">
        <v>5</v>
      </c>
      <c r="M99" s="2">
        <v>181.03</v>
      </c>
    </row>
    <row r="100" spans="1:13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12">
        <v>3</v>
      </c>
      <c r="M100" s="2">
        <v>3781.22</v>
      </c>
    </row>
    <row r="101" spans="1:13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12">
        <v>5</v>
      </c>
      <c r="M101" s="2">
        <v>1063.01</v>
      </c>
    </row>
    <row r="102" spans="1:13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12">
        <v>2</v>
      </c>
      <c r="M102" s="2">
        <v>564.30999999999995</v>
      </c>
    </row>
    <row r="103" spans="1:13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12">
        <v>6</v>
      </c>
      <c r="M103" s="2">
        <v>2076.84</v>
      </c>
    </row>
    <row r="104" spans="1:13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12">
        <v>1</v>
      </c>
      <c r="M104" s="2">
        <v>1820.02</v>
      </c>
    </row>
    <row r="105" spans="1:13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12">
        <v>4</v>
      </c>
      <c r="M105" s="2">
        <v>1110.5899999999999</v>
      </c>
    </row>
    <row r="106" spans="1:13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12">
        <v>6</v>
      </c>
      <c r="M106" s="2">
        <v>2257.77</v>
      </c>
    </row>
    <row r="107" spans="1:13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12">
        <v>9</v>
      </c>
      <c r="M107" s="2">
        <v>1206.3800000000001</v>
      </c>
    </row>
    <row r="108" spans="1:13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12">
        <v>2</v>
      </c>
      <c r="M108" s="2">
        <v>3621.09</v>
      </c>
    </row>
    <row r="109" spans="1:13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12">
        <v>7</v>
      </c>
      <c r="M109" s="2">
        <v>978.54</v>
      </c>
    </row>
    <row r="110" spans="1:13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12">
        <v>6</v>
      </c>
      <c r="M110" s="2">
        <v>3554.77</v>
      </c>
    </row>
    <row r="111" spans="1:13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12">
        <v>2</v>
      </c>
      <c r="M111" s="2">
        <v>2303.71</v>
      </c>
    </row>
    <row r="112" spans="1:13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12">
        <v>8</v>
      </c>
      <c r="M112" s="2">
        <v>3339.68</v>
      </c>
    </row>
    <row r="113" spans="1:13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12">
        <v>7</v>
      </c>
      <c r="M113" s="2">
        <v>2894.46</v>
      </c>
    </row>
    <row r="114" spans="1:13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12">
        <v>5</v>
      </c>
      <c r="M114" s="2">
        <v>2832.28</v>
      </c>
    </row>
    <row r="115" spans="1:13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12">
        <v>5</v>
      </c>
      <c r="M115" s="2">
        <v>1398.73</v>
      </c>
    </row>
    <row r="116" spans="1:13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12">
        <v>7</v>
      </c>
      <c r="M116" s="2">
        <v>1050.5</v>
      </c>
    </row>
    <row r="117" spans="1:13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12">
        <v>9</v>
      </c>
      <c r="M117" s="2">
        <v>961.91</v>
      </c>
    </row>
    <row r="118" spans="1:13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12">
        <v>9</v>
      </c>
      <c r="M118" s="2">
        <v>3450.19</v>
      </c>
    </row>
    <row r="119" spans="1:13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12">
        <v>9</v>
      </c>
      <c r="M119" s="2">
        <v>3308.64</v>
      </c>
    </row>
    <row r="120" spans="1:13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12">
        <v>6</v>
      </c>
      <c r="M120" s="2">
        <v>1846.21</v>
      </c>
    </row>
    <row r="121" spans="1:13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12">
        <v>6</v>
      </c>
      <c r="M121" s="2">
        <v>659.76</v>
      </c>
    </row>
    <row r="122" spans="1:13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12">
        <v>3</v>
      </c>
      <c r="M122" s="2">
        <v>1621.67</v>
      </c>
    </row>
    <row r="123" spans="1:13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12">
        <v>1</v>
      </c>
      <c r="M123" s="2">
        <v>2534.4699999999998</v>
      </c>
    </row>
    <row r="124" spans="1:13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12">
        <v>7</v>
      </c>
      <c r="M124" s="2">
        <v>1899.45</v>
      </c>
    </row>
    <row r="125" spans="1:13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12">
        <v>4</v>
      </c>
      <c r="M125" s="2">
        <v>3153.73</v>
      </c>
    </row>
    <row r="126" spans="1:13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12">
        <v>1</v>
      </c>
      <c r="M126" s="2">
        <v>3990.85</v>
      </c>
    </row>
    <row r="127" spans="1:13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12">
        <v>6</v>
      </c>
      <c r="M127" s="2">
        <v>1919.66</v>
      </c>
    </row>
    <row r="128" spans="1:13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12">
        <v>6</v>
      </c>
      <c r="M128" s="2">
        <v>1809.29</v>
      </c>
    </row>
    <row r="129" spans="1:13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12">
        <v>1</v>
      </c>
      <c r="M129" s="2">
        <v>912.67</v>
      </c>
    </row>
    <row r="130" spans="1:13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12">
        <v>2</v>
      </c>
      <c r="M130" s="2">
        <v>402.91</v>
      </c>
    </row>
    <row r="131" spans="1:13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12">
        <v>4</v>
      </c>
      <c r="M131" s="2">
        <v>3565.41</v>
      </c>
    </row>
    <row r="132" spans="1:13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12">
        <v>2</v>
      </c>
      <c r="M132" s="2">
        <v>1766.42</v>
      </c>
    </row>
    <row r="133" spans="1:13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12">
        <v>1</v>
      </c>
      <c r="M133" s="2">
        <v>2063.0500000000002</v>
      </c>
    </row>
    <row r="134" spans="1:13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12">
        <v>7</v>
      </c>
      <c r="M134" s="2">
        <v>3680.23</v>
      </c>
    </row>
    <row r="135" spans="1:13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12">
        <v>8</v>
      </c>
      <c r="M135" s="2">
        <v>3138.72</v>
      </c>
    </row>
    <row r="136" spans="1:13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12">
        <v>6</v>
      </c>
      <c r="M136" s="2">
        <v>652.42999999999995</v>
      </c>
    </row>
    <row r="137" spans="1:13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12">
        <v>4</v>
      </c>
      <c r="M137" s="2">
        <v>2326.87</v>
      </c>
    </row>
    <row r="138" spans="1:13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12">
        <v>6</v>
      </c>
      <c r="M138" s="2">
        <v>1852.67</v>
      </c>
    </row>
    <row r="139" spans="1:13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12">
        <v>3</v>
      </c>
      <c r="M139" s="2">
        <v>3219.26</v>
      </c>
    </row>
    <row r="140" spans="1:13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12">
        <v>8</v>
      </c>
      <c r="M140" s="2">
        <v>2938.3</v>
      </c>
    </row>
    <row r="141" spans="1:13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12">
        <v>2</v>
      </c>
      <c r="M141" s="2">
        <v>2808.06</v>
      </c>
    </row>
    <row r="142" spans="1:13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12">
        <v>5</v>
      </c>
      <c r="M142" s="2">
        <v>1461.1</v>
      </c>
    </row>
    <row r="143" spans="1:13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12">
        <v>1</v>
      </c>
      <c r="M143" s="2">
        <v>3249.11</v>
      </c>
    </row>
    <row r="144" spans="1:13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12">
        <v>2</v>
      </c>
      <c r="M144" s="2">
        <v>764.56</v>
      </c>
    </row>
    <row r="145" spans="1:13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12">
        <v>4</v>
      </c>
      <c r="M145" s="2">
        <v>1442.15</v>
      </c>
    </row>
    <row r="146" spans="1:13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12">
        <v>6</v>
      </c>
      <c r="M146" s="2">
        <v>445.71</v>
      </c>
    </row>
    <row r="147" spans="1:13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12">
        <v>8</v>
      </c>
      <c r="M147" s="2">
        <v>1054.73</v>
      </c>
    </row>
    <row r="148" spans="1:13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12">
        <v>8</v>
      </c>
      <c r="M148" s="2">
        <v>3346.08</v>
      </c>
    </row>
    <row r="149" spans="1:13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12">
        <v>6</v>
      </c>
      <c r="M149" s="2">
        <v>3800.77</v>
      </c>
    </row>
    <row r="150" spans="1:13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12">
        <v>4</v>
      </c>
      <c r="M150" s="2">
        <v>1322.72</v>
      </c>
    </row>
    <row r="151" spans="1:13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12">
        <v>8</v>
      </c>
      <c r="M151" s="2">
        <v>1168.3900000000001</v>
      </c>
    </row>
    <row r="152" spans="1:13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12">
        <v>8</v>
      </c>
      <c r="M152" s="2">
        <v>1227.5899999999999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12">
        <v>1</v>
      </c>
      <c r="M153" s="2">
        <v>1219.22</v>
      </c>
    </row>
    <row r="154" spans="1:13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12">
        <v>4</v>
      </c>
      <c r="M154" s="2">
        <v>288.33</v>
      </c>
    </row>
    <row r="155" spans="1:13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12">
        <v>4</v>
      </c>
      <c r="M155" s="2">
        <v>3718.63</v>
      </c>
    </row>
    <row r="156" spans="1:13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12">
        <v>7</v>
      </c>
      <c r="M156" s="2">
        <v>972.74</v>
      </c>
    </row>
    <row r="157" spans="1:13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12">
        <v>7</v>
      </c>
      <c r="M157" s="2">
        <v>1767.02</v>
      </c>
    </row>
    <row r="158" spans="1:13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12">
        <v>8</v>
      </c>
      <c r="M158" s="2">
        <v>187.29</v>
      </c>
    </row>
    <row r="159" spans="1:13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12">
        <v>7</v>
      </c>
      <c r="M159" s="2">
        <v>2964.96</v>
      </c>
    </row>
    <row r="160" spans="1:13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12">
        <v>8</v>
      </c>
      <c r="M160" s="2">
        <v>3795.01</v>
      </c>
    </row>
    <row r="161" spans="1:13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12">
        <v>9</v>
      </c>
      <c r="M161" s="2">
        <v>3159.22</v>
      </c>
    </row>
    <row r="162" spans="1:13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12">
        <v>3</v>
      </c>
      <c r="M162" s="2">
        <v>1357.77</v>
      </c>
    </row>
    <row r="163" spans="1:13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12">
        <v>3</v>
      </c>
      <c r="M163" s="2">
        <v>1104.31</v>
      </c>
    </row>
    <row r="164" spans="1:13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12">
        <v>4</v>
      </c>
      <c r="M164" s="2">
        <v>2836.21</v>
      </c>
    </row>
    <row r="165" spans="1:13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12">
        <v>7</v>
      </c>
      <c r="M165" s="2">
        <v>174.09</v>
      </c>
    </row>
    <row r="166" spans="1:13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12">
        <v>9</v>
      </c>
      <c r="M166" s="2">
        <v>388.26</v>
      </c>
    </row>
    <row r="167" spans="1:13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12">
        <v>8</v>
      </c>
      <c r="M167" s="2">
        <v>2211.17</v>
      </c>
    </row>
    <row r="168" spans="1:13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12">
        <v>5</v>
      </c>
      <c r="M168" s="2">
        <v>2329.38</v>
      </c>
    </row>
    <row r="169" spans="1:13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12">
        <v>7</v>
      </c>
      <c r="M169" s="2">
        <v>658.07</v>
      </c>
    </row>
    <row r="170" spans="1:13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12">
        <v>5</v>
      </c>
      <c r="M170" s="2">
        <v>2125.75</v>
      </c>
    </row>
    <row r="171" spans="1:13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12">
        <v>7</v>
      </c>
      <c r="M171" s="2">
        <v>898.62</v>
      </c>
    </row>
    <row r="172" spans="1:13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12">
        <v>1</v>
      </c>
      <c r="M172" s="2">
        <v>508.81</v>
      </c>
    </row>
    <row r="173" spans="1:13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12">
        <v>1</v>
      </c>
      <c r="M173" s="2">
        <v>1730.41</v>
      </c>
    </row>
    <row r="174" spans="1:13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12">
        <v>3</v>
      </c>
      <c r="M174" s="2">
        <v>778.85</v>
      </c>
    </row>
    <row r="175" spans="1:13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12">
        <v>2</v>
      </c>
      <c r="M175" s="2">
        <v>1372.59</v>
      </c>
    </row>
    <row r="176" spans="1:13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12">
        <v>7</v>
      </c>
      <c r="M176" s="2">
        <v>1148.6500000000001</v>
      </c>
    </row>
    <row r="177" spans="1:13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12">
        <v>2</v>
      </c>
      <c r="M177" s="2">
        <v>487.23</v>
      </c>
    </row>
    <row r="178" spans="1:13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12">
        <v>4</v>
      </c>
      <c r="M178" s="2">
        <v>496.18</v>
      </c>
    </row>
    <row r="179" spans="1:13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12">
        <v>2</v>
      </c>
      <c r="M179" s="2">
        <v>894.01</v>
      </c>
    </row>
    <row r="180" spans="1:13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12">
        <v>6</v>
      </c>
      <c r="M180" s="2">
        <v>344.65</v>
      </c>
    </row>
    <row r="181" spans="1:13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12">
        <v>8</v>
      </c>
      <c r="M181" s="2">
        <v>2561.86</v>
      </c>
    </row>
    <row r="182" spans="1:13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12">
        <v>4</v>
      </c>
      <c r="M182" s="2">
        <v>1256.21</v>
      </c>
    </row>
    <row r="183" spans="1:13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12">
        <v>5</v>
      </c>
      <c r="M183" s="2">
        <v>1227.02</v>
      </c>
    </row>
    <row r="184" spans="1:13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12">
        <v>4</v>
      </c>
      <c r="M184" s="2">
        <v>1428.19</v>
      </c>
    </row>
    <row r="185" spans="1:13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12">
        <v>3</v>
      </c>
      <c r="M185" s="2">
        <v>2701.77</v>
      </c>
    </row>
    <row r="186" spans="1:13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12">
        <v>5</v>
      </c>
      <c r="M186" s="2">
        <v>3501.94</v>
      </c>
    </row>
    <row r="187" spans="1:13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12">
        <v>9</v>
      </c>
      <c r="M187" s="2">
        <v>3072.48</v>
      </c>
    </row>
    <row r="188" spans="1:13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12">
        <v>7</v>
      </c>
      <c r="M188" s="2">
        <v>982.56</v>
      </c>
    </row>
    <row r="189" spans="1:13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12">
        <v>8</v>
      </c>
      <c r="M189" s="2">
        <v>953.07</v>
      </c>
    </row>
    <row r="190" spans="1:13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12">
        <v>8</v>
      </c>
      <c r="M190" s="2">
        <v>1291.1099999999999</v>
      </c>
    </row>
    <row r="191" spans="1:13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12">
        <v>8</v>
      </c>
      <c r="M191" s="2">
        <v>3656.59</v>
      </c>
    </row>
    <row r="192" spans="1:13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12">
        <v>7</v>
      </c>
      <c r="M192" s="2">
        <v>2257.5500000000002</v>
      </c>
    </row>
    <row r="193" spans="1:13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12">
        <v>1</v>
      </c>
      <c r="M193" s="2">
        <v>2975.54</v>
      </c>
    </row>
    <row r="194" spans="1:13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12">
        <v>4</v>
      </c>
      <c r="M194" s="2">
        <v>1719.71</v>
      </c>
    </row>
    <row r="195" spans="1:13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12">
        <v>5</v>
      </c>
      <c r="M195" s="2">
        <v>633.42999999999995</v>
      </c>
    </row>
    <row r="196" spans="1:13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12">
        <v>6</v>
      </c>
      <c r="M196" s="2">
        <v>809.49</v>
      </c>
    </row>
    <row r="197" spans="1:13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12">
        <v>4</v>
      </c>
      <c r="M197" s="2">
        <v>3335.32</v>
      </c>
    </row>
    <row r="198" spans="1:13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12">
        <v>2</v>
      </c>
      <c r="M198" s="2">
        <v>2401.63</v>
      </c>
    </row>
    <row r="199" spans="1:13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12">
        <v>8</v>
      </c>
      <c r="M199" s="2">
        <v>3240.98</v>
      </c>
    </row>
    <row r="200" spans="1:13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12">
        <v>7</v>
      </c>
      <c r="M200" s="2">
        <v>3907.73</v>
      </c>
    </row>
    <row r="201" spans="1:13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12">
        <v>6</v>
      </c>
      <c r="M201" s="2">
        <v>1477.55</v>
      </c>
    </row>
    <row r="202" spans="1:13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12">
        <v>5</v>
      </c>
      <c r="M202" s="2">
        <v>620.13</v>
      </c>
    </row>
    <row r="203" spans="1:13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12">
        <v>8</v>
      </c>
      <c r="M203" s="2">
        <v>3519.2</v>
      </c>
    </row>
    <row r="204" spans="1:13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12">
        <v>1</v>
      </c>
      <c r="M204" s="2">
        <v>2250.4899999999998</v>
      </c>
    </row>
    <row r="205" spans="1:13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12">
        <v>1</v>
      </c>
      <c r="M205" s="2">
        <v>556.53</v>
      </c>
    </row>
    <row r="206" spans="1:13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12">
        <v>7</v>
      </c>
      <c r="M206" s="2">
        <v>324.38</v>
      </c>
    </row>
    <row r="207" spans="1:13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12">
        <v>9</v>
      </c>
      <c r="M207" s="2">
        <v>2677.09</v>
      </c>
    </row>
    <row r="208" spans="1:13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12">
        <v>8</v>
      </c>
      <c r="M208" s="2">
        <v>284.52</v>
      </c>
    </row>
    <row r="209" spans="1:13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12">
        <v>2</v>
      </c>
      <c r="M209" s="2">
        <v>3960.56</v>
      </c>
    </row>
    <row r="210" spans="1:13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12">
        <v>9</v>
      </c>
      <c r="M210" s="2">
        <v>265.58</v>
      </c>
    </row>
    <row r="211" spans="1:13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12">
        <v>6</v>
      </c>
      <c r="M211" s="2">
        <v>1861.43</v>
      </c>
    </row>
    <row r="212" spans="1:13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12">
        <v>2</v>
      </c>
      <c r="M212" s="2">
        <v>601.53</v>
      </c>
    </row>
    <row r="213" spans="1:13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12">
        <v>3</v>
      </c>
      <c r="M213" s="2">
        <v>800.89</v>
      </c>
    </row>
    <row r="214" spans="1:13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12">
        <v>8</v>
      </c>
      <c r="M214" s="2">
        <v>1504.45</v>
      </c>
    </row>
    <row r="215" spans="1:13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12">
        <v>1</v>
      </c>
      <c r="M215" s="2">
        <v>3082.45</v>
      </c>
    </row>
    <row r="216" spans="1:13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12">
        <v>7</v>
      </c>
      <c r="M216" s="2">
        <v>2102.27</v>
      </c>
    </row>
    <row r="217" spans="1:13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12">
        <v>7</v>
      </c>
      <c r="M217" s="2">
        <v>2605.92</v>
      </c>
    </row>
    <row r="218" spans="1:13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12">
        <v>1</v>
      </c>
      <c r="M218" s="2">
        <v>3942.92</v>
      </c>
    </row>
    <row r="219" spans="1:13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12">
        <v>8</v>
      </c>
      <c r="M219" s="2">
        <v>1822.29</v>
      </c>
    </row>
    <row r="220" spans="1:13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12">
        <v>4</v>
      </c>
      <c r="M220" s="2">
        <v>1868.8</v>
      </c>
    </row>
    <row r="221" spans="1:13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12">
        <v>5</v>
      </c>
      <c r="M221" s="2">
        <v>2532.27</v>
      </c>
    </row>
    <row r="222" spans="1:13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12">
        <v>2</v>
      </c>
      <c r="M222" s="2">
        <v>2711.66</v>
      </c>
    </row>
    <row r="223" spans="1:13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12">
        <v>3</v>
      </c>
      <c r="M223" s="2">
        <v>240.6</v>
      </c>
    </row>
    <row r="224" spans="1:13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12">
        <v>3</v>
      </c>
      <c r="M224" s="2">
        <v>647.32000000000005</v>
      </c>
    </row>
    <row r="225" spans="1:13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12">
        <v>2</v>
      </c>
      <c r="M225" s="2">
        <v>533.25</v>
      </c>
    </row>
    <row r="226" spans="1:13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12">
        <v>7</v>
      </c>
      <c r="M226" s="2">
        <v>2472.29</v>
      </c>
    </row>
    <row r="227" spans="1:13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12">
        <v>7</v>
      </c>
      <c r="M227" s="2">
        <v>2165.86</v>
      </c>
    </row>
    <row r="228" spans="1:13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12">
        <v>4</v>
      </c>
      <c r="M228" s="2">
        <v>1126.3</v>
      </c>
    </row>
    <row r="229" spans="1:13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12">
        <v>8</v>
      </c>
      <c r="M229" s="2">
        <v>2045.09</v>
      </c>
    </row>
    <row r="230" spans="1:13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12">
        <v>1</v>
      </c>
      <c r="M230" s="2">
        <v>900.78</v>
      </c>
    </row>
    <row r="231" spans="1:13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12">
        <v>1</v>
      </c>
      <c r="M231" s="2">
        <v>2660.56</v>
      </c>
    </row>
    <row r="232" spans="1:13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12">
        <v>5</v>
      </c>
      <c r="M232" s="2">
        <v>3156.54</v>
      </c>
    </row>
    <row r="233" spans="1:13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12">
        <v>6</v>
      </c>
      <c r="M233" s="2">
        <v>3197.13</v>
      </c>
    </row>
    <row r="234" spans="1:13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12">
        <v>3</v>
      </c>
      <c r="M234" s="2">
        <v>2469.5100000000002</v>
      </c>
    </row>
    <row r="235" spans="1:13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12">
        <v>6</v>
      </c>
      <c r="M235" s="2">
        <v>384.88</v>
      </c>
    </row>
    <row r="236" spans="1:13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12">
        <v>4</v>
      </c>
      <c r="M236" s="2">
        <v>1258.1500000000001</v>
      </c>
    </row>
    <row r="237" spans="1:13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12">
        <v>7</v>
      </c>
      <c r="M237" s="2">
        <v>509.1</v>
      </c>
    </row>
    <row r="238" spans="1:13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12">
        <v>9</v>
      </c>
      <c r="M238" s="2">
        <v>670.06</v>
      </c>
    </row>
    <row r="239" spans="1:13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12">
        <v>8</v>
      </c>
      <c r="M239" s="2">
        <v>3784.12</v>
      </c>
    </row>
    <row r="240" spans="1:13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12">
        <v>5</v>
      </c>
      <c r="M240" s="2">
        <v>3098.44</v>
      </c>
    </row>
    <row r="241" spans="1:13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12">
        <v>6</v>
      </c>
      <c r="M241" s="2">
        <v>220.79</v>
      </c>
    </row>
    <row r="242" spans="1:13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12">
        <v>6</v>
      </c>
      <c r="M242" s="2">
        <v>1936.66</v>
      </c>
    </row>
    <row r="243" spans="1:13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12">
        <v>7</v>
      </c>
      <c r="M243" s="2">
        <v>1396.71</v>
      </c>
    </row>
    <row r="244" spans="1:13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12">
        <v>8</v>
      </c>
      <c r="M244" s="2">
        <v>2695.39</v>
      </c>
    </row>
    <row r="245" spans="1:13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12">
        <v>9</v>
      </c>
      <c r="M245" s="2">
        <v>2661.11</v>
      </c>
    </row>
    <row r="246" spans="1:13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12">
        <v>3</v>
      </c>
      <c r="M246" s="2">
        <v>967.49</v>
      </c>
    </row>
    <row r="247" spans="1:13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12">
        <v>1</v>
      </c>
      <c r="M247" s="2">
        <v>619.73</v>
      </c>
    </row>
    <row r="248" spans="1:13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12">
        <v>5</v>
      </c>
      <c r="M248" s="2">
        <v>2850.33</v>
      </c>
    </row>
    <row r="249" spans="1:13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12">
        <v>7</v>
      </c>
      <c r="M249" s="2">
        <v>636.59</v>
      </c>
    </row>
    <row r="250" spans="1:13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12">
        <v>6</v>
      </c>
      <c r="M250" s="2">
        <v>257.2</v>
      </c>
    </row>
    <row r="251" spans="1:13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12">
        <v>4</v>
      </c>
      <c r="M251" s="2">
        <v>2547.52</v>
      </c>
    </row>
    <row r="252" spans="1:13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12">
        <v>2</v>
      </c>
      <c r="M252" s="2">
        <v>3256.02</v>
      </c>
    </row>
    <row r="253" spans="1:13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12">
        <v>1</v>
      </c>
      <c r="M253" s="2">
        <v>3391.76</v>
      </c>
    </row>
    <row r="254" spans="1:13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12">
        <v>4</v>
      </c>
      <c r="M254" s="2">
        <v>2008.45</v>
      </c>
    </row>
    <row r="255" spans="1:13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12">
        <v>4</v>
      </c>
      <c r="M255" s="2">
        <v>3143.2</v>
      </c>
    </row>
    <row r="256" spans="1:13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12">
        <v>1</v>
      </c>
      <c r="M256" s="2">
        <v>2740.46</v>
      </c>
    </row>
    <row r="257" spans="1:13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12">
        <v>4</v>
      </c>
      <c r="M257" s="2">
        <v>2046.51</v>
      </c>
    </row>
    <row r="258" spans="1:13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12">
        <v>1</v>
      </c>
      <c r="M258" s="2">
        <v>2588.64</v>
      </c>
    </row>
    <row r="259" spans="1:13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12">
        <v>1</v>
      </c>
      <c r="M259" s="2">
        <v>3251.27</v>
      </c>
    </row>
    <row r="260" spans="1:13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12">
        <v>1</v>
      </c>
      <c r="M260" s="2">
        <v>1681.85</v>
      </c>
    </row>
    <row r="261" spans="1:13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12">
        <v>8</v>
      </c>
      <c r="M261" s="2">
        <v>3253.02</v>
      </c>
    </row>
    <row r="262" spans="1:13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12">
        <v>8</v>
      </c>
      <c r="M262" s="2">
        <v>2429.2600000000002</v>
      </c>
    </row>
    <row r="263" spans="1:13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12">
        <v>2</v>
      </c>
      <c r="M263" s="2">
        <v>788.72</v>
      </c>
    </row>
    <row r="264" spans="1:13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12">
        <v>7</v>
      </c>
      <c r="M264" s="2">
        <v>245.03</v>
      </c>
    </row>
    <row r="265" spans="1:13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12">
        <v>8</v>
      </c>
      <c r="M265" s="2">
        <v>2254.7800000000002</v>
      </c>
    </row>
    <row r="266" spans="1:13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12">
        <v>7</v>
      </c>
      <c r="M266" s="2">
        <v>3383.31</v>
      </c>
    </row>
    <row r="267" spans="1:13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12">
        <v>5</v>
      </c>
      <c r="M267" s="2">
        <v>640.82000000000005</v>
      </c>
    </row>
    <row r="268" spans="1:13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12">
        <v>9</v>
      </c>
      <c r="M268" s="2">
        <v>3472.58</v>
      </c>
    </row>
    <row r="269" spans="1:13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12">
        <v>7</v>
      </c>
      <c r="M269" s="2">
        <v>730.15</v>
      </c>
    </row>
    <row r="270" spans="1:13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12">
        <v>2</v>
      </c>
      <c r="M270" s="2">
        <v>3428.64</v>
      </c>
    </row>
    <row r="271" spans="1:13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12">
        <v>6</v>
      </c>
      <c r="M271" s="2">
        <v>3967.1</v>
      </c>
    </row>
    <row r="272" spans="1:13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12">
        <v>2</v>
      </c>
      <c r="M272" s="2">
        <v>2948.33</v>
      </c>
    </row>
    <row r="273" spans="1:13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12">
        <v>1</v>
      </c>
      <c r="M273" s="2">
        <v>3171.36</v>
      </c>
    </row>
    <row r="274" spans="1:13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12">
        <v>7</v>
      </c>
      <c r="M274" s="2">
        <v>3978.5</v>
      </c>
    </row>
    <row r="275" spans="1:13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12">
        <v>2</v>
      </c>
      <c r="M275" s="2">
        <v>1335.36</v>
      </c>
    </row>
    <row r="276" spans="1:13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12">
        <v>1</v>
      </c>
      <c r="M276" s="2">
        <v>1126.5</v>
      </c>
    </row>
    <row r="277" spans="1:13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12">
        <v>3</v>
      </c>
      <c r="M277" s="2">
        <v>464.42</v>
      </c>
    </row>
    <row r="278" spans="1:13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12">
        <v>4</v>
      </c>
      <c r="M278" s="2">
        <v>3708.51</v>
      </c>
    </row>
    <row r="279" spans="1:13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12">
        <v>4</v>
      </c>
      <c r="M279" s="2">
        <v>641.92999999999995</v>
      </c>
    </row>
    <row r="280" spans="1:13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12">
        <v>5</v>
      </c>
      <c r="M280" s="2">
        <v>1853.11</v>
      </c>
    </row>
    <row r="281" spans="1:13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12">
        <v>7</v>
      </c>
      <c r="M281" s="2">
        <v>313.51</v>
      </c>
    </row>
    <row r="282" spans="1:13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12">
        <v>4</v>
      </c>
      <c r="M282" s="2">
        <v>2785.81</v>
      </c>
    </row>
    <row r="283" spans="1:13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12">
        <v>1</v>
      </c>
      <c r="M283" s="2">
        <v>3625.42</v>
      </c>
    </row>
    <row r="284" spans="1:13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12">
        <v>4</v>
      </c>
      <c r="M284" s="2">
        <v>640.37</v>
      </c>
    </row>
    <row r="285" spans="1:13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12">
        <v>1</v>
      </c>
      <c r="M285" s="2">
        <v>3708.38</v>
      </c>
    </row>
    <row r="286" spans="1:13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12">
        <v>3</v>
      </c>
      <c r="M286" s="2">
        <v>1923.58</v>
      </c>
    </row>
    <row r="287" spans="1:13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12">
        <v>2</v>
      </c>
      <c r="M287" s="2">
        <v>2071.04</v>
      </c>
    </row>
    <row r="288" spans="1:13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12">
        <v>9</v>
      </c>
      <c r="M288" s="2">
        <v>2632.88</v>
      </c>
    </row>
    <row r="289" spans="1:13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12">
        <v>9</v>
      </c>
      <c r="M289" s="2">
        <v>1259.77</v>
      </c>
    </row>
    <row r="290" spans="1:13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12">
        <v>8</v>
      </c>
      <c r="M290" s="2">
        <v>1300.31</v>
      </c>
    </row>
    <row r="291" spans="1:13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12">
        <v>8</v>
      </c>
      <c r="M291" s="2">
        <v>3581.12</v>
      </c>
    </row>
    <row r="292" spans="1:13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12">
        <v>1</v>
      </c>
      <c r="M292" s="2">
        <v>202.49</v>
      </c>
    </row>
    <row r="293" spans="1:13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12">
        <v>8</v>
      </c>
      <c r="M293" s="2">
        <v>1392.5</v>
      </c>
    </row>
    <row r="294" spans="1:13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12">
        <v>3</v>
      </c>
      <c r="M294" s="2">
        <v>2284.27</v>
      </c>
    </row>
    <row r="295" spans="1:13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12">
        <v>5</v>
      </c>
      <c r="M295" s="2">
        <v>3593.46</v>
      </c>
    </row>
    <row r="296" spans="1:13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12">
        <v>5</v>
      </c>
      <c r="M296" s="2">
        <v>3320.88</v>
      </c>
    </row>
    <row r="297" spans="1:13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12">
        <v>8</v>
      </c>
      <c r="M297" s="2">
        <v>3610.33</v>
      </c>
    </row>
    <row r="298" spans="1:13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12">
        <v>8</v>
      </c>
      <c r="M298" s="2">
        <v>3277.19</v>
      </c>
    </row>
    <row r="299" spans="1:13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12">
        <v>6</v>
      </c>
      <c r="M299" s="2">
        <v>1628.56</v>
      </c>
    </row>
    <row r="300" spans="1:13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12">
        <v>6</v>
      </c>
      <c r="M300" s="2">
        <v>2715.13</v>
      </c>
    </row>
    <row r="301" spans="1:13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12">
        <v>2</v>
      </c>
      <c r="M301" s="2">
        <v>3957.02</v>
      </c>
    </row>
    <row r="302" spans="1:13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12">
        <v>6</v>
      </c>
      <c r="M302" s="2">
        <v>1019.05</v>
      </c>
    </row>
    <row r="303" spans="1:13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12">
        <v>5</v>
      </c>
      <c r="M303" s="2">
        <v>1651.11</v>
      </c>
    </row>
    <row r="304" spans="1:13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12">
        <v>6</v>
      </c>
      <c r="M304" s="2">
        <v>681.36</v>
      </c>
    </row>
    <row r="305" spans="1:13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12">
        <v>1</v>
      </c>
      <c r="M305" s="2">
        <v>3910.66</v>
      </c>
    </row>
    <row r="306" spans="1:13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12">
        <v>3</v>
      </c>
      <c r="M306" s="2">
        <v>487.45</v>
      </c>
    </row>
    <row r="307" spans="1:13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12">
        <v>1</v>
      </c>
      <c r="M307" s="2">
        <v>3581.58</v>
      </c>
    </row>
    <row r="308" spans="1:13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12">
        <v>5</v>
      </c>
      <c r="M308" s="2">
        <v>1935.68</v>
      </c>
    </row>
    <row r="309" spans="1:13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12">
        <v>3</v>
      </c>
      <c r="M309" s="2">
        <v>1382.11</v>
      </c>
    </row>
    <row r="310" spans="1:13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12">
        <v>2</v>
      </c>
      <c r="M310" s="2">
        <v>1984.38</v>
      </c>
    </row>
    <row r="311" spans="1:13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12">
        <v>8</v>
      </c>
      <c r="M311" s="2">
        <v>1375.47</v>
      </c>
    </row>
    <row r="312" spans="1:13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12">
        <v>3</v>
      </c>
      <c r="M312" s="2">
        <v>2032.79</v>
      </c>
    </row>
    <row r="313" spans="1:13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12">
        <v>1</v>
      </c>
      <c r="M313" s="2">
        <v>2430.36</v>
      </c>
    </row>
    <row r="314" spans="1:13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12">
        <v>3</v>
      </c>
      <c r="M314" s="2">
        <v>1553.98</v>
      </c>
    </row>
    <row r="315" spans="1:13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12">
        <v>8</v>
      </c>
      <c r="M315" s="2">
        <v>2993.25</v>
      </c>
    </row>
    <row r="316" spans="1:13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12">
        <v>6</v>
      </c>
      <c r="M316" s="2">
        <v>2716.48</v>
      </c>
    </row>
    <row r="317" spans="1:13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12">
        <v>2</v>
      </c>
      <c r="M317" s="2">
        <v>610.30999999999995</v>
      </c>
    </row>
    <row r="318" spans="1:13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12">
        <v>6</v>
      </c>
      <c r="M318" s="2">
        <v>2354.67</v>
      </c>
    </row>
    <row r="319" spans="1:13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12">
        <v>5</v>
      </c>
      <c r="M319" s="2">
        <v>3245.77</v>
      </c>
    </row>
    <row r="320" spans="1:13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12">
        <v>3</v>
      </c>
      <c r="M320" s="2">
        <v>1789.86</v>
      </c>
    </row>
    <row r="321" spans="1:13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12">
        <v>1</v>
      </c>
      <c r="M321" s="2">
        <v>2743.75</v>
      </c>
    </row>
    <row r="322" spans="1:13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12">
        <v>4</v>
      </c>
      <c r="M322" s="2">
        <v>1333.99</v>
      </c>
    </row>
    <row r="323" spans="1:13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12">
        <v>1</v>
      </c>
      <c r="M323" s="2">
        <v>2044.41</v>
      </c>
    </row>
    <row r="324" spans="1:13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12">
        <v>9</v>
      </c>
      <c r="M324" s="2">
        <v>3216.56</v>
      </c>
    </row>
    <row r="325" spans="1:13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12">
        <v>7</v>
      </c>
      <c r="M325" s="2">
        <v>1020.23</v>
      </c>
    </row>
    <row r="326" spans="1:13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12">
        <v>3</v>
      </c>
      <c r="M326" s="2">
        <v>2165.7199999999998</v>
      </c>
    </row>
    <row r="327" spans="1:13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12">
        <v>8</v>
      </c>
      <c r="M327" s="2">
        <v>1297.5899999999999</v>
      </c>
    </row>
    <row r="328" spans="1:13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12">
        <v>1</v>
      </c>
      <c r="M328" s="2">
        <v>1219.7</v>
      </c>
    </row>
    <row r="329" spans="1:13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12">
        <v>1</v>
      </c>
      <c r="M329" s="2">
        <v>3354.81</v>
      </c>
    </row>
    <row r="330" spans="1:13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12">
        <v>8</v>
      </c>
      <c r="M330" s="2">
        <v>3905.57</v>
      </c>
    </row>
    <row r="331" spans="1:13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12">
        <v>6</v>
      </c>
      <c r="M331" s="2">
        <v>1288.31</v>
      </c>
    </row>
    <row r="332" spans="1:13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12">
        <v>9</v>
      </c>
      <c r="M332" s="2">
        <v>3740.3</v>
      </c>
    </row>
    <row r="333" spans="1:13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12">
        <v>9</v>
      </c>
      <c r="M333" s="2">
        <v>2454.59</v>
      </c>
    </row>
    <row r="334" spans="1:13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12">
        <v>6</v>
      </c>
      <c r="M334" s="2">
        <v>2247.37</v>
      </c>
    </row>
    <row r="335" spans="1:13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12">
        <v>8</v>
      </c>
      <c r="M335" s="2">
        <v>437.36</v>
      </c>
    </row>
    <row r="336" spans="1:13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12">
        <v>3</v>
      </c>
      <c r="M336" s="2">
        <v>3644.78</v>
      </c>
    </row>
    <row r="337" spans="1:13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12">
        <v>3</v>
      </c>
      <c r="M337" s="2">
        <v>3986.78</v>
      </c>
    </row>
    <row r="338" spans="1:13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12">
        <v>5</v>
      </c>
      <c r="M338" s="2">
        <v>3116.22</v>
      </c>
    </row>
    <row r="339" spans="1:13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12">
        <v>3</v>
      </c>
      <c r="M339" s="2">
        <v>1448.62</v>
      </c>
    </row>
    <row r="340" spans="1:13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12">
        <v>1</v>
      </c>
      <c r="M340" s="2">
        <v>3775.07</v>
      </c>
    </row>
    <row r="341" spans="1:13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12">
        <v>3</v>
      </c>
      <c r="M341" s="2">
        <v>2189.4</v>
      </c>
    </row>
    <row r="342" spans="1:13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12">
        <v>9</v>
      </c>
      <c r="M342" s="2">
        <v>2969.7</v>
      </c>
    </row>
    <row r="343" spans="1:13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12">
        <v>2</v>
      </c>
      <c r="M343" s="2">
        <v>3904.44</v>
      </c>
    </row>
    <row r="344" spans="1:13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12">
        <v>4</v>
      </c>
      <c r="M344" s="2">
        <v>3871.21</v>
      </c>
    </row>
    <row r="345" spans="1:13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12">
        <v>7</v>
      </c>
      <c r="M345" s="2">
        <v>2568.2600000000002</v>
      </c>
    </row>
    <row r="346" spans="1:13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12">
        <v>1</v>
      </c>
      <c r="M346" s="2">
        <v>1574.59</v>
      </c>
    </row>
    <row r="347" spans="1:13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12">
        <v>9</v>
      </c>
      <c r="M347" s="2">
        <v>3191.56</v>
      </c>
    </row>
    <row r="348" spans="1:13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12">
        <v>2</v>
      </c>
      <c r="M348" s="2">
        <v>1374.23</v>
      </c>
    </row>
    <row r="349" spans="1:13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12">
        <v>5</v>
      </c>
      <c r="M349" s="2">
        <v>1480.66</v>
      </c>
    </row>
    <row r="350" spans="1:13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12">
        <v>1</v>
      </c>
      <c r="M350" s="2">
        <v>445.38</v>
      </c>
    </row>
    <row r="351" spans="1:13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12">
        <v>5</v>
      </c>
      <c r="M351" s="2">
        <v>2072.3200000000002</v>
      </c>
    </row>
    <row r="352" spans="1:13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12">
        <v>1</v>
      </c>
      <c r="M352" s="2">
        <v>559.4</v>
      </c>
    </row>
    <row r="353" spans="1:13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12">
        <v>4</v>
      </c>
      <c r="M353" s="2">
        <v>589.44000000000005</v>
      </c>
    </row>
    <row r="354" spans="1:13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12">
        <v>6</v>
      </c>
      <c r="M354" s="2">
        <v>3773.04</v>
      </c>
    </row>
    <row r="355" spans="1:13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12">
        <v>9</v>
      </c>
      <c r="M355" s="2">
        <v>1890.53</v>
      </c>
    </row>
    <row r="356" spans="1:13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12">
        <v>8</v>
      </c>
      <c r="M356" s="2">
        <v>150.72</v>
      </c>
    </row>
    <row r="357" spans="1:13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12">
        <v>5</v>
      </c>
      <c r="M357" s="2">
        <v>2523.25</v>
      </c>
    </row>
    <row r="358" spans="1:13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12">
        <v>6</v>
      </c>
      <c r="M358" s="2">
        <v>845</v>
      </c>
    </row>
    <row r="359" spans="1:13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12">
        <v>8</v>
      </c>
      <c r="M359" s="2">
        <v>1160.51</v>
      </c>
    </row>
    <row r="360" spans="1:13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12">
        <v>7</v>
      </c>
      <c r="M360" s="2">
        <v>2172.2399999999998</v>
      </c>
    </row>
    <row r="361" spans="1:13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12">
        <v>2</v>
      </c>
      <c r="M361" s="2">
        <v>1294.8399999999999</v>
      </c>
    </row>
    <row r="362" spans="1:13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12">
        <v>9</v>
      </c>
      <c r="M362" s="2">
        <v>775.77</v>
      </c>
    </row>
    <row r="363" spans="1:13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12">
        <v>4</v>
      </c>
      <c r="M363" s="2">
        <v>2751.14</v>
      </c>
    </row>
    <row r="364" spans="1:13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12">
        <v>8</v>
      </c>
      <c r="M364" s="2">
        <v>2536.88</v>
      </c>
    </row>
    <row r="365" spans="1:13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12">
        <v>7</v>
      </c>
      <c r="M365" s="2">
        <v>2838.06</v>
      </c>
    </row>
    <row r="366" spans="1:13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12">
        <v>5</v>
      </c>
      <c r="M366" s="2">
        <v>977.43</v>
      </c>
    </row>
    <row r="367" spans="1:13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12">
        <v>7</v>
      </c>
      <c r="M367" s="2">
        <v>1550.03</v>
      </c>
    </row>
    <row r="368" spans="1:13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12">
        <v>5</v>
      </c>
      <c r="M368" s="2">
        <v>529.59</v>
      </c>
    </row>
    <row r="369" spans="1:13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12">
        <v>8</v>
      </c>
      <c r="M369" s="2">
        <v>598.44000000000005</v>
      </c>
    </row>
    <row r="370" spans="1:13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12">
        <v>6</v>
      </c>
      <c r="M370" s="2">
        <v>1128.9100000000001</v>
      </c>
    </row>
    <row r="371" spans="1:13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12">
        <v>5</v>
      </c>
      <c r="M371" s="2">
        <v>1287.55</v>
      </c>
    </row>
    <row r="372" spans="1:13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12">
        <v>9</v>
      </c>
      <c r="M372" s="2">
        <v>2190.39</v>
      </c>
    </row>
    <row r="373" spans="1:13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12">
        <v>1</v>
      </c>
      <c r="M373" s="2">
        <v>2432.17</v>
      </c>
    </row>
  </sheetData>
  <conditionalFormatting sqref="A2:M373">
    <cfRule type="expression" dxfId="2" priority="3">
      <formula>$F2=$Q$9</formula>
    </cfRule>
  </conditionalFormatting>
  <conditionalFormatting sqref="Q9">
    <cfRule type="expression" dxfId="1" priority="1">
      <formula>$F9=$Q$9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884-9066-476F-9590-220845815EE7}">
  <dimension ref="A1:I9"/>
  <sheetViews>
    <sheetView zoomScale="160" zoomScaleNormal="160" workbookViewId="0">
      <selection activeCell="I4" sqref="I4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123</v>
      </c>
      <c r="B1" s="1" t="s">
        <v>124</v>
      </c>
      <c r="C1" s="1" t="s">
        <v>125</v>
      </c>
      <c r="D1" s="1" t="s">
        <v>126</v>
      </c>
    </row>
    <row r="2" spans="1:9" x14ac:dyDescent="0.3">
      <c r="A2" s="2" t="s">
        <v>127</v>
      </c>
      <c r="B2" s="2" t="s">
        <v>128</v>
      </c>
      <c r="C2" s="3">
        <v>45292</v>
      </c>
      <c r="D2" s="2">
        <v>120</v>
      </c>
      <c r="F2" s="1" t="s">
        <v>126</v>
      </c>
      <c r="G2" s="2">
        <v>200</v>
      </c>
    </row>
    <row r="3" spans="1:9" x14ac:dyDescent="0.3">
      <c r="A3" s="2" t="s">
        <v>129</v>
      </c>
      <c r="B3" s="2" t="s">
        <v>130</v>
      </c>
      <c r="C3" s="3">
        <v>45324</v>
      </c>
      <c r="D3" s="2">
        <v>150</v>
      </c>
    </row>
    <row r="4" spans="1:9" x14ac:dyDescent="0.3">
      <c r="A4" s="2" t="s">
        <v>127</v>
      </c>
      <c r="B4" s="2" t="s">
        <v>131</v>
      </c>
      <c r="C4" s="3">
        <v>45294</v>
      </c>
      <c r="D4" s="2">
        <v>200</v>
      </c>
      <c r="F4" s="1" t="s">
        <v>123</v>
      </c>
      <c r="G4" s="2" t="s">
        <v>127</v>
      </c>
      <c r="I4" t="s">
        <v>134</v>
      </c>
    </row>
    <row r="5" spans="1:9" x14ac:dyDescent="0.3">
      <c r="A5" s="2" t="s">
        <v>132</v>
      </c>
      <c r="B5" s="2" t="s">
        <v>133</v>
      </c>
      <c r="C5" s="3">
        <v>45295</v>
      </c>
      <c r="D5" s="2">
        <v>90</v>
      </c>
    </row>
    <row r="6" spans="1:9" x14ac:dyDescent="0.3">
      <c r="A6" s="2" t="s">
        <v>129</v>
      </c>
      <c r="B6" s="2" t="s">
        <v>128</v>
      </c>
      <c r="C6" s="3">
        <v>45296</v>
      </c>
      <c r="D6" s="2">
        <v>220</v>
      </c>
    </row>
    <row r="7" spans="1:9" x14ac:dyDescent="0.3">
      <c r="A7" s="2" t="s">
        <v>127</v>
      </c>
      <c r="B7" s="2" t="s">
        <v>130</v>
      </c>
      <c r="C7" s="3">
        <v>45388</v>
      </c>
      <c r="D7" s="2">
        <v>130</v>
      </c>
    </row>
    <row r="8" spans="1:9" x14ac:dyDescent="0.3">
      <c r="A8" s="2" t="s">
        <v>132</v>
      </c>
      <c r="B8" s="2" t="s">
        <v>128</v>
      </c>
      <c r="C8" s="3">
        <v>45298</v>
      </c>
      <c r="D8" s="2">
        <v>300</v>
      </c>
    </row>
    <row r="9" spans="1:9" x14ac:dyDescent="0.3">
      <c r="A9" s="2" t="s">
        <v>129</v>
      </c>
      <c r="B9" s="2" t="s">
        <v>131</v>
      </c>
      <c r="C9" s="3">
        <v>45299</v>
      </c>
      <c r="D9" s="2">
        <v>80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DFD2-0828-4985-8D8A-49660FAD642D}">
  <dimension ref="A1:P373"/>
  <sheetViews>
    <sheetView tabSelected="1" workbookViewId="0">
      <selection activeCell="S13" sqref="S1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6" max="16" width="13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  <c r="O2" s="16" t="s">
        <v>0</v>
      </c>
      <c r="P2" s="16" t="s">
        <v>12</v>
      </c>
    </row>
    <row r="3" spans="1:16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O3" s="17">
        <v>10102</v>
      </c>
      <c r="P3" s="17">
        <f>VLOOKUP(O3,A1:M373,13,0)</f>
        <v>1859.03</v>
      </c>
    </row>
    <row r="4" spans="1:16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</row>
    <row r="5" spans="1:16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  <c r="O5" s="18" t="s">
        <v>0</v>
      </c>
      <c r="P5" s="18" t="s">
        <v>9</v>
      </c>
    </row>
    <row r="6" spans="1:16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 t="s">
        <v>33</v>
      </c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  <c r="O6" s="19">
        <v>10350</v>
      </c>
      <c r="P6" s="19" t="str">
        <f>VLOOKUP(O6,A1:J373,10,0)</f>
        <v>Textbook</v>
      </c>
    </row>
    <row r="7" spans="1:16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</row>
    <row r="8" spans="1:16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</row>
    <row r="9" spans="1:16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</row>
    <row r="10" spans="1:16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</row>
    <row r="11" spans="1:16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</row>
    <row r="12" spans="1:16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</row>
    <row r="13" spans="1:16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</row>
    <row r="14" spans="1:16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</row>
    <row r="15" spans="1:16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</row>
    <row r="16" spans="1:16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</row>
    <row r="17" spans="1:13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</row>
    <row r="18" spans="1:13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</row>
    <row r="19" spans="1:13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</row>
    <row r="20" spans="1:13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</row>
    <row r="21" spans="1:13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</row>
    <row r="22" spans="1:13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</row>
    <row r="23" spans="1:13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</row>
    <row r="24" spans="1:13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</row>
    <row r="25" spans="1:13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</row>
    <row r="26" spans="1:13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</row>
    <row r="27" spans="1:13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</row>
    <row r="28" spans="1:13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</row>
    <row r="29" spans="1:13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</row>
    <row r="30" spans="1:13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</row>
    <row r="31" spans="1:13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</row>
    <row r="32" spans="1:13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</row>
    <row r="33" spans="1:13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</row>
    <row r="34" spans="1:13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</row>
    <row r="35" spans="1:13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</row>
    <row r="36" spans="1:13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</row>
    <row r="37" spans="1:13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</row>
    <row r="38" spans="1:13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</row>
    <row r="39" spans="1:13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</row>
    <row r="40" spans="1:13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</row>
    <row r="41" spans="1:13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</row>
    <row r="42" spans="1:13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</row>
    <row r="43" spans="1:13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</row>
    <row r="44" spans="1:13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</row>
    <row r="45" spans="1:13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</row>
    <row r="46" spans="1:13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</row>
    <row r="47" spans="1:13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</row>
    <row r="48" spans="1:13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</row>
    <row r="49" spans="1:13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</row>
    <row r="50" spans="1:13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</row>
    <row r="51" spans="1:13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</row>
    <row r="52" spans="1:13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</row>
    <row r="53" spans="1:13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</row>
    <row r="54" spans="1:13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</row>
    <row r="55" spans="1:13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</row>
    <row r="56" spans="1:13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</row>
    <row r="57" spans="1:13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</row>
    <row r="58" spans="1:13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</row>
    <row r="59" spans="1:13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</row>
    <row r="60" spans="1:13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</row>
    <row r="61" spans="1:13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</row>
    <row r="62" spans="1:13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</row>
    <row r="63" spans="1:13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</row>
    <row r="64" spans="1:13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</row>
    <row r="65" spans="1:13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</row>
    <row r="66" spans="1:13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</row>
    <row r="67" spans="1:13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</row>
    <row r="68" spans="1:13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</row>
    <row r="69" spans="1:13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</row>
    <row r="70" spans="1:13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</row>
    <row r="71" spans="1:13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13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13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13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</row>
    <row r="75" spans="1:13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</row>
    <row r="76" spans="1:13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</row>
    <row r="77" spans="1:13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</row>
    <row r="78" spans="1:13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</row>
    <row r="79" spans="1:13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</row>
    <row r="80" spans="1:13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</row>
    <row r="81" spans="1:13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</row>
    <row r="82" spans="1:13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</row>
    <row r="83" spans="1:13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</row>
    <row r="84" spans="1:13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</row>
    <row r="85" spans="1:13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</row>
    <row r="86" spans="1:13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</row>
    <row r="87" spans="1:13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</row>
    <row r="88" spans="1:13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</row>
    <row r="89" spans="1:13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</row>
    <row r="90" spans="1:13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</row>
    <row r="91" spans="1:13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</row>
    <row r="92" spans="1:13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</row>
    <row r="93" spans="1:13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</row>
    <row r="94" spans="1:13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</row>
    <row r="95" spans="1:13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</row>
    <row r="96" spans="1:13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</row>
    <row r="97" spans="1:13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</row>
    <row r="98" spans="1:13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</row>
    <row r="99" spans="1:13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</row>
    <row r="100" spans="1:13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</row>
    <row r="101" spans="1:13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</row>
    <row r="102" spans="1:13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</row>
    <row r="103" spans="1:13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</row>
    <row r="104" spans="1:13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</row>
    <row r="105" spans="1:13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</row>
    <row r="106" spans="1:13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</row>
    <row r="107" spans="1:13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</row>
    <row r="108" spans="1:13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</row>
    <row r="109" spans="1:13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</row>
    <row r="110" spans="1:13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</row>
    <row r="111" spans="1:13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</row>
    <row r="112" spans="1:13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</row>
    <row r="113" spans="1:13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</row>
    <row r="114" spans="1:13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</row>
    <row r="115" spans="1:13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</row>
    <row r="116" spans="1:13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</row>
    <row r="117" spans="1:13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</row>
    <row r="118" spans="1:13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</row>
    <row r="119" spans="1:13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</row>
    <row r="120" spans="1:13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</row>
    <row r="121" spans="1:13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</row>
    <row r="122" spans="1:13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</row>
    <row r="123" spans="1:13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</row>
    <row r="124" spans="1:13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</row>
    <row r="125" spans="1:13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</row>
    <row r="126" spans="1:13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</row>
    <row r="127" spans="1:13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</row>
    <row r="128" spans="1:13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</row>
    <row r="129" spans="1:13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</row>
    <row r="130" spans="1:13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</row>
    <row r="131" spans="1:13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</row>
    <row r="132" spans="1:13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</row>
    <row r="133" spans="1:13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</row>
    <row r="134" spans="1:13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</row>
    <row r="135" spans="1:13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</row>
    <row r="136" spans="1:13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</row>
    <row r="137" spans="1:13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</row>
    <row r="138" spans="1:13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</row>
    <row r="139" spans="1:13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</row>
    <row r="140" spans="1:13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</row>
    <row r="141" spans="1:13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</row>
    <row r="142" spans="1:13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</row>
    <row r="143" spans="1:13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</row>
    <row r="144" spans="1:13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</row>
    <row r="145" spans="1:13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</row>
    <row r="146" spans="1:13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</row>
    <row r="147" spans="1:13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</row>
    <row r="148" spans="1:13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</row>
    <row r="149" spans="1:13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</row>
    <row r="150" spans="1:13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</row>
    <row r="151" spans="1:13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</row>
    <row r="152" spans="1:13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</row>
    <row r="154" spans="1:13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</row>
    <row r="155" spans="1:13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</row>
    <row r="156" spans="1:13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</row>
    <row r="157" spans="1:13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</row>
    <row r="158" spans="1:13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</row>
    <row r="159" spans="1:13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</row>
    <row r="160" spans="1:13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</row>
    <row r="161" spans="1:13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</row>
    <row r="162" spans="1:13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</row>
    <row r="163" spans="1:13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</row>
    <row r="164" spans="1:13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</row>
    <row r="165" spans="1:13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</row>
    <row r="166" spans="1:13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</row>
    <row r="167" spans="1:13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</row>
    <row r="168" spans="1:13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</row>
    <row r="169" spans="1:13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</row>
    <row r="170" spans="1:13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</row>
    <row r="171" spans="1:13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</row>
    <row r="172" spans="1:13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</row>
    <row r="173" spans="1:13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</row>
    <row r="174" spans="1:13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</row>
    <row r="175" spans="1:13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</row>
    <row r="176" spans="1:13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</row>
    <row r="177" spans="1:13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</row>
    <row r="178" spans="1:13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</row>
    <row r="179" spans="1:13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</row>
    <row r="180" spans="1:13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</row>
    <row r="181" spans="1:13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</row>
    <row r="182" spans="1:13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</row>
    <row r="183" spans="1:13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</row>
    <row r="184" spans="1:13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</row>
    <row r="185" spans="1:13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</row>
    <row r="186" spans="1:13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</row>
    <row r="187" spans="1:13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</row>
    <row r="188" spans="1:13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</row>
    <row r="189" spans="1:13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</row>
    <row r="190" spans="1:13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</row>
    <row r="191" spans="1:13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</row>
    <row r="192" spans="1:13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</row>
    <row r="193" spans="1:13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</row>
    <row r="194" spans="1:13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</row>
    <row r="195" spans="1:13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</row>
    <row r="196" spans="1:13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13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13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13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13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13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13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</row>
    <row r="203" spans="1:13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</row>
    <row r="204" spans="1:13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</row>
    <row r="205" spans="1:13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</row>
    <row r="206" spans="1:13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</row>
    <row r="207" spans="1:13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</row>
    <row r="208" spans="1:13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</row>
    <row r="209" spans="1:13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</row>
    <row r="210" spans="1:13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</row>
    <row r="211" spans="1:13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</row>
    <row r="212" spans="1:13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</row>
    <row r="213" spans="1:13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</row>
    <row r="214" spans="1:13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</row>
    <row r="215" spans="1:13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</row>
    <row r="216" spans="1:13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</row>
    <row r="217" spans="1:13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</row>
    <row r="218" spans="1:13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</row>
    <row r="219" spans="1:13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</row>
    <row r="220" spans="1:13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</row>
    <row r="221" spans="1:13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</row>
    <row r="222" spans="1:13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</row>
    <row r="223" spans="1:13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</row>
    <row r="224" spans="1:13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</row>
    <row r="225" spans="1:13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</row>
    <row r="226" spans="1:13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</row>
    <row r="227" spans="1:13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</row>
    <row r="228" spans="1:13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</row>
    <row r="229" spans="1:13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</row>
    <row r="230" spans="1:13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</row>
    <row r="231" spans="1:13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</row>
    <row r="232" spans="1:13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</row>
    <row r="233" spans="1:13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</row>
    <row r="234" spans="1:13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</row>
    <row r="235" spans="1:13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</row>
    <row r="236" spans="1:13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</row>
    <row r="237" spans="1:13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</row>
    <row r="238" spans="1:13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</row>
    <row r="239" spans="1:13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</row>
    <row r="240" spans="1:13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</row>
    <row r="241" spans="1:13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</row>
    <row r="242" spans="1:13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</row>
    <row r="243" spans="1:13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</row>
    <row r="244" spans="1:13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</row>
    <row r="245" spans="1:13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</row>
    <row r="246" spans="1:13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</row>
    <row r="247" spans="1:13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</row>
    <row r="248" spans="1:13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</row>
    <row r="249" spans="1:13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</row>
    <row r="250" spans="1:13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</row>
    <row r="251" spans="1:13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</row>
    <row r="252" spans="1:13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</row>
    <row r="253" spans="1:13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</row>
    <row r="254" spans="1:13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</row>
    <row r="255" spans="1:13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</row>
    <row r="256" spans="1:13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</row>
    <row r="257" spans="1:13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</row>
    <row r="258" spans="1:13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</row>
    <row r="259" spans="1:13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</row>
    <row r="260" spans="1:13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</row>
    <row r="261" spans="1:13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</row>
    <row r="262" spans="1:13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</row>
    <row r="263" spans="1:13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</row>
    <row r="264" spans="1:13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</row>
    <row r="265" spans="1:13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</row>
    <row r="266" spans="1:13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</row>
    <row r="267" spans="1:13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</row>
    <row r="268" spans="1:13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</row>
    <row r="269" spans="1:13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</row>
    <row r="270" spans="1:13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</row>
    <row r="271" spans="1:13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</row>
    <row r="272" spans="1:13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</row>
    <row r="273" spans="1:13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</row>
    <row r="274" spans="1:13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</row>
    <row r="275" spans="1:13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</row>
    <row r="276" spans="1:13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</row>
    <row r="277" spans="1:13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</row>
    <row r="278" spans="1:13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</row>
    <row r="279" spans="1:13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</row>
    <row r="280" spans="1:13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</row>
    <row r="281" spans="1:13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</row>
    <row r="282" spans="1:13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</row>
    <row r="283" spans="1:13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</row>
    <row r="284" spans="1:13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</row>
    <row r="285" spans="1:13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</row>
    <row r="286" spans="1:13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</row>
    <row r="287" spans="1:13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</row>
    <row r="288" spans="1:13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</row>
    <row r="289" spans="1:13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</row>
    <row r="290" spans="1:13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</row>
    <row r="291" spans="1:13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</row>
    <row r="292" spans="1:13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</row>
    <row r="293" spans="1:13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</row>
    <row r="294" spans="1:13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</row>
    <row r="295" spans="1:13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</row>
    <row r="296" spans="1:13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</row>
    <row r="297" spans="1:13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</row>
    <row r="298" spans="1:13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</row>
    <row r="299" spans="1:13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</row>
    <row r="300" spans="1:13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</row>
    <row r="301" spans="1:13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</row>
    <row r="302" spans="1:13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</row>
    <row r="303" spans="1:13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</row>
    <row r="304" spans="1:13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</row>
    <row r="305" spans="1:13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</row>
    <row r="306" spans="1:13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</row>
    <row r="307" spans="1:13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</row>
    <row r="308" spans="1:13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</row>
    <row r="309" spans="1:13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</row>
    <row r="310" spans="1:13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</row>
    <row r="311" spans="1:13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</row>
    <row r="312" spans="1:13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</row>
    <row r="313" spans="1:13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</row>
    <row r="314" spans="1:13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</row>
    <row r="315" spans="1:13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</row>
    <row r="316" spans="1:13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</row>
    <row r="317" spans="1:13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</row>
    <row r="318" spans="1:13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</row>
    <row r="319" spans="1:13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</row>
    <row r="320" spans="1:13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</row>
    <row r="321" spans="1:13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</row>
    <row r="322" spans="1:13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</row>
    <row r="323" spans="1:13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</row>
    <row r="324" spans="1:13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</row>
    <row r="325" spans="1:13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</row>
    <row r="326" spans="1:13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</row>
    <row r="327" spans="1:13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</row>
    <row r="328" spans="1:13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</row>
    <row r="329" spans="1:13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</row>
    <row r="330" spans="1:13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</row>
    <row r="331" spans="1:13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</row>
    <row r="332" spans="1:13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</row>
    <row r="333" spans="1:13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</row>
    <row r="334" spans="1:13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</row>
    <row r="335" spans="1:13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</row>
    <row r="336" spans="1:13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</row>
    <row r="337" spans="1:13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</row>
    <row r="338" spans="1:13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</row>
    <row r="339" spans="1:13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</row>
    <row r="340" spans="1:13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</row>
    <row r="341" spans="1:13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</row>
    <row r="342" spans="1:13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</row>
    <row r="343" spans="1:13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</row>
    <row r="344" spans="1:13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</row>
    <row r="345" spans="1:13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</row>
    <row r="346" spans="1:13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</row>
    <row r="347" spans="1:13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</row>
    <row r="348" spans="1:13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</row>
    <row r="349" spans="1:13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</row>
    <row r="350" spans="1:13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</row>
    <row r="351" spans="1:13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</row>
    <row r="352" spans="1:13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</row>
    <row r="353" spans="1:13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</row>
    <row r="354" spans="1:13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</row>
    <row r="355" spans="1:13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</row>
    <row r="356" spans="1:13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</row>
    <row r="357" spans="1:13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</row>
    <row r="358" spans="1:13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</row>
    <row r="359" spans="1:13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</row>
    <row r="360" spans="1:13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</row>
    <row r="361" spans="1:13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</row>
    <row r="362" spans="1:13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</row>
    <row r="363" spans="1:13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</row>
    <row r="364" spans="1:13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</row>
    <row r="365" spans="1:13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</row>
    <row r="366" spans="1:13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</row>
    <row r="367" spans="1:13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</row>
    <row r="368" spans="1:13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</row>
    <row r="369" spans="1:13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</row>
    <row r="370" spans="1:13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</row>
    <row r="371" spans="1:13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</row>
    <row r="372" spans="1:13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</row>
    <row r="373" spans="1:13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19</v>
      </c>
      <c r="F373" s="2" t="s">
        <v>44</v>
      </c>
      <c r="G373" s="2" t="s">
        <v>27</v>
      </c>
      <c r="H373" s="2" t="s">
        <v>45</v>
      </c>
      <c r="I373" s="2" t="s">
        <v>52</v>
      </c>
      <c r="J373" s="2" t="s">
        <v>66</v>
      </c>
      <c r="K373" s="2" t="s">
        <v>36</v>
      </c>
      <c r="L373" s="2">
        <v>9</v>
      </c>
      <c r="M373" s="2">
        <v>775.77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Sheet1</vt:lpstr>
      <vt:lpstr>Sheet7</vt:lpstr>
      <vt:lpstr>Sheet8</vt:lpstr>
      <vt:lpstr>Sheet9</vt:lpstr>
      <vt:lpstr>Sheet16</vt:lpstr>
      <vt:lpstr>Sheet17</vt:lpstr>
      <vt:lpstr>Sheet18</vt:lpstr>
      <vt:lpstr>Sheet19</vt:lpstr>
      <vt:lpstr>Sheet3</vt:lpstr>
      <vt:lpstr>Sheet2</vt:lpstr>
      <vt:lpstr>Sheet4</vt:lpstr>
      <vt:lpstr>Sheet5</vt:lpstr>
      <vt:lpstr>Sheet6</vt:lpstr>
      <vt:lpstr>VLOOKUP</vt:lpstr>
      <vt:lpstr>Sheet7!Criteria</vt:lpstr>
      <vt:lpstr>Sheet7!Extract</vt:lpstr>
      <vt:lpstr>Sheet8!Extract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SWARNENDU MANI</cp:lastModifiedBy>
  <dcterms:created xsi:type="dcterms:W3CDTF">2026-02-24T11:11:13Z</dcterms:created>
  <dcterms:modified xsi:type="dcterms:W3CDTF">2026-03-07T05:18:58Z</dcterms:modified>
</cp:coreProperties>
</file>