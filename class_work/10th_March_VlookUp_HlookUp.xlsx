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Anudip\class_work\"/>
    </mc:Choice>
  </mc:AlternateContent>
  <xr:revisionPtr revIDLastSave="0" documentId="13_ncr:1_{5E39F299-993E-4F6A-A101-16273CEA6CA7}" xr6:coauthVersionLast="47" xr6:coauthVersionMax="47" xr10:uidLastSave="{00000000-0000-0000-0000-000000000000}"/>
  <bookViews>
    <workbookView xWindow="2292" yWindow="600" windowWidth="11172" windowHeight="8880" firstSheet="1" activeTab="3" xr2:uid="{3D33C8EE-9BAC-442E-9AC6-97175357A171}"/>
  </bookViews>
  <sheets>
    <sheet name="Product" sheetId="1" r:id="rId1"/>
    <sheet name="Course" sheetId="2" r:id="rId2"/>
    <sheet name="Employee" sheetId="3" r:id="rId3"/>
    <sheet name="Stud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4" l="1"/>
  <c r="B19" i="4"/>
  <c r="B16" i="4"/>
  <c r="B13" i="4"/>
  <c r="B10" i="4"/>
  <c r="B27" i="3"/>
  <c r="B24" i="3"/>
  <c r="B21" i="3"/>
  <c r="B18" i="3"/>
  <c r="B15" i="3"/>
  <c r="B12" i="3"/>
  <c r="B18" i="2"/>
  <c r="B12" i="2"/>
  <c r="B15" i="2"/>
  <c r="B9" i="2"/>
  <c r="B19" i="1"/>
  <c r="B16" i="1"/>
  <c r="B13" i="1"/>
  <c r="B10" i="1"/>
  <c r="B7" i="1"/>
</calcChain>
</file>

<file path=xl/sharedStrings.xml><?xml version="1.0" encoding="utf-8"?>
<sst xmlns="http://schemas.openxmlformats.org/spreadsheetml/2006/main" count="160" uniqueCount="98">
  <si>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</si>
  <si>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</si>
  <si>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</si>
  <si>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</si>
  <si>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</si>
  <si>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</si>
  <si>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</si>
  <si>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</si>
  <si>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</si>
  <si>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</si>
  <si>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</si>
  <si>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</si>
  <si>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Price</t>
  </si>
  <si>
    <t>Stock</t>
  </si>
  <si>
    <t>1. Find the Price of product P103 using HLOOKUP.</t>
  </si>
  <si>
    <t>2. Find the Stock of P104.</t>
  </si>
  <si>
    <t>3. Retrieve Product Name of P101.</t>
  </si>
  <si>
    <t>4. If Product ID is entered in any cell, return the Price.</t>
  </si>
  <si>
    <t>5. If Product ID is entered in any cell, return the Stock.</t>
  </si>
  <si>
    <t>ID</t>
  </si>
  <si>
    <t>Name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</si>
  <si>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</si>
  <si>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</si>
  <si>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</si>
  <si>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</si>
  <si>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</si>
  <si>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</si>
  <si>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</si>
  <si>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</si>
  <si>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</si>
  <si>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</si>
  <si>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</si>
  <si>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</si>
  <si>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Neha</t>
  </si>
  <si>
    <t>Python</t>
  </si>
  <si>
    <t>C105</t>
  </si>
  <si>
    <t>Aman</t>
  </si>
  <si>
    <t>Tablueau</t>
  </si>
  <si>
    <t>1. Retrieve Course name for C103.</t>
  </si>
  <si>
    <t>2. Retrieve Fees for C104.</t>
  </si>
  <si>
    <t>3. If Course ID entered in any cell, display Name.</t>
  </si>
  <si>
    <t>4. If Course ID entered in any cell, display Fees.</t>
  </si>
  <si>
    <t>Emp ID</t>
  </si>
  <si>
    <t>Department</t>
  </si>
  <si>
    <t>Salary</t>
  </si>
  <si>
    <t>City</t>
  </si>
  <si>
    <t>E101</t>
  </si>
  <si>
    <t>Amit</t>
  </si>
  <si>
    <t>HR</t>
  </si>
  <si>
    <t>Delhi</t>
  </si>
  <si>
    <t>E102</t>
  </si>
  <si>
    <t>IT</t>
  </si>
  <si>
    <t>Mumbai</t>
  </si>
  <si>
    <t>E103</t>
  </si>
  <si>
    <t>Rahul</t>
  </si>
  <si>
    <t>Finance</t>
  </si>
  <si>
    <t>Kolkata</t>
  </si>
  <si>
    <t>E104</t>
  </si>
  <si>
    <t>Priya</t>
  </si>
  <si>
    <t>Bangalore</t>
  </si>
  <si>
    <t>E105</t>
  </si>
  <si>
    <t>Arjun</t>
  </si>
  <si>
    <t>Marketing</t>
  </si>
  <si>
    <t>Pune</t>
  </si>
  <si>
    <t>E106</t>
  </si>
  <si>
    <t>Riya</t>
  </si>
  <si>
    <t>E107</t>
  </si>
  <si>
    <t>Karan</t>
  </si>
  <si>
    <t>E108</t>
  </si>
  <si>
    <t>Sneha</t>
  </si>
  <si>
    <t>Chennai</t>
  </si>
  <si>
    <t>1. Find the Name of employee with Emp ID E104 using VLOOKUP.</t>
  </si>
  <si>
    <t>2. Find the Department of employee E103.</t>
  </si>
  <si>
    <t>3. Find the Salary of employee E108.</t>
  </si>
  <si>
    <t>4. Find the City of employee E105.</t>
  </si>
  <si>
    <t>5. If Emp ID is entered in any cell, retrieve the Salary automatically.</t>
  </si>
  <si>
    <t>6. If Emp ID is entered in any cell, retrieve the Department.</t>
  </si>
  <si>
    <t>Student ID</t>
  </si>
  <si>
    <t>Maths</t>
  </si>
  <si>
    <t>Science</t>
  </si>
  <si>
    <t>English</t>
  </si>
  <si>
    <t>S101</t>
  </si>
  <si>
    <t>Asha</t>
  </si>
  <si>
    <t>S102</t>
  </si>
  <si>
    <t>Ravi</t>
  </si>
  <si>
    <t>S103</t>
  </si>
  <si>
    <t>Meena</t>
  </si>
  <si>
    <t>S104</t>
  </si>
  <si>
    <t>S105</t>
  </si>
  <si>
    <t>Kiran</t>
  </si>
  <si>
    <t>1. Find Maths marks of S103.</t>
  </si>
  <si>
    <t>2. Find Science marks of S102.</t>
  </si>
  <si>
    <t>3. Find English marks of S105.</t>
  </si>
  <si>
    <t>4. If Student ID is entered in any cell, return the Name.</t>
  </si>
  <si>
    <t>5. Retrieve Science marks dynamically using Student ID in any cell.</t>
  </si>
  <si>
    <t>s103</t>
  </si>
  <si>
    <t>s105</t>
  </si>
  <si>
    <t>s104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</si>
</sst>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D516-96CF-4EF4-9E3A-DB6F10C123E5}">
  <dimension ref="A1:H19"/>
  <sheetViews>
    <sheetView topLeftCell="A10" workbookViewId="0">
      <selection activeCell="H22" sqref="H22"/>
    </sheetView>
  </sheetViews>
  <sheetFormatPr defaultRowHeight="14.4" x14ac:dyDescent="0.3"/>
  <cols>
    <col min="1" max="1" width="12.6640625" bestFit="1" customWidth="1"/>
    <col min="2" max="2" width="6.6640625" bestFit="1" customWidth="1"/>
    <col min="3" max="3" width="6.5546875" bestFit="1" customWidth="1"/>
    <col min="4" max="4" width="8.6640625" bestFit="1" customWidth="1"/>
    <col min="5" max="5" width="7.66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t="s">
        <v>14</v>
      </c>
    </row>
    <row r="2" spans="1: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H2" t="s">
        <v>15</v>
      </c>
    </row>
    <row r="3" spans="1:8" x14ac:dyDescent="0.3">
      <c r="A3" s="2" t="s">
        <v>12</v>
      </c>
      <c r="B3" s="2">
        <v>55000</v>
      </c>
      <c r="C3" s="2">
        <v>500</v>
      </c>
      <c r="D3" s="2">
        <v>1200</v>
      </c>
      <c r="E3" s="2">
        <v>3000</v>
      </c>
      <c r="F3" s="2">
        <v>7000</v>
      </c>
      <c r="H3" t="s">
        <v>16</v>
      </c>
    </row>
    <row r="4" spans="1:8" x14ac:dyDescent="0.3">
      <c r="A4" s="2" t="s">
        <v>13</v>
      </c>
      <c r="B4" s="2">
        <v>25</v>
      </c>
      <c r="C4" s="2">
        <v>150</v>
      </c>
      <c r="D4" s="2">
        <v>80</v>
      </c>
      <c r="E4" s="2">
        <v>40</v>
      </c>
      <c r="F4" s="2">
        <v>35</v>
      </c>
      <c r="H4" t="s">
        <v>17</v>
      </c>
    </row>
    <row r="5" spans="1:8" x14ac:dyDescent="0.3">
      <c r="H5" t="s">
        <v>18</v>
      </c>
    </row>
    <row r="6" spans="1:8" x14ac:dyDescent="0.3">
      <c r="B6" s="2" t="s">
        <v>3</v>
      </c>
    </row>
    <row r="7" spans="1:8" x14ac:dyDescent="0.3">
      <c r="A7" s="2" t="s">
        <v>12</v>
      </c>
      <c r="B7">
        <f>HLOOKUP(B6,A1:F4,3,0)</f>
        <v>1200</v>
      </c>
    </row>
    <row r="9" spans="1:8" x14ac:dyDescent="0.3">
      <c r="B9" s="2" t="s">
        <v>4</v>
      </c>
    </row>
    <row r="10" spans="1:8" x14ac:dyDescent="0.3">
      <c r="A10" s="2" t="s">
        <v>13</v>
      </c>
      <c r="B10">
        <f>HLOOKUP(B9,A1:F4,4,0)</f>
        <v>40</v>
      </c>
    </row>
    <row r="12" spans="1:8" x14ac:dyDescent="0.3">
      <c r="B12" s="2" t="s">
        <v>1</v>
      </c>
    </row>
    <row r="13" spans="1:8" x14ac:dyDescent="0.3">
      <c r="A13" s="2" t="s">
        <v>6</v>
      </c>
      <c r="B13" t="str">
        <f>HLOOKUP(B12,A1:B4,2,0)</f>
        <v>Laptop</v>
      </c>
    </row>
    <row r="15" spans="1:8" x14ac:dyDescent="0.3">
      <c r="A15" s="2" t="s">
        <v>0</v>
      </c>
      <c r="B15" s="2" t="s">
        <v>2</v>
      </c>
    </row>
    <row r="16" spans="1:8" x14ac:dyDescent="0.3">
      <c r="A16" s="2" t="s">
        <v>12</v>
      </c>
      <c r="B16">
        <f>HLOOKUP(B15,A1:F4,3,0)</f>
        <v>500</v>
      </c>
    </row>
    <row r="18" spans="1:2" x14ac:dyDescent="0.3">
      <c r="A18" s="2" t="s">
        <v>0</v>
      </c>
      <c r="B18" s="2" t="s">
        <v>2</v>
      </c>
    </row>
    <row r="19" spans="1:2" x14ac:dyDescent="0.3">
      <c r="A19" s="2" t="s">
        <v>13</v>
      </c>
      <c r="B19">
        <f>HLOOKUP(B18,A1:F4,4,0)</f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4237-25E1-464D-B443-C7458EE38AA1}">
  <dimension ref="A1:F18"/>
  <sheetViews>
    <sheetView topLeftCell="A8" workbookViewId="0">
      <selection activeCell="E18" sqref="E18"/>
    </sheetView>
  </sheetViews>
  <sheetFormatPr defaultRowHeight="14.4" x14ac:dyDescent="0.3"/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</row>
    <row r="2" spans="1:6" x14ac:dyDescent="0.3">
      <c r="A2" s="1" t="s">
        <v>23</v>
      </c>
      <c r="B2" s="1" t="s">
        <v>24</v>
      </c>
      <c r="C2" s="1" t="s">
        <v>25</v>
      </c>
      <c r="D2" s="1">
        <v>3000</v>
      </c>
      <c r="F2" t="s">
        <v>38</v>
      </c>
    </row>
    <row r="3" spans="1:6" x14ac:dyDescent="0.3">
      <c r="A3" s="1" t="s">
        <v>26</v>
      </c>
      <c r="B3" s="1" t="s">
        <v>27</v>
      </c>
      <c r="C3" s="1" t="s">
        <v>28</v>
      </c>
      <c r="D3" s="1">
        <v>5000</v>
      </c>
      <c r="F3" t="s">
        <v>39</v>
      </c>
    </row>
    <row r="4" spans="1:6" x14ac:dyDescent="0.3">
      <c r="A4" s="1" t="s">
        <v>29</v>
      </c>
      <c r="B4" s="1" t="s">
        <v>30</v>
      </c>
      <c r="C4" s="1" t="s">
        <v>31</v>
      </c>
      <c r="D4" s="1">
        <v>4000</v>
      </c>
      <c r="F4" t="s">
        <v>40</v>
      </c>
    </row>
    <row r="5" spans="1:6" x14ac:dyDescent="0.3">
      <c r="A5" s="1" t="s">
        <v>32</v>
      </c>
      <c r="B5" s="1" t="s">
        <v>33</v>
      </c>
      <c r="C5" s="1" t="s">
        <v>34</v>
      </c>
      <c r="D5" s="1">
        <v>6000</v>
      </c>
      <c r="F5" t="s">
        <v>41</v>
      </c>
    </row>
    <row r="6" spans="1:6" x14ac:dyDescent="0.3">
      <c r="A6" s="1" t="s">
        <v>35</v>
      </c>
      <c r="B6" s="1" t="s">
        <v>36</v>
      </c>
      <c r="C6" s="1" t="s">
        <v>37</v>
      </c>
      <c r="D6" s="1">
        <v>4500</v>
      </c>
    </row>
    <row r="8" spans="1:6" x14ac:dyDescent="0.3">
      <c r="B8" s="1" t="s">
        <v>29</v>
      </c>
    </row>
    <row r="9" spans="1:6" x14ac:dyDescent="0.3">
      <c r="A9" s="1" t="s">
        <v>21</v>
      </c>
      <c r="B9" t="str">
        <f>VLOOKUP(B8,A1:D6,3,0)</f>
        <v>SQL</v>
      </c>
    </row>
    <row r="11" spans="1:6" x14ac:dyDescent="0.3">
      <c r="B11" s="1" t="s">
        <v>32</v>
      </c>
    </row>
    <row r="12" spans="1:6" x14ac:dyDescent="0.3">
      <c r="A12" s="1" t="s">
        <v>22</v>
      </c>
      <c r="B12">
        <f>VLOOKUP(B11,A1:D6,4,FALSE)</f>
        <v>6000</v>
      </c>
    </row>
    <row r="14" spans="1:6" x14ac:dyDescent="0.3">
      <c r="A14" s="1" t="s">
        <v>19</v>
      </c>
      <c r="B14" s="1" t="s">
        <v>32</v>
      </c>
    </row>
    <row r="15" spans="1:6" x14ac:dyDescent="0.3">
      <c r="A15" s="1" t="s">
        <v>20</v>
      </c>
      <c r="B15" t="str">
        <f>VLOOKUP(B14,A1:D6,2,0)</f>
        <v>Neha</v>
      </c>
    </row>
    <row r="17" spans="1:2" x14ac:dyDescent="0.3">
      <c r="A17" s="1" t="s">
        <v>19</v>
      </c>
      <c r="B17" s="1" t="s">
        <v>29</v>
      </c>
    </row>
    <row r="18" spans="1:2" x14ac:dyDescent="0.3">
      <c r="A18" s="1" t="s">
        <v>22</v>
      </c>
      <c r="B18">
        <f>VLOOKUP(B17,A1:D6,4,FALSE)</f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51C0-B743-44BE-9E50-5A23E22C2017}">
  <dimension ref="A1:G27"/>
  <sheetViews>
    <sheetView topLeftCell="A24" workbookViewId="0">
      <selection activeCell="E32" sqref="E32"/>
    </sheetView>
  </sheetViews>
  <sheetFormatPr defaultRowHeight="14.4" x14ac:dyDescent="0.3"/>
  <cols>
    <col min="1" max="1" width="10.77734375" bestFit="1" customWidth="1"/>
  </cols>
  <sheetData>
    <row r="1" spans="1:7" x14ac:dyDescent="0.3">
      <c r="A1" s="1" t="s">
        <v>42</v>
      </c>
      <c r="B1" s="1" t="s">
        <v>20</v>
      </c>
      <c r="C1" s="1" t="s">
        <v>43</v>
      </c>
      <c r="D1" s="1" t="s">
        <v>44</v>
      </c>
      <c r="E1" s="1" t="s">
        <v>45</v>
      </c>
    </row>
    <row r="2" spans="1:7" x14ac:dyDescent="0.3">
      <c r="A2" s="1" t="s">
        <v>46</v>
      </c>
      <c r="B2" s="1" t="s">
        <v>47</v>
      </c>
      <c r="C2" s="1" t="s">
        <v>48</v>
      </c>
      <c r="D2" s="1">
        <v>35000</v>
      </c>
      <c r="E2" s="1" t="s">
        <v>49</v>
      </c>
      <c r="G2" t="s">
        <v>71</v>
      </c>
    </row>
    <row r="3" spans="1:7" x14ac:dyDescent="0.3">
      <c r="A3" s="1" t="s">
        <v>50</v>
      </c>
      <c r="B3" s="1" t="s">
        <v>33</v>
      </c>
      <c r="C3" s="1" t="s">
        <v>51</v>
      </c>
      <c r="D3" s="1">
        <v>50000</v>
      </c>
      <c r="E3" s="1" t="s">
        <v>52</v>
      </c>
      <c r="G3" t="s">
        <v>72</v>
      </c>
    </row>
    <row r="4" spans="1:7" x14ac:dyDescent="0.3">
      <c r="A4" s="1" t="s">
        <v>53</v>
      </c>
      <c r="B4" s="1" t="s">
        <v>54</v>
      </c>
      <c r="C4" s="1" t="s">
        <v>55</v>
      </c>
      <c r="D4" s="1">
        <v>45000</v>
      </c>
      <c r="E4" s="1" t="s">
        <v>56</v>
      </c>
      <c r="G4" t="s">
        <v>73</v>
      </c>
    </row>
    <row r="5" spans="1:7" x14ac:dyDescent="0.3">
      <c r="A5" s="1" t="s">
        <v>57</v>
      </c>
      <c r="B5" s="1" t="s">
        <v>58</v>
      </c>
      <c r="C5" s="1" t="s">
        <v>51</v>
      </c>
      <c r="D5" s="1">
        <v>52000</v>
      </c>
      <c r="E5" s="1" t="s">
        <v>59</v>
      </c>
      <c r="G5" t="s">
        <v>74</v>
      </c>
    </row>
    <row r="6" spans="1:7" x14ac:dyDescent="0.3">
      <c r="A6" s="1" t="s">
        <v>60</v>
      </c>
      <c r="B6" s="1" t="s">
        <v>61</v>
      </c>
      <c r="C6" s="1" t="s">
        <v>62</v>
      </c>
      <c r="D6" s="1">
        <v>40000</v>
      </c>
      <c r="E6" s="1" t="s">
        <v>63</v>
      </c>
      <c r="G6" t="s">
        <v>75</v>
      </c>
    </row>
    <row r="7" spans="1:7" x14ac:dyDescent="0.3">
      <c r="A7" s="1" t="s">
        <v>64</v>
      </c>
      <c r="B7" s="1" t="s">
        <v>65</v>
      </c>
      <c r="C7" s="1" t="s">
        <v>48</v>
      </c>
      <c r="D7" s="1">
        <v>36000</v>
      </c>
      <c r="E7" s="1" t="s">
        <v>49</v>
      </c>
      <c r="G7" t="s">
        <v>76</v>
      </c>
    </row>
    <row r="8" spans="1:7" x14ac:dyDescent="0.3">
      <c r="A8" s="1" t="s">
        <v>66</v>
      </c>
      <c r="B8" s="1" t="s">
        <v>67</v>
      </c>
      <c r="C8" s="1" t="s">
        <v>55</v>
      </c>
      <c r="D8" s="1">
        <v>47000</v>
      </c>
      <c r="E8" s="1" t="s">
        <v>52</v>
      </c>
    </row>
    <row r="9" spans="1:7" x14ac:dyDescent="0.3">
      <c r="A9" s="1" t="s">
        <v>68</v>
      </c>
      <c r="B9" s="1" t="s">
        <v>69</v>
      </c>
      <c r="C9" s="1" t="s">
        <v>62</v>
      </c>
      <c r="D9" s="1">
        <v>42000</v>
      </c>
      <c r="E9" s="1" t="s">
        <v>70</v>
      </c>
    </row>
    <row r="11" spans="1:7" x14ac:dyDescent="0.3">
      <c r="A11" s="1" t="s">
        <v>42</v>
      </c>
      <c r="B11" s="1" t="s">
        <v>57</v>
      </c>
    </row>
    <row r="12" spans="1:7" x14ac:dyDescent="0.3">
      <c r="A12" s="1" t="s">
        <v>20</v>
      </c>
      <c r="B12" t="str">
        <f>VLOOKUP(B11,A1:E9,2,0)</f>
        <v>Priya</v>
      </c>
    </row>
    <row r="14" spans="1:7" x14ac:dyDescent="0.3">
      <c r="A14" s="1" t="s">
        <v>42</v>
      </c>
      <c r="B14" s="1" t="s">
        <v>53</v>
      </c>
    </row>
    <row r="15" spans="1:7" x14ac:dyDescent="0.3">
      <c r="A15" s="1" t="s">
        <v>43</v>
      </c>
      <c r="B15" t="str">
        <f>VLOOKUP(B14,A1:E9,3,0)</f>
        <v>Finance</v>
      </c>
    </row>
    <row r="17" spans="1:2" x14ac:dyDescent="0.3">
      <c r="A17" s="1" t="s">
        <v>42</v>
      </c>
      <c r="B17" s="1" t="s">
        <v>68</v>
      </c>
    </row>
    <row r="18" spans="1:2" x14ac:dyDescent="0.3">
      <c r="A18" s="1" t="s">
        <v>44</v>
      </c>
      <c r="B18">
        <f>VLOOKUP(B17,A1:E9,4,0)</f>
        <v>42000</v>
      </c>
    </row>
    <row r="20" spans="1:2" x14ac:dyDescent="0.3">
      <c r="A20" s="1" t="s">
        <v>42</v>
      </c>
      <c r="B20" s="1" t="s">
        <v>60</v>
      </c>
    </row>
    <row r="21" spans="1:2" x14ac:dyDescent="0.3">
      <c r="A21" s="1" t="s">
        <v>45</v>
      </c>
      <c r="B21" t="str">
        <f>VLOOKUP(B20,A1:E9,5,0)</f>
        <v>Pune</v>
      </c>
    </row>
    <row r="23" spans="1:2" x14ac:dyDescent="0.3">
      <c r="A23" s="1" t="s">
        <v>42</v>
      </c>
      <c r="B23" s="1" t="s">
        <v>50</v>
      </c>
    </row>
    <row r="24" spans="1:2" x14ac:dyDescent="0.3">
      <c r="A24" s="1" t="s">
        <v>44</v>
      </c>
      <c r="B24">
        <f>VLOOKUP(B23,A1:E9,4,0)</f>
        <v>50000</v>
      </c>
    </row>
    <row r="26" spans="1:2" x14ac:dyDescent="0.3">
      <c r="A26" s="1" t="s">
        <v>42</v>
      </c>
      <c r="B26" s="1" t="s">
        <v>64</v>
      </c>
    </row>
    <row r="27" spans="1:2" x14ac:dyDescent="0.3">
      <c r="A27" s="1" t="s">
        <v>43</v>
      </c>
      <c r="B27" t="str">
        <f>VLOOKUP(B26,A1:E9,3,0)</f>
        <v>HR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945-5F28-4A82-ADBC-B6CA3B26B5D7}">
  <dimension ref="A1:G22"/>
  <sheetViews>
    <sheetView tabSelected="1" topLeftCell="A10" workbookViewId="0">
      <selection activeCell="D23" sqref="D23"/>
    </sheetView>
  </sheetViews>
  <sheetFormatPr defaultRowHeight="14.4" x14ac:dyDescent="0.3"/>
  <sheetData>
    <row r="1" spans="1:7" x14ac:dyDescent="0.3">
      <c r="A1" s="1" t="s">
        <v>77</v>
      </c>
      <c r="B1" s="1" t="s">
        <v>20</v>
      </c>
      <c r="C1" s="1" t="s">
        <v>78</v>
      </c>
      <c r="D1" s="1" t="s">
        <v>79</v>
      </c>
      <c r="E1" s="1" t="s">
        <v>80</v>
      </c>
    </row>
    <row r="2" spans="1:7" x14ac:dyDescent="0.3">
      <c r="A2" s="1" t="s">
        <v>81</v>
      </c>
      <c r="B2" s="1" t="s">
        <v>82</v>
      </c>
      <c r="C2" s="1">
        <v>78</v>
      </c>
      <c r="D2" s="1">
        <v>82</v>
      </c>
      <c r="E2" s="1">
        <v>74</v>
      </c>
      <c r="G2" t="s">
        <v>90</v>
      </c>
    </row>
    <row r="3" spans="1:7" x14ac:dyDescent="0.3">
      <c r="A3" s="1" t="s">
        <v>83</v>
      </c>
      <c r="B3" s="1" t="s">
        <v>84</v>
      </c>
      <c r="C3" s="1">
        <v>65</v>
      </c>
      <c r="D3" s="1">
        <v>70</v>
      </c>
      <c r="E3" s="1">
        <v>68</v>
      </c>
      <c r="G3" t="s">
        <v>91</v>
      </c>
    </row>
    <row r="4" spans="1:7" x14ac:dyDescent="0.3">
      <c r="A4" s="1" t="s">
        <v>85</v>
      </c>
      <c r="B4" s="1" t="s">
        <v>86</v>
      </c>
      <c r="C4" s="1">
        <v>88</v>
      </c>
      <c r="D4" s="1">
        <v>91</v>
      </c>
      <c r="E4" s="1">
        <v>85</v>
      </c>
      <c r="G4" t="s">
        <v>92</v>
      </c>
    </row>
    <row r="5" spans="1:7" x14ac:dyDescent="0.3">
      <c r="A5" s="1" t="s">
        <v>87</v>
      </c>
      <c r="B5" s="1" t="s">
        <v>61</v>
      </c>
      <c r="C5" s="1">
        <v>72</v>
      </c>
      <c r="D5" s="1">
        <v>75</v>
      </c>
      <c r="E5" s="1">
        <v>70</v>
      </c>
      <c r="G5" t="s">
        <v>93</v>
      </c>
    </row>
    <row r="6" spans="1:7" x14ac:dyDescent="0.3">
      <c r="A6" s="1" t="s">
        <v>88</v>
      </c>
      <c r="B6" s="1" t="s">
        <v>89</v>
      </c>
      <c r="C6" s="1">
        <v>90</v>
      </c>
      <c r="D6" s="1">
        <v>93</v>
      </c>
      <c r="E6" s="1">
        <v>89</v>
      </c>
      <c r="G6" t="s">
        <v>94</v>
      </c>
    </row>
    <row r="9" spans="1:7" x14ac:dyDescent="0.3">
      <c r="A9" s="1" t="s">
        <v>77</v>
      </c>
      <c r="B9" s="1" t="s">
        <v>95</v>
      </c>
    </row>
    <row r="10" spans="1:7" x14ac:dyDescent="0.3">
      <c r="A10" s="1" t="s">
        <v>78</v>
      </c>
      <c r="B10">
        <f>VLOOKUP(B9,A1:E6,3,0)</f>
        <v>88</v>
      </c>
    </row>
    <row r="12" spans="1:7" x14ac:dyDescent="0.3">
      <c r="A12" s="1" t="s">
        <v>77</v>
      </c>
      <c r="B12" s="1" t="s">
        <v>83</v>
      </c>
    </row>
    <row r="13" spans="1:7" x14ac:dyDescent="0.3">
      <c r="A13" s="1" t="s">
        <v>79</v>
      </c>
      <c r="B13">
        <f>VLOOKUP(B12,A1:E6,4,0)</f>
        <v>70</v>
      </c>
    </row>
    <row r="15" spans="1:7" x14ac:dyDescent="0.3">
      <c r="A15" s="1" t="s">
        <v>77</v>
      </c>
      <c r="B15" s="1" t="s">
        <v>96</v>
      </c>
    </row>
    <row r="16" spans="1:7" x14ac:dyDescent="0.3">
      <c r="A16" s="1" t="s">
        <v>80</v>
      </c>
      <c r="B16">
        <f>VLOOKUP(B15,A1:E6,5,0)</f>
        <v>89</v>
      </c>
    </row>
    <row r="18" spans="1:2" x14ac:dyDescent="0.3">
      <c r="A18" s="1" t="s">
        <v>77</v>
      </c>
      <c r="B18" s="1" t="s">
        <v>97</v>
      </c>
    </row>
    <row r="19" spans="1:2" x14ac:dyDescent="0.3">
      <c r="A19" s="1" t="s">
        <v>20</v>
      </c>
      <c r="B19" t="str">
        <f>VLOOKUP(B18,A1:E6,2,0)</f>
        <v>Arjun</v>
      </c>
    </row>
    <row r="21" spans="1:2" x14ac:dyDescent="0.3">
      <c r="A21" s="1" t="s">
        <v>77</v>
      </c>
      <c r="B21" s="1" t="s">
        <v>81</v>
      </c>
    </row>
    <row r="22" spans="1:2" x14ac:dyDescent="0.3">
      <c r="A22" s="1" t="s">
        <v>79</v>
      </c>
      <c r="B22">
        <f>VLOOKUP(B21,A1:E6,4,0)</f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Course</vt:lpstr>
      <vt:lpstr>Employee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2026-03-10T07:30:12Z</dcterms:created>
  <dcterms:modified xsi:type="dcterms:W3CDTF">2026-03-10T08:10:37Z</dcterms:modified>
</cp:coreProperties>
</file>