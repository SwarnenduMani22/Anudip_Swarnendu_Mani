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s" sheetId="1" state="visible" r:id="rId3"/>
    <sheet name="Or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<sst xmlns="http://schemas.openxmlformats.org/spreadsheetml/2006/main" count="27" uniqueCount="26">
  <si>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ProductID</t>
  </si>
  <si>
    <t xml:space="preserve">Product</t>
  </si>
  <si>
    <t xml:space="preserve">Price</t>
  </si>
  <si>
    <t xml:space="preserve">Ordered/Not Ordered</t>
  </si>
  <si>
    <t xml:space="preserve">ProductA</t>
  </si>
  <si>
    <t xml:space="preserve">ProductB</t>
  </si>
  <si>
    <t xml:space="preserve">ProductC</t>
  </si>
  <si>
    <t xml:space="preserve">ProductD</t>
  </si>
  <si>
    <t xml:space="preserve">ProductE</t>
  </si>
  <si>
    <t xml:space="preserve">ProductF</t>
  </si>
  <si>
    <t xml:space="preserve">ProductH</t>
  </si>
  <si>
    <t xml:space="preserve">6. Use VLOOKUP to find out which products from the Products worksheet have not been ordered.</t>
  </si>
  <si>
    <t xml:space="preserve">OrderId</t>
  </si>
  <si>
    <t xml:space="preserve">ProductId</t>
  </si>
  <si>
    <t xml:space="preserve">Quantity</t>
  </si>
  <si>
    <t xml:space="preserve">Products</t>
  </si>
  <si>
    <t xml:space="preserve">TotalPrice</t>
  </si>
  <si>
    <t xml:space="preserve">Prod.Present/Not</t>
  </si>
  <si>
    <t xml:space="preserve">Discounted Price</t>
  </si>
  <si>
    <t xml:space="preserve">Maximum order value</t>
  </si>
  <si>
    <t xml:space="preserve">1. Use VLOOKUP to find the product names for each ProductID in the Orders worksheet.</t>
  </si>
  <si>
    <t xml:space="preserve">2. Use VLOOKUP to find the price for each ProductID in the Orders worksheet, then calculate the TotalPrice by multiplying the Quantity by the Product Price.</t>
  </si>
  <si>
    <t xml:space="preserve">3. Use VLOOKUP to check if there are any ProductIDs in the Orders worksheet that do not exist in the Products worksheet.</t>
  </si>
  <si>
    <t xml:space="preserve">4. Assume a discount of 10% is given on all products. Use VLOOKUP to find the original price and then calculate the discounted price.</t>
  </si>
  <si>
    <t xml:space="preserve">5. Use VLOOKUP to find the price for each ProductID and then calculate the order value. Find the maximum order value from the list.</t>
  </si>
  <si>
    <t xml:space="preserve">7. Use VLOOKUP to find the Product name and summarize the total quantity sold for each product.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</si>
</sst>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ptos Narrow"/>
      <family val="2"/>
      <charset val="1"/>
    </font>
    <font>
      <b val="true"/>
      <i val="true"/>
      <u val="single"/>
      <sz val="12"/>
      <color theme="1"/>
      <name val="Aptos Narrow"/>
      <family val="2"/>
      <charset val="1"/>
    </font>
    <font>
      <b val="true"/>
      <i val="true"/>
      <u val="single"/>
      <sz val="16"/>
      <color theme="1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47D45A"/>
      </patternFill>
    </fill>
    <fill>
      <patternFill patternType="solid">
        <fgColor theme="4" tint="0.7999"/>
        <bgColor rgb="FFCCFFFF"/>
      </patternFill>
    </fill>
    <fill>
      <patternFill patternType="solid">
        <fgColor theme="5" tint="0.5999"/>
        <bgColor rgb="FFC0C0C0"/>
      </patternFill>
    </fill>
    <fill>
      <patternFill patternType="solid">
        <fgColor theme="6" tint="0.3999"/>
        <bgColor rgb="FF92D050"/>
      </patternFill>
    </fill>
    <fill>
      <patternFill patternType="solid">
        <fgColor theme="8" tint="0.5999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6C6AD"/>
      <rgbColor rgb="FF3366FF"/>
      <rgbColor rgb="FF47D45A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79" workbookViewId="0">
      <selection pane="topLeft" activeCell="A1" activeCellId="0" sqref="A1"/>
    </sheetView>
  </sheetViews>
  <sheetFormatPr defaultColWidth="10.00390625" defaultRowHeight="15" outlineLevelRow="0" outlineLevelCol="0"/>
  <cols>
    <col bestFit="true" collapsed="false" customWidth="true" hidden="false" outlineLevel="0" max="1" min="1" style="0" width="12.43"/>
    <col bestFit="true" collapsed="false" customWidth="true" hidden="false" outlineLevel="0" max="2" min="2" style="0" width="11.71"/>
    <col bestFit="true" collapsed="false" customWidth="true" hidden="false" outlineLevel="0" max="3" min="3" style="0" width="6.86"/>
    <col bestFit="true" collapsed="false" customWidth="true" hidden="false" outlineLevel="0" max="4" min="4" style="0" width="25.29"/>
  </cols>
  <sheetData>
    <row r="1" customFormat="false" ht="18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8.75" hidden="false" customHeight="false" outlineLevel="0" collapsed="false">
      <c r="A2" s="1" t="n">
        <v>101</v>
      </c>
      <c r="B2" s="1" t="s">
        <v>4</v>
      </c>
      <c r="C2" s="1" t="n">
        <v>120</v>
      </c>
      <c r="D2" s="1" t="str">
        <f aca="false">IF(ISNA(VLOOKUP(A2,Orders!$B$1:$B$8,1,0)),"Not Ordered","Ordered")</f>
        <v>Ordered</v>
      </c>
    </row>
    <row r="3" customFormat="false" ht="18.75" hidden="false" customHeight="false" outlineLevel="0" collapsed="false">
      <c r="A3" s="1" t="n">
        <v>102</v>
      </c>
      <c r="B3" s="1" t="s">
        <v>5</v>
      </c>
      <c r="C3" s="1" t="n">
        <v>150</v>
      </c>
      <c r="D3" s="1" t="str">
        <f aca="false">IF(ISNA(VLOOKUP(A3,Orders!$B$1:$B$8,1,0)),"Not Ordered","Ordered")</f>
        <v>Ordered</v>
      </c>
    </row>
    <row r="4" customFormat="false" ht="18.75" hidden="false" customHeight="false" outlineLevel="0" collapsed="false">
      <c r="A4" s="1" t="n">
        <v>103</v>
      </c>
      <c r="B4" s="1" t="s">
        <v>6</v>
      </c>
      <c r="C4" s="1" t="n">
        <v>200</v>
      </c>
      <c r="D4" s="1" t="str">
        <f aca="false">IF(ISNA(VLOOKUP(A4,Orders!$B$1:$B$8,1,0)),"Not Ordered","Ordered")</f>
        <v>Ordered</v>
      </c>
    </row>
    <row r="5" customFormat="false" ht="18.75" hidden="false" customHeight="false" outlineLevel="0" collapsed="false">
      <c r="A5" s="1" t="n">
        <v>104</v>
      </c>
      <c r="B5" s="1" t="s">
        <v>7</v>
      </c>
      <c r="C5" s="1" t="n">
        <v>90</v>
      </c>
      <c r="D5" s="1" t="str">
        <f aca="false">IF(ISNA(VLOOKUP(A5,Orders!$B$1:$B$8,1,0)),"Not Ordered","Ordered")</f>
        <v>Ordered</v>
      </c>
    </row>
    <row r="6" customFormat="false" ht="18.75" hidden="false" customHeight="false" outlineLevel="0" collapsed="false">
      <c r="A6" s="1" t="n">
        <v>105</v>
      </c>
      <c r="B6" s="1" t="s">
        <v>8</v>
      </c>
      <c r="C6" s="1" t="n">
        <v>220</v>
      </c>
      <c r="D6" s="1" t="str">
        <f aca="false">IF(ISNA(VLOOKUP(A6,Orders!$B$1:$B$8,1,0)),"Not Ordered","Ordered")</f>
        <v>Ordered</v>
      </c>
    </row>
    <row r="7" customFormat="false" ht="18.75" hidden="false" customHeight="false" outlineLevel="0" collapsed="false">
      <c r="A7" s="1" t="n">
        <v>106</v>
      </c>
      <c r="B7" s="1" t="s">
        <v>9</v>
      </c>
      <c r="C7" s="1" t="n">
        <v>130</v>
      </c>
      <c r="D7" s="1" t="str">
        <f aca="false">IF(ISNA(VLOOKUP(A7,Orders!$B$1:$B$8,1,0)),"Not Ordered","Ordered")</f>
        <v>Ordered</v>
      </c>
    </row>
    <row r="8" customFormat="false" ht="18.75" hidden="false" customHeight="false" outlineLevel="0" collapsed="false">
      <c r="A8" s="1" t="n">
        <v>108</v>
      </c>
      <c r="B8" s="1" t="s">
        <v>10</v>
      </c>
      <c r="C8" s="1" t="n">
        <v>20</v>
      </c>
      <c r="D8" s="1" t="str">
        <f aca="false">IF(ISNA(VLOOKUP(A8,Orders!$B$1:$B$8,1,0)),"Not Ordered","Ordered")</f>
        <v>Not Ordered</v>
      </c>
    </row>
    <row r="10" customFormat="false" ht="15.75" hidden="false" customHeight="false" outlineLevel="0" collapsed="false">
      <c r="A10" s="3" t="s">
        <v>11</v>
      </c>
      <c r="B10" s="3"/>
      <c r="C10" s="3"/>
      <c r="D10" s="3"/>
      <c r="E10" s="3"/>
      <c r="F10" s="3"/>
      <c r="G10" s="3"/>
      <c r="H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70" workbookViewId="0">
      <selection pane="topLeft" activeCell="A1" activeCellId="0" sqref="A1"/>
    </sheetView>
  </sheetViews>
  <sheetFormatPr defaultColWidth="10.00390625" defaultRowHeight="15" outlineLevelRow="0" outlineLevelCol="0"/>
  <cols>
    <col bestFit="true" collapsed="false" customWidth="true" hidden="false" outlineLevel="0" max="1" min="1" style="0" width="9.86"/>
    <col bestFit="true" collapsed="false" customWidth="true" hidden="false" outlineLevel="0" max="2" min="2" style="0" width="12.29"/>
    <col bestFit="true" collapsed="false" customWidth="true" hidden="false" outlineLevel="0" max="3" min="3" style="0" width="10.71"/>
    <col bestFit="true" collapsed="false" customWidth="true" hidden="false" outlineLevel="0" max="4" min="4" style="0" width="11.71"/>
    <col bestFit="true" collapsed="false" customWidth="true" hidden="false" outlineLevel="0" max="5" min="5" style="0" width="6.86"/>
    <col bestFit="true" collapsed="false" customWidth="true" hidden="false" outlineLevel="0" max="6" min="6" style="0" width="12.57"/>
    <col bestFit="true" collapsed="false" customWidth="true" hidden="false" outlineLevel="0" max="7" min="7" style="0" width="21"/>
    <col bestFit="true" collapsed="false" customWidth="true" hidden="false" outlineLevel="0" max="8" min="8" style="0" width="20.71"/>
    <col bestFit="true" collapsed="false" customWidth="true" hidden="false" outlineLevel="0" max="10" min="10" style="0" width="20.29"/>
    <col bestFit="false" collapsed="false" customWidth="true" hidden="false" outlineLevel="0" max="24" min="24" style="0" width="55"/>
  </cols>
  <sheetData>
    <row r="1" customFormat="false" ht="18.75" hidden="false" customHeight="false" outlineLevel="0" collapsed="false">
      <c r="A1" s="5" t="s">
        <v>12</v>
      </c>
      <c r="B1" s="5" t="s">
        <v>13</v>
      </c>
      <c r="C1" s="5" t="s">
        <v>14</v>
      </c>
      <c r="D1" s="6" t="s">
        <v>15</v>
      </c>
      <c r="E1" s="5" t="s">
        <v>2</v>
      </c>
      <c r="F1" s="7" t="s">
        <v>16</v>
      </c>
      <c r="G1" s="8" t="s">
        <v>17</v>
      </c>
      <c r="H1" s="9" t="s">
        <v>18</v>
      </c>
    </row>
    <row r="2" customFormat="false" ht="18.75" hidden="false" customHeight="false" outlineLevel="0" collapsed="false">
      <c r="A2" s="10" t="n">
        <v>1</v>
      </c>
      <c r="B2" s="10" t="n">
        <v>101</v>
      </c>
      <c r="C2" s="10" t="n">
        <v>2</v>
      </c>
      <c r="D2" s="10" t="str">
        <f aca="false">VLOOKUP(B2,Products!$A$1:$C$7,2,0)</f>
        <v>ProductA</v>
      </c>
      <c r="E2" s="10" t="n">
        <f aca="false">VLOOKUP(B2,Products!$A$1:$C$7,3,0)</f>
        <v>120</v>
      </c>
      <c r="F2" s="10" t="n">
        <f aca="false">C2*E2</f>
        <v>240</v>
      </c>
      <c r="G2" s="10" t="str">
        <f aca="false">IF(ISNA(VLOOKUP(B2,Products!$A$1:$A$7,1,0)),"Not Present","Present")</f>
        <v>Present</v>
      </c>
      <c r="H2" s="10" t="n">
        <f aca="false">E2-E2*10%</f>
        <v>108</v>
      </c>
    </row>
    <row r="3" customFormat="false" ht="18.75" hidden="false" customHeight="false" outlineLevel="0" collapsed="false">
      <c r="A3" s="10" t="n">
        <v>2</v>
      </c>
      <c r="B3" s="10" t="n">
        <v>103</v>
      </c>
      <c r="C3" s="10" t="n">
        <v>1</v>
      </c>
      <c r="D3" s="10" t="str">
        <f aca="false">VLOOKUP(B3,Products!$A$1:$C$7,2,0)</f>
        <v>ProductC</v>
      </c>
      <c r="E3" s="10" t="n">
        <f aca="false">VLOOKUP(B3,Products!$A$1:$C$7,3,0)</f>
        <v>200</v>
      </c>
      <c r="F3" s="10" t="n">
        <f aca="false">C3*E3</f>
        <v>200</v>
      </c>
      <c r="G3" s="10" t="str">
        <f aca="false">IF(ISNA(VLOOKUP(B3,Products!$A$1:$A$7,1,0)),"Not Present","Present")</f>
        <v>Present</v>
      </c>
      <c r="H3" s="10" t="n">
        <f aca="false">E3-E3*10%</f>
        <v>180</v>
      </c>
    </row>
    <row r="4" customFormat="false" ht="18.75" hidden="false" customHeight="false" outlineLevel="0" collapsed="false">
      <c r="A4" s="10" t="n">
        <v>3</v>
      </c>
      <c r="B4" s="10" t="n">
        <v>105</v>
      </c>
      <c r="C4" s="10" t="n">
        <v>4</v>
      </c>
      <c r="D4" s="10" t="str">
        <f aca="false">VLOOKUP(B4,Products!$A$1:$C$7,2,0)</f>
        <v>ProductE</v>
      </c>
      <c r="E4" s="10" t="n">
        <f aca="false">VLOOKUP(B4,Products!$A$1:$C$7,3,0)</f>
        <v>220</v>
      </c>
      <c r="F4" s="10" t="n">
        <f aca="false">C4*E4</f>
        <v>880</v>
      </c>
      <c r="G4" s="10" t="str">
        <f aca="false">IF(ISNA(VLOOKUP(B4,Products!$A$1:$A$7,1,0)),"Not Present","Present")</f>
        <v>Present</v>
      </c>
      <c r="H4" s="10" t="n">
        <f aca="false">E4-E4*10%</f>
        <v>198</v>
      </c>
    </row>
    <row r="5" customFormat="false" ht="18.75" hidden="false" customHeight="false" outlineLevel="0" collapsed="false">
      <c r="A5" s="10" t="n">
        <v>4</v>
      </c>
      <c r="B5" s="10" t="n">
        <v>106</v>
      </c>
      <c r="C5" s="10" t="n">
        <v>3</v>
      </c>
      <c r="D5" s="10" t="str">
        <f aca="false">VLOOKUP(B5,Products!$A$1:$C$7,2,0)</f>
        <v>ProductF</v>
      </c>
      <c r="E5" s="10" t="n">
        <f aca="false">VLOOKUP(B5,Products!$A$1:$C$7,3,0)</f>
        <v>130</v>
      </c>
      <c r="F5" s="10" t="n">
        <f aca="false">C5*E5</f>
        <v>390</v>
      </c>
      <c r="G5" s="10" t="str">
        <f aca="false">IF(ISNA(VLOOKUP(B5,Products!$A$1:$A$7,1,0)),"Not Present","Present")</f>
        <v>Present</v>
      </c>
      <c r="H5" s="10" t="n">
        <f aca="false">E5-E5*10%</f>
        <v>117</v>
      </c>
    </row>
    <row r="6" customFormat="false" ht="18.75" hidden="false" customHeight="false" outlineLevel="0" collapsed="false">
      <c r="A6" s="10" t="n">
        <v>5</v>
      </c>
      <c r="B6" s="10" t="n">
        <v>102</v>
      </c>
      <c r="C6" s="10" t="n">
        <v>5</v>
      </c>
      <c r="D6" s="10" t="str">
        <f aca="false">VLOOKUP(B6,Products!$A$1:$C$7,2,0)</f>
        <v>ProductB</v>
      </c>
      <c r="E6" s="10" t="n">
        <f aca="false">VLOOKUP(B6,Products!$A$1:$C$7,3,0)</f>
        <v>150</v>
      </c>
      <c r="F6" s="10" t="n">
        <f aca="false">C6*E6</f>
        <v>750</v>
      </c>
      <c r="G6" s="10" t="str">
        <f aca="false">IF(ISNA(VLOOKUP(B6,Products!$A$1:$A$7,1,0)),"Not Present","Present")</f>
        <v>Present</v>
      </c>
      <c r="H6" s="10" t="n">
        <f aca="false">E6-E6*10%</f>
        <v>135</v>
      </c>
      <c r="J6" s="11" t="s">
        <v>19</v>
      </c>
      <c r="K6" s="12" t="n">
        <f aca="false">MAX(F2:F7)</f>
        <v>880</v>
      </c>
    </row>
    <row r="7" customFormat="false" ht="18.75" hidden="false" customHeight="false" outlineLevel="0" collapsed="false">
      <c r="A7" s="13" t="n">
        <v>6</v>
      </c>
      <c r="B7" s="13" t="n">
        <v>104</v>
      </c>
      <c r="C7" s="13" t="n">
        <v>6</v>
      </c>
      <c r="D7" s="13" t="str">
        <f aca="false">VLOOKUP(B7,Products!$A$1:$C$7,2,0)</f>
        <v>ProductD</v>
      </c>
      <c r="E7" s="13" t="n">
        <f aca="false">VLOOKUP(B7,Products!$A$1:$C$7,3,0)</f>
        <v>90</v>
      </c>
      <c r="F7" s="13" t="n">
        <f aca="false">C7*E7</f>
        <v>540</v>
      </c>
      <c r="G7" s="10" t="str">
        <f aca="false">IF(ISNA(VLOOKUP(B7,Products!$A$1:$A$7,1,0)),"Not Present","Present")</f>
        <v>Present</v>
      </c>
      <c r="H7" s="10" t="n">
        <f aca="false">E7-E7*10%</f>
        <v>81</v>
      </c>
    </row>
    <row r="8" customFormat="false" ht="18.75" hidden="false" customHeight="false" outlineLevel="0" collapsed="false">
      <c r="A8" s="10" t="n">
        <v>7</v>
      </c>
      <c r="B8" s="10" t="n">
        <v>107</v>
      </c>
      <c r="C8" s="10"/>
      <c r="D8" s="10"/>
      <c r="E8" s="10"/>
      <c r="F8" s="10"/>
      <c r="G8" s="10" t="str">
        <f aca="false">IF(ISNA(VLOOKUP(B8,Products!$A$1:$A$7,1,0)),"Not Present","Present")</f>
        <v>Not Present</v>
      </c>
      <c r="H8" s="10" t="n">
        <f aca="false">E8-E8*10%</f>
        <v>0</v>
      </c>
    </row>
    <row r="10" customFormat="false" ht="15.75" hidden="false" customHeight="false" outlineLevel="0" collapsed="false">
      <c r="A10" s="14" t="s">
        <v>20</v>
      </c>
      <c r="B10" s="14"/>
      <c r="C10" s="14"/>
      <c r="D10" s="14"/>
      <c r="E10" s="14"/>
      <c r="F10" s="14"/>
      <c r="G10" s="14"/>
    </row>
    <row r="11" customFormat="false" ht="15.75" hidden="false" customHeight="false" outlineLevel="0" collapsed="false">
      <c r="A11" s="15" t="s">
        <v>21</v>
      </c>
      <c r="B11" s="15"/>
      <c r="C11" s="15"/>
      <c r="D11" s="15"/>
      <c r="E11" s="15"/>
      <c r="F11" s="15"/>
      <c r="G11" s="15"/>
      <c r="H11" s="16"/>
      <c r="I11" s="16"/>
      <c r="J11" s="16"/>
      <c r="K11" s="16"/>
    </row>
    <row r="12" customFormat="false" ht="15.75" hidden="false" customHeight="false" outlineLevel="0" collapsed="false">
      <c r="A12" s="17" t="s">
        <v>22</v>
      </c>
      <c r="B12" s="17"/>
      <c r="C12" s="17"/>
      <c r="D12" s="17"/>
      <c r="E12" s="17"/>
      <c r="F12" s="17"/>
      <c r="G12" s="17"/>
      <c r="H12" s="18"/>
      <c r="I12" s="18"/>
    </row>
    <row r="13" customFormat="false" ht="21" hidden="false" customHeight="false" outlineLevel="0" collapsed="false">
      <c r="A13" s="19" t="s">
        <v>23</v>
      </c>
      <c r="B13" s="19"/>
      <c r="C13" s="19"/>
      <c r="D13" s="19"/>
      <c r="E13" s="19"/>
      <c r="F13" s="19"/>
      <c r="G13" s="19"/>
      <c r="H13" s="20"/>
      <c r="I13" s="20"/>
      <c r="J13" s="20"/>
      <c r="P13" s="21"/>
      <c r="Q13" s="21"/>
      <c r="R13" s="21"/>
      <c r="S13" s="21"/>
      <c r="T13" s="21"/>
      <c r="U13" s="21"/>
      <c r="V13" s="21"/>
      <c r="W13" s="21"/>
      <c r="X13" s="22"/>
      <c r="Y13" s="22"/>
    </row>
    <row r="14" customFormat="false" ht="21" hidden="false" customHeight="false" outlineLevel="0" collapsed="false">
      <c r="A14" s="23" t="s">
        <v>24</v>
      </c>
      <c r="B14" s="23"/>
      <c r="C14" s="23"/>
      <c r="D14" s="23"/>
      <c r="E14" s="23"/>
      <c r="F14" s="23"/>
      <c r="G14" s="23"/>
      <c r="H14" s="24"/>
      <c r="I14" s="24"/>
      <c r="J14" s="24"/>
      <c r="P14" s="21"/>
      <c r="Q14" s="21"/>
      <c r="R14" s="21"/>
      <c r="S14" s="21"/>
      <c r="T14" s="21"/>
      <c r="U14" s="21"/>
      <c r="V14" s="21"/>
      <c r="W14" s="21"/>
      <c r="X14" s="22"/>
      <c r="Y14" s="22"/>
    </row>
    <row r="15" customFormat="false" ht="21" hidden="false" customHeight="false" outlineLevel="0" collapsed="false">
      <c r="A15" s="25" t="s">
        <v>25</v>
      </c>
      <c r="B15" s="25"/>
      <c r="C15" s="25"/>
      <c r="D15" s="25"/>
      <c r="E15" s="25"/>
      <c r="F15" s="25"/>
      <c r="G15" s="25"/>
      <c r="P15" s="21"/>
      <c r="Q15" s="21"/>
      <c r="R15" s="21"/>
      <c r="S15" s="21"/>
      <c r="T15" s="21"/>
      <c r="U15" s="21"/>
      <c r="V15" s="21"/>
      <c r="W15" s="21"/>
      <c r="X15" s="22"/>
      <c r="Y15" s="22"/>
    </row>
    <row r="16" customFormat="false" ht="21" hidden="false" customHeight="false" outlineLevel="0" collapsed="false">
      <c r="P16" s="21"/>
      <c r="Q16" s="21"/>
      <c r="R16" s="21"/>
      <c r="S16" s="21"/>
      <c r="T16" s="21"/>
      <c r="U16" s="21"/>
      <c r="V16" s="21"/>
      <c r="W16" s="21"/>
      <c r="X16" s="22"/>
      <c r="Y16" s="22"/>
    </row>
    <row r="17" customFormat="false" ht="21" hidden="false" customHeight="false" outlineLevel="0" collapsed="false">
      <c r="P17" s="21"/>
      <c r="Q17" s="21"/>
      <c r="R17" s="21"/>
      <c r="S17" s="21"/>
      <c r="T17" s="21"/>
      <c r="U17" s="21"/>
      <c r="V17" s="21"/>
      <c r="W17" s="21"/>
      <c r="X17" s="22"/>
      <c r="Y17" s="22"/>
    </row>
    <row r="18" customFormat="false" ht="21" hidden="false" customHeight="false" outlineLevel="0" collapsed="false">
      <c r="P18" s="21"/>
      <c r="Q18" s="21"/>
      <c r="R18" s="21"/>
      <c r="S18" s="21"/>
      <c r="T18" s="21"/>
      <c r="U18" s="21"/>
      <c r="V18" s="21"/>
      <c r="W18" s="21"/>
      <c r="X18" s="22"/>
      <c r="Y18" s="22"/>
    </row>
    <row r="19" customFormat="false" ht="21" hidden="false" customHeight="false" outlineLevel="0" collapsed="false">
      <c r="P19" s="21"/>
      <c r="Q19" s="21"/>
      <c r="R19" s="21"/>
      <c r="S19" s="21"/>
      <c r="T19" s="21"/>
      <c r="U19" s="21"/>
      <c r="V19" s="21"/>
      <c r="W19" s="21"/>
      <c r="X19" s="22"/>
      <c r="Y19" s="22"/>
    </row>
    <row r="20" customFormat="false" ht="21" hidden="false" customHeight="false" outlineLevel="0" collapsed="false">
      <c r="P20" s="21"/>
      <c r="Q20" s="21"/>
      <c r="R20" s="21"/>
      <c r="S20" s="21"/>
      <c r="T20" s="21"/>
      <c r="U20" s="21"/>
      <c r="V20" s="21"/>
      <c r="W20" s="21"/>
      <c r="X20" s="22"/>
      <c r="Y20" s="22"/>
    </row>
    <row r="21" customFormat="false" ht="21" hidden="false" customHeight="false" outlineLevel="0" collapsed="false">
      <c r="P21" s="21"/>
      <c r="Q21" s="21"/>
      <c r="R21" s="21"/>
      <c r="S21" s="21"/>
      <c r="T21" s="21"/>
      <c r="U21" s="21"/>
      <c r="V21" s="21"/>
      <c r="W21" s="21"/>
      <c r="X21" s="22"/>
      <c r="Y21" s="22"/>
    </row>
  </sheetData>
  <mergeCells count="1">
    <mergeCell ref="A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2026-03-09T07:07:31Z</dcterms:created>
  <dc:creator>AKASH GHOSH</dc:creator>
  <dc:description/>
  <dc:language>en-US</dc:language>
  <cp:lastModifiedBy>IIE</cp:lastModifiedBy>
  <dcterms:modified xsi:type="dcterms:W3CDTF">2026-03-13T05:28:37Z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