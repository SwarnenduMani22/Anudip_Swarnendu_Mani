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 folder\Anudip\lab_works\"/>
    </mc:Choice>
  </mc:AlternateContent>
  <xr:revisionPtr revIDLastSave="0" documentId="13_ncr:1_{119402C5-DA2C-4738-AFCC-DC10079BDCD1}" xr6:coauthVersionLast="47" xr6:coauthVersionMax="47" xr10:uidLastSave="{00000000-0000-0000-0000-000000000000}"/>
  <bookViews>
    <workbookView xWindow="-108" yWindow="-108" windowWidth="23256" windowHeight="12456" xr2:uid="{1F356D5E-10EB-4371-85AF-2BDBD880D971}"/>
  </bookViews>
  <sheets>
    <sheet name="Questions" sheetId="1" r:id="rId1"/>
    <sheet name="Products" sheetId="2" r:id="rId2"/>
    <sheet name="Ord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3" l="1"/>
  <c r="D3" i="2"/>
  <c r="D4" i="2"/>
  <c r="D5" i="2"/>
  <c r="D6" i="2"/>
  <c r="D7" i="2"/>
  <c r="D8" i="2"/>
  <c r="D2" i="2"/>
  <c r="H8" i="3"/>
  <c r="G3" i="3"/>
  <c r="G4" i="3"/>
  <c r="G5" i="3"/>
  <c r="G6" i="3"/>
  <c r="G7" i="3"/>
  <c r="G8" i="3"/>
  <c r="E3" i="3"/>
  <c r="F3" i="3" s="1"/>
  <c r="E4" i="3"/>
  <c r="F4" i="3" s="1"/>
  <c r="E5" i="3"/>
  <c r="F5" i="3" s="1"/>
  <c r="E6" i="3"/>
  <c r="F6" i="3" s="1"/>
  <c r="E7" i="3"/>
  <c r="F7" i="3" s="1"/>
  <c r="E2" i="3"/>
  <c r="F2" i="3" s="1"/>
  <c r="D3" i="3"/>
  <c r="D4" i="3"/>
  <c r="D5" i="3"/>
  <c r="D6" i="3"/>
  <c r="D7" i="3"/>
  <c r="D2" i="3"/>
  <c r="H10" i="3" l="1"/>
  <c r="H2" i="3"/>
  <c r="H7" i="3"/>
  <c r="H6" i="3"/>
  <c r="H5" i="3"/>
  <c r="H4" i="3"/>
  <c r="H3" i="3"/>
</calcChain>
</file>

<file path=xl/sharedStrings.xml><?xml version="1.0" encoding="utf-8"?>
<sst xmlns="http://schemas.openxmlformats.org/spreadsheetml/2006/main" count="51" uniqueCount="34">
  <si>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</si>
  <si>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</si>
  <si>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</si>
  <si>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</si>
  <si>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</si>
  <si>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</si>
  <si>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</si>
  <si>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</si>
  <si>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</si>
  <si>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Worksheet 1: Products</t>
  </si>
  <si>
    <t>Worksheet 2: Orders</t>
  </si>
  <si>
    <t>OrderID</t>
  </si>
  <si>
    <t>Quantity</t>
  </si>
  <si>
    <t>1.Use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</si>
  <si>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</si>
  <si>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Total Price</t>
  </si>
  <si>
    <t>Product Present/Not</t>
  </si>
  <si>
    <t>Discounted Price</t>
  </si>
  <si>
    <t>Maximum Order Value</t>
  </si>
  <si>
    <t>Product H</t>
  </si>
  <si>
    <t>Ordered/Not Ordered</t>
  </si>
  <si>
    <t>6. Use VLOOKUP to find out which products from the Products worksheet have not been ordered.</t>
  </si>
  <si>
    <t>7. Use VLOOKUP to find the Product name and summarize the total quantity sold for each product.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</si>
  <si>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</si>
  <si>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</si>
  <si>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</si>
  <si>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 xml:space="preserve">2. Use VLOOKUP to find the price for each ProductID in the Orders worksheet, </t>
  </si>
  <si>
    <t>then calculate the TotalPrice by multiplying the Quantity by the Product Price.</t>
  </si>
  <si>
    <t xml:space="preserve">3. Use VLOOKUP to check if there are any ProductIDs in the Orders worksheet </t>
  </si>
  <si>
    <t>that do not exist in the Products worksheet.</t>
  </si>
  <si>
    <t xml:space="preserve">4. Assume a discount of 10% is given on all products. Use VLOOKUP to find </t>
  </si>
  <si>
    <t>the original price and then calculate the discounted price.</t>
  </si>
  <si>
    <t>5. Use VLOOKUP to find the price for each ProductID and then calculate the order value.</t>
  </si>
  <si>
    <t xml:space="preserve"> Find the maximum order value from the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</si>
</sst>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1" fillId="4" borderId="1" xfId="0" applyFont="1" applyFill="1" applyBorder="1"/>
    <xf numFmtId="0" fontId="0" fillId="0" borderId="0" xfId="0" applyAlignment="1">
      <alignment horizontal="center"/>
    </xf>
    <xf numFmtId="0" fontId="0" fillId="5" borderId="0" xfId="0" applyFill="1"/>
    <xf numFmtId="0" fontId="0" fillId="5" borderId="1" xfId="0" applyFill="1" applyBorder="1" applyAlignment="1">
      <alignment horizontal="center" vertical="center"/>
    </xf>
    <xf numFmtId="0" fontId="0" fillId="6" borderId="0" xfId="0" applyFill="1"/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0" xfId="0" applyFill="1"/>
    <xf numFmtId="0" fontId="0" fillId="4" borderId="0" xfId="0" applyFill="1"/>
    <xf numFmtId="0" fontId="0" fillId="3" borderId="0" xfId="0" applyFill="1"/>
    <xf numFmtId="0" fontId="0" fillId="7" borderId="0" xfId="0" applyFill="1"/>
    <xf numFmtId="0" fontId="0" fillId="5" borderId="0" xfId="0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AEA6-981B-40CF-9509-9A46C00020CA}">
  <dimension ref="A1:I8"/>
  <sheetViews>
    <sheetView tabSelected="1" zoomScale="75" workbookViewId="0">
      <selection activeCell="D26" sqref="D26"/>
    </sheetView>
  </sheetViews>
  <sheetFormatPr defaultRowHeight="14.4" x14ac:dyDescent="0.3"/>
  <sheetData>
    <row r="1" spans="1:9" s="5" customFormat="1" ht="18" x14ac:dyDescent="0.35">
      <c r="A1" s="4" t="s">
        <v>9</v>
      </c>
      <c r="E1" s="4" t="s">
        <v>10</v>
      </c>
    </row>
    <row r="2" spans="1:9" x14ac:dyDescent="0.3">
      <c r="A2" s="1" t="s">
        <v>0</v>
      </c>
      <c r="B2" s="1" t="s">
        <v>1</v>
      </c>
      <c r="C2" s="1" t="s">
        <v>2</v>
      </c>
      <c r="E2" s="1" t="s">
        <v>11</v>
      </c>
      <c r="F2" s="1" t="s">
        <v>0</v>
      </c>
      <c r="G2" s="1" t="s">
        <v>12</v>
      </c>
      <c r="I2" t="s">
        <v>13</v>
      </c>
    </row>
    <row r="3" spans="1:9" x14ac:dyDescent="0.3">
      <c r="A3" s="1">
        <v>101</v>
      </c>
      <c r="B3" s="1" t="s">
        <v>3</v>
      </c>
      <c r="C3" s="1">
        <v>120</v>
      </c>
      <c r="E3" s="1">
        <v>1</v>
      </c>
      <c r="F3" s="1">
        <v>101</v>
      </c>
      <c r="G3" s="1">
        <v>2</v>
      </c>
      <c r="I3" t="s">
        <v>14</v>
      </c>
    </row>
    <row r="4" spans="1:9" x14ac:dyDescent="0.3">
      <c r="A4" s="1">
        <v>102</v>
      </c>
      <c r="B4" s="1" t="s">
        <v>4</v>
      </c>
      <c r="C4" s="1">
        <v>150</v>
      </c>
      <c r="E4" s="1">
        <v>2</v>
      </c>
      <c r="F4" s="1">
        <v>103</v>
      </c>
      <c r="G4" s="1">
        <v>1</v>
      </c>
      <c r="I4" t="s">
        <v>23</v>
      </c>
    </row>
    <row r="5" spans="1:9" x14ac:dyDescent="0.3">
      <c r="A5" s="1">
        <v>103</v>
      </c>
      <c r="B5" s="1" t="s">
        <v>5</v>
      </c>
      <c r="C5" s="1">
        <v>200</v>
      </c>
      <c r="E5" s="1">
        <v>3</v>
      </c>
      <c r="F5" s="1">
        <v>105</v>
      </c>
      <c r="G5" s="1">
        <v>4</v>
      </c>
      <c r="I5" t="s">
        <v>24</v>
      </c>
    </row>
    <row r="6" spans="1:9" x14ac:dyDescent="0.3">
      <c r="A6" s="1">
        <v>104</v>
      </c>
      <c r="B6" s="1" t="s">
        <v>6</v>
      </c>
      <c r="C6" s="1">
        <v>90</v>
      </c>
      <c r="E6" s="1">
        <v>4</v>
      </c>
      <c r="F6" s="1">
        <v>106</v>
      </c>
      <c r="G6" s="1">
        <v>3</v>
      </c>
      <c r="I6" t="s">
        <v>25</v>
      </c>
    </row>
    <row r="7" spans="1:9" x14ac:dyDescent="0.3">
      <c r="A7" s="1">
        <v>105</v>
      </c>
      <c r="B7" s="1" t="s">
        <v>7</v>
      </c>
      <c r="C7" s="1">
        <v>220</v>
      </c>
      <c r="E7" s="1">
        <v>5</v>
      </c>
      <c r="F7" s="1">
        <v>102</v>
      </c>
      <c r="G7" s="1">
        <v>5</v>
      </c>
      <c r="I7" t="s">
        <v>21</v>
      </c>
    </row>
    <row r="8" spans="1:9" x14ac:dyDescent="0.3">
      <c r="A8" s="1">
        <v>106</v>
      </c>
      <c r="B8" s="1" t="s">
        <v>8</v>
      </c>
      <c r="C8" s="1">
        <v>130</v>
      </c>
      <c r="E8" s="1">
        <v>6</v>
      </c>
      <c r="F8" s="1">
        <v>104</v>
      </c>
      <c r="G8" s="1">
        <v>6</v>
      </c>
      <c r="I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8C2DF-CE7D-42A4-A76E-F5F71850EED9}">
  <dimension ref="A1:N8"/>
  <sheetViews>
    <sheetView workbookViewId="0">
      <selection activeCell="F9" sqref="F9"/>
    </sheetView>
  </sheetViews>
  <sheetFormatPr defaultRowHeight="14.4" x14ac:dyDescent="0.3"/>
  <cols>
    <col min="4" max="4" width="18.88671875" bestFit="1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6" t="s">
        <v>20</v>
      </c>
    </row>
    <row r="2" spans="1:14" x14ac:dyDescent="0.3">
      <c r="A2" s="3">
        <v>101</v>
      </c>
      <c r="B2" s="3" t="s">
        <v>3</v>
      </c>
      <c r="C2" s="3">
        <v>120</v>
      </c>
      <c r="D2" s="2" t="str">
        <f>IF(ISNA(VLOOKUP(A2,Orders!$B$1:$E$8,1,0)),"Not Ordered","Ordered")</f>
        <v>Ordered</v>
      </c>
    </row>
    <row r="3" spans="1:14" x14ac:dyDescent="0.3">
      <c r="A3" s="3">
        <v>102</v>
      </c>
      <c r="B3" s="3" t="s">
        <v>4</v>
      </c>
      <c r="C3" s="3">
        <v>150</v>
      </c>
      <c r="D3" s="2" t="str">
        <f>IF(ISNA(VLOOKUP(A3,Orders!$B$1:$E$8,1,0)),"Not Ordered","Ordered")</f>
        <v>Ordered</v>
      </c>
      <c r="F3" s="21" t="s">
        <v>21</v>
      </c>
      <c r="G3" s="21"/>
      <c r="H3" s="21"/>
      <c r="I3" s="21"/>
      <c r="J3" s="21"/>
      <c r="K3" s="21"/>
      <c r="L3" s="21"/>
      <c r="M3" s="21"/>
      <c r="N3" s="21"/>
    </row>
    <row r="4" spans="1:14" x14ac:dyDescent="0.3">
      <c r="A4" s="3">
        <v>103</v>
      </c>
      <c r="B4" s="3" t="s">
        <v>5</v>
      </c>
      <c r="C4" s="3">
        <v>200</v>
      </c>
      <c r="D4" s="2" t="str">
        <f>IF(ISNA(VLOOKUP(A4,Orders!$B$1:$E$8,1,0)),"Not Ordered","Ordered")</f>
        <v>Ordered</v>
      </c>
    </row>
    <row r="5" spans="1:14" x14ac:dyDescent="0.3">
      <c r="A5" s="3">
        <v>104</v>
      </c>
      <c r="B5" s="3" t="s">
        <v>6</v>
      </c>
      <c r="C5" s="3">
        <v>90</v>
      </c>
      <c r="D5" s="2" t="str">
        <f>IF(ISNA(VLOOKUP(A5,Orders!$B$1:$E$8,1,0)),"Not Ordered","Ordered")</f>
        <v>Ordered</v>
      </c>
    </row>
    <row r="6" spans="1:14" x14ac:dyDescent="0.3">
      <c r="A6" s="3">
        <v>105</v>
      </c>
      <c r="B6" s="3" t="s">
        <v>7</v>
      </c>
      <c r="C6" s="3">
        <v>220</v>
      </c>
      <c r="D6" s="2" t="str">
        <f>IF(ISNA(VLOOKUP(A6,Orders!$B$1:$E$8,1,0)),"Not Ordered","Ordered")</f>
        <v>Ordered</v>
      </c>
    </row>
    <row r="7" spans="1:14" x14ac:dyDescent="0.3">
      <c r="A7" s="3">
        <v>106</v>
      </c>
      <c r="B7" s="3" t="s">
        <v>8</v>
      </c>
      <c r="C7" s="3">
        <v>130</v>
      </c>
      <c r="D7" s="2" t="str">
        <f>IF(ISNA(VLOOKUP(A7,Orders!$B$1:$E$8,1,0)),"Not Ordered","Ordered")</f>
        <v>Ordered</v>
      </c>
    </row>
    <row r="8" spans="1:14" x14ac:dyDescent="0.3">
      <c r="A8" s="3">
        <v>108</v>
      </c>
      <c r="B8" s="3" t="s">
        <v>19</v>
      </c>
      <c r="C8" s="3">
        <v>200</v>
      </c>
      <c r="D8" s="2" t="str">
        <f>IF(ISNA(VLOOKUP(A8,Orders!$B$1:$E$8,1,0)),"Not Ordered","Ordered")</f>
        <v>Not Ordered</v>
      </c>
    </row>
  </sheetData>
  <mergeCells count="1">
    <mergeCell ref="F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CDCB-CC06-4BB3-96E4-36D664C2EE40}">
  <dimension ref="A1:P10"/>
  <sheetViews>
    <sheetView workbookViewId="0">
      <selection activeCell="J15" sqref="J15"/>
    </sheetView>
  </sheetViews>
  <sheetFormatPr defaultRowHeight="14.4" x14ac:dyDescent="0.3"/>
  <cols>
    <col min="1" max="1" width="7.44140625" bestFit="1" customWidth="1"/>
    <col min="2" max="2" width="9.109375" bestFit="1" customWidth="1"/>
    <col min="3" max="3" width="8" bestFit="1" customWidth="1"/>
    <col min="4" max="4" width="9" bestFit="1" customWidth="1"/>
    <col min="6" max="6" width="9.6640625" bestFit="1" customWidth="1"/>
    <col min="7" max="7" width="20.21875" bestFit="1" customWidth="1"/>
    <col min="8" max="8" width="14.6640625" bestFit="1" customWidth="1"/>
    <col min="11" max="11" width="20.21875" bestFit="1" customWidth="1"/>
  </cols>
  <sheetData>
    <row r="1" spans="1:16" x14ac:dyDescent="0.3">
      <c r="A1" s="3" t="s">
        <v>11</v>
      </c>
      <c r="B1" s="3" t="s">
        <v>0</v>
      </c>
      <c r="C1" s="3" t="s">
        <v>12</v>
      </c>
      <c r="D1" s="7" t="s">
        <v>1</v>
      </c>
      <c r="E1" s="3" t="s">
        <v>2</v>
      </c>
      <c r="F1" s="15" t="s">
        <v>15</v>
      </c>
      <c r="G1" s="12" t="s">
        <v>16</v>
      </c>
      <c r="H1" s="14" t="s">
        <v>17</v>
      </c>
      <c r="J1" s="18" t="s">
        <v>13</v>
      </c>
      <c r="K1" s="18"/>
      <c r="L1" s="18"/>
      <c r="M1" s="18"/>
      <c r="N1" s="18"/>
      <c r="O1" s="18"/>
      <c r="P1" s="18"/>
    </row>
    <row r="2" spans="1:16" x14ac:dyDescent="0.3">
      <c r="A2" s="3">
        <v>1</v>
      </c>
      <c r="B2" s="3">
        <v>101</v>
      </c>
      <c r="C2" s="3">
        <v>2</v>
      </c>
      <c r="D2" s="3" t="str">
        <f>VLOOKUP(B2,Products!$A$1:$C$7,2,0)</f>
        <v>Product A</v>
      </c>
      <c r="E2" s="3">
        <f>VLOOKUP(B2,Products!$A$1:$C$7,3,0)</f>
        <v>120</v>
      </c>
      <c r="F2" s="3">
        <f>C2*E2</f>
        <v>240</v>
      </c>
      <c r="G2" s="2" t="str">
        <f>IF(ISNA(VLOOKUP(Orders!B2,Products!$A$1:$C$7,1,0)),"No","Present")</f>
        <v>Present</v>
      </c>
      <c r="H2" s="2">
        <f>E2-(E2*10%)</f>
        <v>108</v>
      </c>
      <c r="J2" s="19" t="s">
        <v>26</v>
      </c>
      <c r="K2" s="19"/>
      <c r="L2" s="19"/>
      <c r="M2" s="19"/>
      <c r="N2" s="19"/>
      <c r="O2" s="19"/>
    </row>
    <row r="3" spans="1:16" x14ac:dyDescent="0.3">
      <c r="A3" s="3">
        <v>2</v>
      </c>
      <c r="B3" s="3">
        <v>103</v>
      </c>
      <c r="C3" s="3">
        <v>1</v>
      </c>
      <c r="D3" s="3" t="str">
        <f>VLOOKUP(B3,Products!$A$1:$C$7,2,0)</f>
        <v>Product C</v>
      </c>
      <c r="E3" s="3">
        <f>VLOOKUP(B3,Products!$A$1:$C$7,3,0)</f>
        <v>200</v>
      </c>
      <c r="F3" s="3">
        <f t="shared" ref="F3:F7" si="0">C3*E3</f>
        <v>200</v>
      </c>
      <c r="G3" s="2" t="str">
        <f>IF(ISNA(VLOOKUP(Orders!B3,Products!$A$1:$C$7,1,0)),"No","Present")</f>
        <v>Present</v>
      </c>
      <c r="H3" s="2">
        <f t="shared" ref="H3:H8" si="1">E3-(E3*10%)</f>
        <v>180</v>
      </c>
      <c r="J3" s="19" t="s">
        <v>27</v>
      </c>
      <c r="K3" s="19"/>
      <c r="L3" s="19"/>
      <c r="M3" s="19"/>
      <c r="N3" s="19"/>
      <c r="O3" s="19"/>
    </row>
    <row r="4" spans="1:16" x14ac:dyDescent="0.3">
      <c r="A4" s="3">
        <v>3</v>
      </c>
      <c r="B4" s="3">
        <v>105</v>
      </c>
      <c r="C4" s="3">
        <v>4</v>
      </c>
      <c r="D4" s="3" t="str">
        <f>VLOOKUP(B4,Products!$A$1:$C$7,2,0)</f>
        <v>Product E</v>
      </c>
      <c r="E4" s="3">
        <f>VLOOKUP(B4,Products!$A$1:$C$7,3,0)</f>
        <v>220</v>
      </c>
      <c r="F4" s="3">
        <f t="shared" si="0"/>
        <v>880</v>
      </c>
      <c r="G4" s="2" t="str">
        <f>IF(ISNA(VLOOKUP(Orders!B4,Products!$A$1:$C$7,1,0)),"No","Present")</f>
        <v>Present</v>
      </c>
      <c r="H4" s="2">
        <f t="shared" si="1"/>
        <v>198</v>
      </c>
      <c r="J4" s="20" t="s">
        <v>28</v>
      </c>
      <c r="K4" s="20"/>
      <c r="L4" s="20"/>
      <c r="M4" s="20"/>
      <c r="N4" s="20"/>
      <c r="O4" s="20"/>
    </row>
    <row r="5" spans="1:16" x14ac:dyDescent="0.3">
      <c r="A5" s="3">
        <v>4</v>
      </c>
      <c r="B5" s="3">
        <v>106</v>
      </c>
      <c r="C5" s="3">
        <v>3</v>
      </c>
      <c r="D5" s="3" t="str">
        <f>VLOOKUP(B5,Products!$A$1:$C$7,2,0)</f>
        <v>Product F</v>
      </c>
      <c r="E5" s="3">
        <f>VLOOKUP(B5,Products!$A$1:$C$7,3,0)</f>
        <v>130</v>
      </c>
      <c r="F5" s="3">
        <f t="shared" si="0"/>
        <v>390</v>
      </c>
      <c r="G5" s="2" t="str">
        <f>IF(ISNA(VLOOKUP(Orders!B5,Products!$A$1:$C$7,1,0)),"No","Present")</f>
        <v>Present</v>
      </c>
      <c r="H5" s="2">
        <f t="shared" si="1"/>
        <v>117</v>
      </c>
      <c r="J5" s="20" t="s">
        <v>29</v>
      </c>
      <c r="K5" s="20"/>
      <c r="L5" s="20"/>
      <c r="M5" s="11"/>
      <c r="N5" s="11"/>
      <c r="O5" s="11"/>
    </row>
    <row r="6" spans="1:16" x14ac:dyDescent="0.3">
      <c r="A6" s="3">
        <v>5</v>
      </c>
      <c r="B6" s="3">
        <v>102</v>
      </c>
      <c r="C6" s="3">
        <v>5</v>
      </c>
      <c r="D6" s="3" t="str">
        <f>VLOOKUP(B6,Products!$A$1:$C$7,2,0)</f>
        <v>Product B</v>
      </c>
      <c r="E6" s="3">
        <f>VLOOKUP(B6,Products!$A$1:$C$7,3,0)</f>
        <v>150</v>
      </c>
      <c r="F6" s="3">
        <f t="shared" si="0"/>
        <v>750</v>
      </c>
      <c r="G6" s="2" t="str">
        <f>IF(ISNA(VLOOKUP(Orders!B6,Products!$A$1:$C$7,1,0)),"No","Present")</f>
        <v>Present</v>
      </c>
      <c r="H6" s="2">
        <f t="shared" si="1"/>
        <v>135</v>
      </c>
      <c r="J6" s="16" t="s">
        <v>30</v>
      </c>
      <c r="K6" s="16"/>
      <c r="L6" s="16"/>
      <c r="M6" s="16"/>
      <c r="N6" s="16"/>
      <c r="O6" s="16"/>
    </row>
    <row r="7" spans="1:16" x14ac:dyDescent="0.3">
      <c r="A7" s="3">
        <v>6</v>
      </c>
      <c r="B7" s="3">
        <v>104</v>
      </c>
      <c r="C7" s="3">
        <v>6</v>
      </c>
      <c r="D7" s="3" t="str">
        <f>VLOOKUP(B7,Products!$A$1:$C$7,2,0)</f>
        <v>Product D</v>
      </c>
      <c r="E7" s="3">
        <f>VLOOKUP(B7,Products!$A$1:$C$7,3,0)</f>
        <v>90</v>
      </c>
      <c r="F7" s="3">
        <f t="shared" si="0"/>
        <v>540</v>
      </c>
      <c r="G7" s="2" t="str">
        <f>IF(ISNA(VLOOKUP(Orders!B7,Products!$A$1:$C$7,1,0)),"No","Present")</f>
        <v>Present</v>
      </c>
      <c r="H7" s="2">
        <f t="shared" si="1"/>
        <v>81</v>
      </c>
      <c r="J7" s="16" t="s">
        <v>31</v>
      </c>
      <c r="K7" s="16"/>
      <c r="L7" s="16"/>
      <c r="M7" s="16"/>
      <c r="N7" s="13"/>
      <c r="O7" s="13"/>
    </row>
    <row r="8" spans="1:16" x14ac:dyDescent="0.3">
      <c r="A8" s="3">
        <v>7</v>
      </c>
      <c r="B8" s="3">
        <v>107</v>
      </c>
      <c r="C8" s="1"/>
      <c r="D8" s="1"/>
      <c r="E8" s="1"/>
      <c r="F8" s="1"/>
      <c r="G8" s="2" t="str">
        <f>IF(ISNA(VLOOKUP(Orders!B8,Products!$A$1:$C$7,1,0)),"No","Present")</f>
        <v>No</v>
      </c>
      <c r="H8" s="2">
        <f t="shared" si="1"/>
        <v>0</v>
      </c>
      <c r="J8" s="17" t="s">
        <v>32</v>
      </c>
      <c r="K8" s="17"/>
      <c r="L8" s="17"/>
      <c r="M8" s="17"/>
      <c r="N8" s="17"/>
      <c r="O8" s="17"/>
      <c r="P8" s="17"/>
    </row>
    <row r="9" spans="1:16" x14ac:dyDescent="0.3">
      <c r="H9" s="10"/>
      <c r="J9" s="17" t="s">
        <v>33</v>
      </c>
      <c r="K9" s="17"/>
      <c r="L9" s="17"/>
      <c r="M9" s="8"/>
      <c r="N9" s="8"/>
      <c r="O9" s="8"/>
      <c r="P9" s="8"/>
    </row>
    <row r="10" spans="1:16" x14ac:dyDescent="0.3">
      <c r="G10" s="9" t="s">
        <v>18</v>
      </c>
      <c r="H10" s="2">
        <f>MAX(F2:F7)</f>
        <v>880</v>
      </c>
    </row>
  </sheetData>
  <mergeCells count="9">
    <mergeCell ref="J6:O6"/>
    <mergeCell ref="J7:M7"/>
    <mergeCell ref="J8:P8"/>
    <mergeCell ref="J9:L9"/>
    <mergeCell ref="J1:P1"/>
    <mergeCell ref="J2:O2"/>
    <mergeCell ref="J3:O3"/>
    <mergeCell ref="J4:O4"/>
    <mergeCell ref="J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SWARNENDU MANI</dc:creator>
  <cp:lastModifiedBy>SWARNENDU MANI</cp:lastModifiedBy>
  <dcterms:created xsi:type="dcterms:W3CDTF">2026-03-07T06:14:17Z</dcterms:created>
  <dcterms:modified xsi:type="dcterms:W3CDTF">2026-03-10T16:33:21Z</dcterms:modified>
</cp:coreProperties>
</file>